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要約" sheetId="1" state="visible" r:id="rId3"/>
    <sheet name="分析_1" sheetId="2" state="visible" r:id="rId4"/>
    <sheet name="分析_2" sheetId="3" state="visible" r:id="rId5"/>
    <sheet name="分析_3" sheetId="4" state="visible" r:id="rId6"/>
    <sheet name="分析_4" sheetId="5" state="visible" r:id="rId7"/>
    <sheet name="分析_5" sheetId="6" state="visible" r:id="rId8"/>
    <sheet name="分析用データ" sheetId="7" state="visible" r:id="rId9"/>
    <sheet name="データソース" sheetId="8" state="visible" r:id="rId10"/>
    <sheet name="保険料率に係る参考資料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<sst xmlns="http://schemas.openxmlformats.org/spreadsheetml/2006/main" count="2171" uniqueCount="150">
  <si>
    <r>
      <rPr>
        <sz val="10"/>
        <rFont val="Noto Sans CJK JP"/>
        <family val="2"/>
        <charset val="1"/>
      </rPr>
      <t xml:space="preserve">分析</t>
    </r>
    <r>
      <rPr>
        <sz val="10"/>
        <rFont val="Arial"/>
        <family val="2"/>
        <charset val="1"/>
      </rPr>
      <t xml:space="preserve">No</t>
    </r>
  </si>
  <si>
    <t xml:space="preserve">タイトル</t>
  </si>
  <si>
    <t xml:space="preserve">分析手法</t>
  </si>
  <si>
    <t xml:space="preserve">プラットフォーム</t>
  </si>
  <si>
    <t xml:space="preserve">分析者</t>
  </si>
  <si>
    <t xml:space="preserve">目的変数</t>
  </si>
  <si>
    <t xml:space="preserve">説明変数</t>
  </si>
  <si>
    <t xml:space="preserve">評価</t>
  </si>
  <si>
    <t xml:space="preserve">備考</t>
  </si>
  <si>
    <r>
      <rPr>
        <sz val="10"/>
        <rFont val="Arial"/>
        <family val="2"/>
        <charset val="1"/>
      </rPr>
      <t xml:space="preserve">5</t>
    </r>
    <r>
      <rPr>
        <sz val="10"/>
        <rFont val="Noto Sans CJK JP"/>
        <family val="2"/>
        <charset val="1"/>
      </rPr>
      <t xml:space="preserve">つのインセンティブ指標による重回帰分析</t>
    </r>
  </si>
  <si>
    <t xml:space="preserve">重回帰</t>
  </si>
  <si>
    <t xml:space="preserve">LibreCalc</t>
  </si>
  <si>
    <t xml:space="preserve">直江</t>
  </si>
  <si>
    <t xml:space="preserve">最終保険料率</t>
  </si>
  <si>
    <t xml:space="preserve">特定健診等、特定保健指導、対象者減少率
受診勧奨、後発医薬品
</t>
  </si>
  <si>
    <t xml:space="preserve">R^2=0.13527893</t>
  </si>
  <si>
    <t xml:space="preserve">保険料率に係る参考資料を基にした重回帰分析</t>
  </si>
  <si>
    <t xml:space="preserve">調整前所要保険料率、年齢調整、所得調整
一律加算保険料率、精算分
インセンティブ分
</t>
  </si>
  <si>
    <t xml:space="preserve">R^2=0.99709704</t>
  </si>
  <si>
    <t xml:space="preserve">“保険料率に係る参考資料”に最も忠実</t>
  </si>
  <si>
    <t xml:space="preserve">保険料率に係る参考資料を基にした重回帰分析
（インセンティブ分を5つの指標に分けたもの）</t>
  </si>
  <si>
    <t xml:space="preserve">調整前所要保険料率、年齢調整、所得調整
一律加算保険料率、精算分
特定健診等、特定保健指導、対象者減少率
受診勧奨、後発医薬品</t>
  </si>
  <si>
    <t xml:space="preserve">R^2=0.98570969</t>
  </si>
  <si>
    <t xml:space="preserve">シミュレータ用</t>
  </si>
  <si>
    <t xml:space="preserve">インセンティブ5つの指標が
翌年度医療給付費に与える影響</t>
  </si>
  <si>
    <t xml:space="preserve">翌年度医療給付費</t>
  </si>
  <si>
    <t xml:space="preserve">特定健診等、特定保健指導、対象者減少率
受診勧奨、後発医薬品</t>
  </si>
  <si>
    <t xml:space="preserve">R^2=0.2964744</t>
  </si>
  <si>
    <t xml:space="preserve">医療給付費は各都道府県の人口と関連度が高いので、この分析ではダメ</t>
  </si>
  <si>
    <r>
      <rPr>
        <sz val="10"/>
        <rFont val="Noto Sans CJK JP"/>
        <family val="2"/>
        <charset val="1"/>
      </rPr>
      <t xml:space="preserve">インセンティブ5つの指標が
</t>
    </r>
    <r>
      <rPr>
        <sz val="10"/>
        <rFont val="Noto Sans CJK JP"/>
        <family val="2"/>
      </rPr>
      <t xml:space="preserve">翌年度調整前所要保険料率</t>
    </r>
    <r>
      <rPr>
        <sz val="10"/>
        <rFont val="Noto Sans CJK JP"/>
        <family val="2"/>
        <charset val="1"/>
      </rPr>
      <t xml:space="preserve">に与える影響</t>
    </r>
  </si>
  <si>
    <t xml:space="preserve">翌年度調整前所要保険料率</t>
  </si>
  <si>
    <t xml:space="preserve">R^2=0.191287004</t>
  </si>
  <si>
    <t xml:space="preserve">ダメ</t>
  </si>
  <si>
    <r>
      <rPr>
        <sz val="10"/>
        <rFont val="Noto Sans CJK JP"/>
        <family val="2"/>
        <charset val="1"/>
      </rPr>
      <t xml:space="preserve">データソース</t>
    </r>
    <r>
      <rPr>
        <sz val="10"/>
        <rFont val="Arial"/>
        <family val="2"/>
        <charset val="1"/>
      </rPr>
      <t xml:space="preserve">No</t>
    </r>
  </si>
  <si>
    <t xml:space="preserve">年度</t>
  </si>
  <si>
    <t xml:space="preserve">支部名</t>
  </si>
  <si>
    <t xml:space="preserve">特定健診等</t>
  </si>
  <si>
    <t xml:space="preserve">特定保健指導</t>
  </si>
  <si>
    <t xml:space="preserve">対象者減少率</t>
  </si>
  <si>
    <t xml:space="preserve">受診勧奨</t>
  </si>
  <si>
    <t xml:space="preserve">後発医薬品</t>
  </si>
  <si>
    <t xml:space="preserve">回帰</t>
  </si>
  <si>
    <t xml:space="preserve">北海道</t>
  </si>
  <si>
    <t xml:space="preserve">回帰モデル</t>
  </si>
  <si>
    <t xml:space="preserve">線形</t>
  </si>
  <si>
    <t xml:space="preserve">青森</t>
  </si>
  <si>
    <t xml:space="preserve">岩手</t>
  </si>
  <si>
    <t xml:space="preserve">LINEST raw output</t>
  </si>
  <si>
    <t xml:space="preserve">宮城</t>
  </si>
  <si>
    <t xml:space="preserve">秋田</t>
  </si>
  <si>
    <t xml:space="preserve">山形</t>
  </si>
  <si>
    <t xml:space="preserve">福島</t>
  </si>
  <si>
    <t xml:space="preserve">茨城</t>
  </si>
  <si>
    <t xml:space="preserve">栃木</t>
  </si>
  <si>
    <t xml:space="preserve">群馬</t>
  </si>
  <si>
    <t xml:space="preserve">Regression Statistics</t>
  </si>
  <si>
    <t xml:space="preserve">埼玉</t>
  </si>
  <si>
    <t xml:space="preserve">R^2</t>
  </si>
  <si>
    <t xml:space="preserve">千葉</t>
  </si>
  <si>
    <t xml:space="preserve">標準誤差</t>
  </si>
  <si>
    <t xml:space="preserve">東京</t>
  </si>
  <si>
    <r>
      <rPr>
        <sz val="10"/>
        <rFont val="Arial"/>
        <family val="2"/>
        <charset val="1"/>
      </rPr>
      <t xml:space="preserve">X</t>
    </r>
    <r>
      <rPr>
        <sz val="10"/>
        <rFont val="Noto Sans CJK JP"/>
        <family val="2"/>
        <charset val="1"/>
      </rPr>
      <t xml:space="preserve">変数の個数</t>
    </r>
  </si>
  <si>
    <t xml:space="preserve">神奈川</t>
  </si>
  <si>
    <t xml:space="preserve">観測</t>
  </si>
  <si>
    <t xml:space="preserve">新潟</t>
  </si>
  <si>
    <t xml:space="preserve">Adjusted R^2</t>
  </si>
  <si>
    <t xml:space="preserve">富山</t>
  </si>
  <si>
    <t xml:space="preserve">石川</t>
  </si>
  <si>
    <r>
      <rPr>
        <sz val="10"/>
        <rFont val="Noto Sans CJK JP"/>
        <family val="2"/>
        <charset val="1"/>
      </rPr>
      <t xml:space="preserve">分散分析（</t>
    </r>
    <r>
      <rPr>
        <sz val="10"/>
        <rFont val="Arial"/>
        <family val="2"/>
        <charset val="1"/>
      </rPr>
      <t xml:space="preserve">ANOVA</t>
    </r>
    <r>
      <rPr>
        <sz val="10"/>
        <rFont val="Noto Sans CJK JP"/>
        <family val="2"/>
        <charset val="1"/>
      </rPr>
      <t xml:space="preserve">）</t>
    </r>
  </si>
  <si>
    <t xml:space="preserve">福井</t>
  </si>
  <si>
    <t xml:space="preserve">自由度</t>
  </si>
  <si>
    <t xml:space="preserve">平方和</t>
  </si>
  <si>
    <t xml:space="preserve">平均平方</t>
  </si>
  <si>
    <t xml:space="preserve">F</t>
  </si>
  <si>
    <t xml:space="preserve">Significance F</t>
  </si>
  <si>
    <t xml:space="preserve">山梨</t>
  </si>
  <si>
    <t xml:space="preserve">長野</t>
  </si>
  <si>
    <t xml:space="preserve">残差</t>
  </si>
  <si>
    <t xml:space="preserve">岐阜</t>
  </si>
  <si>
    <t xml:space="preserve">合計</t>
  </si>
  <si>
    <t xml:space="preserve">静岡</t>
  </si>
  <si>
    <t xml:space="preserve">愛知</t>
  </si>
  <si>
    <t xml:space="preserve">信頼水準</t>
  </si>
  <si>
    <t xml:space="preserve">三重</t>
  </si>
  <si>
    <t xml:space="preserve">滋賀</t>
  </si>
  <si>
    <t xml:space="preserve">係数</t>
  </si>
  <si>
    <r>
      <rPr>
        <sz val="10"/>
        <rFont val="Arial"/>
        <family val="2"/>
        <charset val="1"/>
      </rPr>
      <t xml:space="preserve">t</t>
    </r>
    <r>
      <rPr>
        <sz val="10"/>
        <rFont val="Noto Sans CJK JP"/>
        <family val="2"/>
        <charset val="1"/>
      </rPr>
      <t xml:space="preserve">統計量</t>
    </r>
  </si>
  <si>
    <r>
      <rPr>
        <sz val="10"/>
        <rFont val="Arial"/>
        <family val="2"/>
        <charset val="1"/>
      </rPr>
      <t xml:space="preserve">P</t>
    </r>
    <r>
      <rPr>
        <sz val="10"/>
        <rFont val="Noto Sans CJK JP"/>
        <family val="2"/>
        <charset val="1"/>
      </rPr>
      <t xml:space="preserve">値</t>
    </r>
  </si>
  <si>
    <t xml:space="preserve">京都</t>
  </si>
  <si>
    <t xml:space="preserve">大阪</t>
  </si>
  <si>
    <t xml:space="preserve">兵庫</t>
  </si>
  <si>
    <t xml:space="preserve">奈良</t>
  </si>
  <si>
    <t xml:space="preserve">和歌山</t>
  </si>
  <si>
    <t xml:space="preserve">鳥取</t>
  </si>
  <si>
    <t xml:space="preserve">島根</t>
  </si>
  <si>
    <t xml:space="preserve">岡山</t>
  </si>
  <si>
    <t xml:space="preserve">Predicted Y</t>
  </si>
  <si>
    <t xml:space="preserve">広島</t>
  </si>
  <si>
    <t xml:space="preserve">山口</t>
  </si>
  <si>
    <t xml:space="preserve">徳島</t>
  </si>
  <si>
    <t xml:space="preserve">香川</t>
  </si>
  <si>
    <t xml:space="preserve">愛媛</t>
  </si>
  <si>
    <t xml:space="preserve">高知</t>
  </si>
  <si>
    <t xml:space="preserve">福岡</t>
  </si>
  <si>
    <t xml:space="preserve">佐賀</t>
  </si>
  <si>
    <t xml:space="preserve">長崎</t>
  </si>
  <si>
    <t xml:space="preserve">熊本</t>
  </si>
  <si>
    <t xml:space="preserve">大分</t>
  </si>
  <si>
    <t xml:space="preserve">宮崎</t>
  </si>
  <si>
    <t xml:space="preserve">鹿児島</t>
  </si>
  <si>
    <t xml:space="preserve">沖縄</t>
  </si>
  <si>
    <t xml:space="preserve">調整前所要保険料率</t>
  </si>
  <si>
    <t xml:space="preserve">年齢調整</t>
  </si>
  <si>
    <t xml:space="preserve">所得調整</t>
  </si>
  <si>
    <t xml:space="preserve">一律加算保険料率</t>
  </si>
  <si>
    <t xml:space="preserve">精算分</t>
  </si>
  <si>
    <t xml:space="preserve">インセンティブ分</t>
  </si>
  <si>
    <t xml:space="preserve">X変数の個数</t>
  </si>
  <si>
    <t xml:space="preserve">分散分析（ANOVA）</t>
  </si>
  <si>
    <t xml:space="preserve">t統計量</t>
  </si>
  <si>
    <t xml:space="preserve">P値</t>
  </si>
  <si>
    <r>
      <rPr>
        <sz val="10"/>
        <rFont val="Noto Sans CJK JP"/>
        <family val="2"/>
        <charset val="1"/>
      </rPr>
      <t xml:space="preserve">翌年度</t>
    </r>
    <r>
      <rPr>
        <sz val="10"/>
        <rFont val="Noto Sans CJK JP"/>
        <family val="2"/>
      </rPr>
      <t xml:space="preserve">調整前所要保険料率</t>
    </r>
  </si>
  <si>
    <t xml:space="preserve">医療給付費</t>
  </si>
  <si>
    <t xml:space="preserve">総報酬額</t>
  </si>
  <si>
    <t xml:space="preserve">No</t>
  </si>
  <si>
    <t xml:space="preserve">資料名</t>
  </si>
  <si>
    <r>
      <rPr>
        <sz val="10"/>
        <rFont val="Noto Sans CJK JP"/>
        <family val="2"/>
        <charset val="1"/>
      </rPr>
      <t xml:space="preserve">参照先</t>
    </r>
    <r>
      <rPr>
        <sz val="10"/>
        <rFont val="Arial"/>
        <family val="2"/>
        <charset val="1"/>
      </rPr>
      <t xml:space="preserve">_1</t>
    </r>
  </si>
  <si>
    <r>
      <rPr>
        <sz val="10"/>
        <rFont val="Noto Sans CJK JP"/>
        <family val="2"/>
        <charset val="1"/>
      </rPr>
      <t xml:space="preserve">参照先</t>
    </r>
    <r>
      <rPr>
        <sz val="10"/>
        <rFont val="Arial"/>
        <family val="2"/>
        <charset val="1"/>
      </rPr>
      <t xml:space="preserve">_2</t>
    </r>
  </si>
  <si>
    <r>
      <rPr>
        <sz val="10"/>
        <rFont val="Noto Sans CJK JP"/>
        <family val="2"/>
        <charset val="1"/>
      </rPr>
      <t xml:space="preserve">参照先</t>
    </r>
    <r>
      <rPr>
        <sz val="10"/>
        <rFont val="Arial"/>
        <family val="2"/>
        <charset val="1"/>
      </rPr>
      <t xml:space="preserve">_3</t>
    </r>
  </si>
  <si>
    <r>
      <rPr>
        <sz val="10"/>
        <rFont val="Noto Sans CJK JP"/>
        <family val="2"/>
        <charset val="1"/>
      </rPr>
      <t xml:space="preserve">参照先</t>
    </r>
    <r>
      <rPr>
        <sz val="10"/>
        <rFont val="Arial"/>
        <family val="2"/>
        <charset val="1"/>
      </rPr>
      <t xml:space="preserve">_4</t>
    </r>
  </si>
  <si>
    <r>
      <rPr>
        <sz val="10"/>
        <rFont val="Noto Sans CJK JP"/>
        <family val="2"/>
        <charset val="1"/>
      </rPr>
      <t xml:space="preserve">参照先</t>
    </r>
    <r>
      <rPr>
        <sz val="10"/>
        <rFont val="Arial"/>
        <family val="2"/>
        <charset val="1"/>
      </rPr>
      <t xml:space="preserve">_5</t>
    </r>
  </si>
  <si>
    <r>
      <rPr>
        <sz val="10"/>
        <rFont val="Noto Sans CJK JP"/>
        <family val="2"/>
        <charset val="1"/>
      </rPr>
      <t xml:space="preserve">参照先</t>
    </r>
    <r>
      <rPr>
        <sz val="10"/>
        <rFont val="Arial"/>
        <family val="2"/>
        <charset val="1"/>
      </rPr>
      <t xml:space="preserve">_6</t>
    </r>
  </si>
  <si>
    <r>
      <rPr>
        <sz val="10"/>
        <rFont val="Noto Sans CJK JP"/>
        <family val="2"/>
        <charset val="1"/>
      </rPr>
      <t xml:space="preserve">令和</t>
    </r>
    <r>
      <rPr>
        <sz val="10"/>
        <rFont val="Arial"/>
        <family val="2"/>
        <charset val="1"/>
      </rPr>
      <t xml:space="preserve">OO</t>
    </r>
    <r>
      <rPr>
        <sz val="10"/>
        <rFont val="Noto Sans CJK JP"/>
        <family val="2"/>
        <charset val="1"/>
      </rPr>
      <t xml:space="preserve">年度都道府県単位保険料率に係る参考資料 </t>
    </r>
    <r>
      <rPr>
        <sz val="10"/>
        <rFont val="Arial"/>
        <family val="2"/>
        <charset val="1"/>
      </rPr>
      <t xml:space="preserve">PDF</t>
    </r>
  </si>
  <si>
    <t xml:space="preserve">R8</t>
  </si>
  <si>
    <t xml:space="preserve">R7</t>
  </si>
  <si>
    <t xml:space="preserve">R6</t>
  </si>
  <si>
    <t xml:space="preserve">R5</t>
  </si>
  <si>
    <t xml:space="preserve">R4</t>
  </si>
  <si>
    <t xml:space="preserve">R3</t>
  </si>
  <si>
    <r>
      <rPr>
        <sz val="10"/>
        <rFont val="Noto Sans CJK JP"/>
        <family val="2"/>
        <charset val="1"/>
      </rPr>
      <t xml:space="preserve">インセンティブ制度に係る令和</t>
    </r>
    <r>
      <rPr>
        <sz val="10"/>
        <rFont val="Arial"/>
        <family val="2"/>
        <charset val="1"/>
      </rPr>
      <t xml:space="preserve">OO</t>
    </r>
    <r>
      <rPr>
        <sz val="10"/>
        <rFont val="Noto Sans CJK JP"/>
        <family val="2"/>
        <charset val="1"/>
      </rPr>
      <t xml:space="preserve">年度実績について </t>
    </r>
    <r>
      <rPr>
        <sz val="10"/>
        <rFont val="Arial"/>
        <family val="2"/>
        <charset val="1"/>
      </rPr>
      <t xml:space="preserve">PDF</t>
    </r>
  </si>
  <si>
    <t xml:space="preserve">R2</t>
  </si>
  <si>
    <t xml:space="preserve">R1</t>
  </si>
  <si>
    <r>
      <rPr>
        <sz val="10"/>
        <rFont val="Noto Sans CJK JP"/>
        <family val="2"/>
        <charset val="1"/>
      </rPr>
      <t xml:space="preserve">都道府県</t>
    </r>
    <r>
      <rPr>
        <sz val="10"/>
        <rFont val="Arial"/>
        <family val="2"/>
        <charset val="1"/>
      </rPr>
      <t xml:space="preserve">No</t>
    </r>
  </si>
  <si>
    <t xml:space="preserve">都道府県名</t>
  </si>
  <si>
    <t xml:space="preserve">医療給付費に ついての調整前の 保険料率</t>
  </si>
  <si>
    <t xml:space="preserve">医療給付費に ついての調整後の 保険料率</t>
  </si>
  <si>
    <r>
      <rPr>
        <sz val="10"/>
        <rFont val="Noto Sans CJK JP"/>
        <family val="2"/>
        <charset val="1"/>
      </rPr>
      <t xml:space="preserve">所要保険料率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JP"/>
        <family val="2"/>
        <charset val="1"/>
      </rPr>
      <t xml:space="preserve">精算除く）</t>
    </r>
    <r>
      <rPr>
        <sz val="10"/>
        <rFont val="Times New Roman"/>
        <family val="1"/>
        <charset val="1"/>
      </rPr>
      <t xml:space="preserve">(a+b+</t>
    </r>
    <r>
      <rPr>
        <sz val="10"/>
        <rFont val="Noto Sans CJK JP"/>
        <family val="2"/>
        <charset val="1"/>
      </rPr>
      <t xml:space="preserve">一律加算保険料率</t>
    </r>
    <r>
      <rPr>
        <sz val="10"/>
        <rFont val="Times New Roman"/>
        <family val="1"/>
        <charset val="1"/>
      </rPr>
      <t xml:space="preserve">)</t>
    </r>
  </si>
  <si>
    <r>
      <rPr>
        <sz val="10"/>
        <rFont val="Noto Sans CJK JP"/>
        <family val="2"/>
        <charset val="1"/>
      </rPr>
      <t xml:space="preserve">保険料率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JP"/>
        <family val="2"/>
        <charset val="1"/>
      </rPr>
      <t xml:space="preserve">精算・インセンティブ反映 後）</t>
    </r>
  </si>
  <si>
    <t xml:space="preserve">計</t>
  </si>
  <si>
    <t xml:space="preserve">誤差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</si>
</sst>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#.00000000"/>
    <numFmt numFmtId="166" formatCode="#,###.0000"/>
    <numFmt numFmtId="167" formatCode="0.00"/>
    <numFmt numFmtId="168" formatCode="#,##0.00000000"/>
    <numFmt numFmtId="169" formatCode="#,###.000"/>
    <numFmt numFmtId="170" formatCode="#,###.00000"/>
    <numFmt numFmtId="171" formatCode="#,##0"/>
    <numFmt numFmtId="172" formatCode="#,##0.0000"/>
    <numFmt numFmtId="173" formatCode="0.0"/>
  </numFmts>
  <fonts count="10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Noto Sans CJK JP"/>
      <family val="2"/>
    </font>
    <font>
      <sz val="10"/>
      <name val="Times New Roman"/>
      <family val="1"/>
      <charset val="1"/>
    </font>
    <font>
      <sz val="10"/>
      <color rgb="FF000000"/>
      <name val="DejaVu Sans"/>
      <family val="2"/>
    </font>
    <font>
      <sz val="10"/>
      <color rgb="FF0000FF"/>
      <name val="Arial"/>
      <family val="2"/>
      <charset val="1"/>
    </font>
    <font>
      <sz val="10"/>
      <color rgb="FF000000"/>
      <name val="DejaVu Sans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分析_1!$G$37</c:f>
              <c:strCache>
                <c:ptCount val="1"/>
                <c:pt idx="0">
                  <c:v>10.45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分析_1!$F$38:$F$318</c:f>
              <c:numCache>
                <c:formatCode>#,###.0000</c:formatCode>
                <c:ptCount val="281"/>
                <c:pt idx="0">
                  <c:v>10.0054828605695</c:v>
                </c:pt>
                <c:pt idx="1">
                  <c:v>9.93426382938404</c:v>
                </c:pt>
                <c:pt idx="2">
                  <c:v>10.0254452656869</c:v>
                </c:pt>
                <c:pt idx="3">
                  <c:v>10.1201368931105</c:v>
                </c:pt>
                <c:pt idx="4">
                  <c:v>9.81039769951736</c:v>
                </c:pt>
                <c:pt idx="5">
                  <c:v>10.0980563916471</c:v>
                </c:pt>
                <c:pt idx="6">
                  <c:v>10.0605302458176</c:v>
                </c:pt>
                <c:pt idx="7">
                  <c:v>10.1143630708999</c:v>
                </c:pt>
                <c:pt idx="8">
                  <c:v>10.0448249554406</c:v>
                </c:pt>
                <c:pt idx="9">
                  <c:v>10.0314972872383</c:v>
                </c:pt>
                <c:pt idx="10">
                  <c:v>10.1350637392925</c:v>
                </c:pt>
                <c:pt idx="11">
                  <c:v>10.0027757932705</c:v>
                </c:pt>
                <c:pt idx="12">
                  <c:v>10.059154165128</c:v>
                </c:pt>
                <c:pt idx="13">
                  <c:v>9.86392572421853</c:v>
                </c:pt>
                <c:pt idx="14">
                  <c:v>9.90590756740374</c:v>
                </c:pt>
                <c:pt idx="15">
                  <c:v>9.88258553707909</c:v>
                </c:pt>
                <c:pt idx="16">
                  <c:v>9.94979543917594</c:v>
                </c:pt>
                <c:pt idx="17">
                  <c:v>9.85438691463389</c:v>
                </c:pt>
                <c:pt idx="18">
                  <c:v>10.013053257714</c:v>
                </c:pt>
                <c:pt idx="19">
                  <c:v>10.0926550957829</c:v>
                </c:pt>
                <c:pt idx="20">
                  <c:v>10.014350740556</c:v>
                </c:pt>
                <c:pt idx="21">
                  <c:v>10.0513577551634</c:v>
                </c:pt>
                <c:pt idx="22">
                  <c:v>9.94647855627685</c:v>
                </c:pt>
                <c:pt idx="23">
                  <c:v>10.0922899091676</c:v>
                </c:pt>
                <c:pt idx="24">
                  <c:v>10.0283130741096</c:v>
                </c:pt>
                <c:pt idx="25">
                  <c:v>10.1363420346063</c:v>
                </c:pt>
                <c:pt idx="26">
                  <c:v>10.0596318149269</c:v>
                </c:pt>
                <c:pt idx="27">
                  <c:v>10.2111371406836</c:v>
                </c:pt>
                <c:pt idx="28">
                  <c:v>10.1428389832783</c:v>
                </c:pt>
                <c:pt idx="29">
                  <c:v>10.0335187061282</c:v>
                </c:pt>
                <c:pt idx="30">
                  <c:v>9.96730469050695</c:v>
                </c:pt>
                <c:pt idx="31">
                  <c:v>10.0969852543934</c:v>
                </c:pt>
                <c:pt idx="32">
                  <c:v>10.0414841335232</c:v>
                </c:pt>
                <c:pt idx="33">
                  <c:v>10.0919639317434</c:v>
                </c:pt>
                <c:pt idx="34">
                  <c:v>10.1075468765501</c:v>
                </c:pt>
                <c:pt idx="35">
                  <c:v>10.2045162444865</c:v>
                </c:pt>
                <c:pt idx="36">
                  <c:v>9.99168456918651</c:v>
                </c:pt>
                <c:pt idx="37">
                  <c:v>9.87445715880755</c:v>
                </c:pt>
                <c:pt idx="38">
                  <c:v>10.0655192582858</c:v>
                </c:pt>
                <c:pt idx="39">
                  <c:v>10.116776217462</c:v>
                </c:pt>
                <c:pt idx="40">
                  <c:v>10.0667341123308</c:v>
                </c:pt>
                <c:pt idx="41">
                  <c:v>10.080215807459</c:v>
                </c:pt>
                <c:pt idx="42">
                  <c:v>9.98899579894636</c:v>
                </c:pt>
                <c:pt idx="43">
                  <c:v>10.1313547390551</c:v>
                </c:pt>
                <c:pt idx="44">
                  <c:v>10.0862220733208</c:v>
                </c:pt>
                <c:pt idx="45">
                  <c:v>10.1282894992249</c:v>
                </c:pt>
                <c:pt idx="46">
                  <c:v>10.0760588032072</c:v>
                </c:pt>
                <c:pt idx="47">
                  <c:v>9.97434724496486</c:v>
                </c:pt>
                <c:pt idx="48">
                  <c:v>9.95012752719349</c:v>
                </c:pt>
                <c:pt idx="49">
                  <c:v>9.97880711020019</c:v>
                </c:pt>
                <c:pt idx="50">
                  <c:v>10.0752665488906</c:v>
                </c:pt>
                <c:pt idx="51">
                  <c:v>9.8054891570111</c:v>
                </c:pt>
                <c:pt idx="52">
                  <c:v>10.1256171890443</c:v>
                </c:pt>
                <c:pt idx="53">
                  <c:v>9.99609912840342</c:v>
                </c:pt>
                <c:pt idx="54">
                  <c:v>10.081652097376</c:v>
                </c:pt>
                <c:pt idx="55">
                  <c:v>9.99049865877447</c:v>
                </c:pt>
                <c:pt idx="56">
                  <c:v>10.0821706518209</c:v>
                </c:pt>
                <c:pt idx="57">
                  <c:v>10.165466481395</c:v>
                </c:pt>
                <c:pt idx="58">
                  <c:v>10.0427609819196</c:v>
                </c:pt>
                <c:pt idx="59">
                  <c:v>10.1151484909071</c:v>
                </c:pt>
                <c:pt idx="60">
                  <c:v>9.87162906733678</c:v>
                </c:pt>
                <c:pt idx="61">
                  <c:v>9.879844492244</c:v>
                </c:pt>
                <c:pt idx="62">
                  <c:v>9.85845333160621</c:v>
                </c:pt>
                <c:pt idx="63">
                  <c:v>9.95373444743728</c:v>
                </c:pt>
                <c:pt idx="64">
                  <c:v>9.85878777693663</c:v>
                </c:pt>
                <c:pt idx="65">
                  <c:v>9.95973420313882</c:v>
                </c:pt>
                <c:pt idx="66">
                  <c:v>10.0429397820944</c:v>
                </c:pt>
                <c:pt idx="67">
                  <c:v>10.0241015048365</c:v>
                </c:pt>
                <c:pt idx="68">
                  <c:v>10.0191466645385</c:v>
                </c:pt>
                <c:pt idx="69">
                  <c:v>9.9426824527233</c:v>
                </c:pt>
                <c:pt idx="70">
                  <c:v>10.0330058807891</c:v>
                </c:pt>
                <c:pt idx="71">
                  <c:v>9.97669248798358</c:v>
                </c:pt>
                <c:pt idx="72">
                  <c:v>10.1520279252904</c:v>
                </c:pt>
                <c:pt idx="73">
                  <c:v>10.0485866625045</c:v>
                </c:pt>
                <c:pt idx="74">
                  <c:v>10.14724723499</c:v>
                </c:pt>
                <c:pt idx="75">
                  <c:v>10.1091729223079</c:v>
                </c:pt>
                <c:pt idx="76">
                  <c:v>10.0743611700753</c:v>
                </c:pt>
                <c:pt idx="77">
                  <c:v>9.92399111489683</c:v>
                </c:pt>
                <c:pt idx="78">
                  <c:v>10.0736544302237</c:v>
                </c:pt>
                <c:pt idx="79">
                  <c:v>10.0038822630822</c:v>
                </c:pt>
                <c:pt idx="80">
                  <c:v>10.0460960585806</c:v>
                </c:pt>
                <c:pt idx="81">
                  <c:v>10.0853927220934</c:v>
                </c:pt>
                <c:pt idx="82">
                  <c:v>10.1663639559968</c:v>
                </c:pt>
                <c:pt idx="83">
                  <c:v>9.97001361096626</c:v>
                </c:pt>
                <c:pt idx="84">
                  <c:v>9.81925129553033</c:v>
                </c:pt>
                <c:pt idx="85">
                  <c:v>10.0618157613001</c:v>
                </c:pt>
                <c:pt idx="86">
                  <c:v>10.1231813242893</c:v>
                </c:pt>
                <c:pt idx="87">
                  <c:v>10.0720010852601</c:v>
                </c:pt>
                <c:pt idx="88">
                  <c:v>10.0706468935409</c:v>
                </c:pt>
                <c:pt idx="89">
                  <c:v>9.99635210304544</c:v>
                </c:pt>
                <c:pt idx="90">
                  <c:v>10.07460272599</c:v>
                </c:pt>
                <c:pt idx="91">
                  <c:v>10.0515034098885</c:v>
                </c:pt>
                <c:pt idx="92">
                  <c:v>10.0859108833247</c:v>
                </c:pt>
                <c:pt idx="93">
                  <c:v>10.1251342483422</c:v>
                </c:pt>
                <c:pt idx="94">
                  <c:v>10.0250634006525</c:v>
                </c:pt>
                <c:pt idx="95">
                  <c:v>9.93445262138117</c:v>
                </c:pt>
                <c:pt idx="96">
                  <c:v>10.0426949568649</c:v>
                </c:pt>
                <c:pt idx="97">
                  <c:v>10.1582731568818</c:v>
                </c:pt>
                <c:pt idx="98">
                  <c:v>9.84847321382051</c:v>
                </c:pt>
                <c:pt idx="99">
                  <c:v>10.0282151188207</c:v>
                </c:pt>
                <c:pt idx="100">
                  <c:v>9.88594181411613</c:v>
                </c:pt>
                <c:pt idx="101">
                  <c:v>9.96708538127028</c:v>
                </c:pt>
                <c:pt idx="102">
                  <c:v>9.89435607246488</c:v>
                </c:pt>
                <c:pt idx="103">
                  <c:v>9.99447457515895</c:v>
                </c:pt>
                <c:pt idx="104">
                  <c:v>10.0507746424153</c:v>
                </c:pt>
                <c:pt idx="105">
                  <c:v>9.96257883627768</c:v>
                </c:pt>
                <c:pt idx="106">
                  <c:v>10.0452302071205</c:v>
                </c:pt>
                <c:pt idx="107">
                  <c:v>9.82396313433205</c:v>
                </c:pt>
                <c:pt idx="108">
                  <c:v>9.86974332006952</c:v>
                </c:pt>
                <c:pt idx="109">
                  <c:v>9.87854164814599</c:v>
                </c:pt>
                <c:pt idx="110">
                  <c:v>9.89165113952358</c:v>
                </c:pt>
                <c:pt idx="111">
                  <c:v>9.82952397631036</c:v>
                </c:pt>
                <c:pt idx="112">
                  <c:v>10.0042251548646</c:v>
                </c:pt>
                <c:pt idx="113">
                  <c:v>9.92009763554475</c:v>
                </c:pt>
                <c:pt idx="114">
                  <c:v>9.92965150794038</c:v>
                </c:pt>
                <c:pt idx="115">
                  <c:v>9.93959923900049</c:v>
                </c:pt>
                <c:pt idx="116">
                  <c:v>9.85509848799673</c:v>
                </c:pt>
                <c:pt idx="117">
                  <c:v>9.86126994149036</c:v>
                </c:pt>
                <c:pt idx="118">
                  <c:v>9.93740159736635</c:v>
                </c:pt>
                <c:pt idx="119">
                  <c:v>10.0594199625286</c:v>
                </c:pt>
                <c:pt idx="120">
                  <c:v>9.96444451839903</c:v>
                </c:pt>
                <c:pt idx="121">
                  <c:v>10.0727655169664</c:v>
                </c:pt>
                <c:pt idx="122">
                  <c:v>10.0098172299197</c:v>
                </c:pt>
                <c:pt idx="123">
                  <c:v>9.98203509769459</c:v>
                </c:pt>
                <c:pt idx="124">
                  <c:v>9.83024737746702</c:v>
                </c:pt>
                <c:pt idx="125">
                  <c:v>10.0596421665745</c:v>
                </c:pt>
                <c:pt idx="126">
                  <c:v>9.95387057353408</c:v>
                </c:pt>
                <c:pt idx="127">
                  <c:v>9.9624200461385</c:v>
                </c:pt>
                <c:pt idx="128">
                  <c:v>10.0998457763493</c:v>
                </c:pt>
                <c:pt idx="129">
                  <c:v>10.1500619715171</c:v>
                </c:pt>
                <c:pt idx="130">
                  <c:v>9.88066633927289</c:v>
                </c:pt>
                <c:pt idx="131">
                  <c:v>9.78347721250453</c:v>
                </c:pt>
                <c:pt idx="132">
                  <c:v>9.96972946598619</c:v>
                </c:pt>
                <c:pt idx="133">
                  <c:v>9.97707964886882</c:v>
                </c:pt>
                <c:pt idx="134">
                  <c:v>10.0348429624097</c:v>
                </c:pt>
                <c:pt idx="135">
                  <c:v>9.98869350661526</c:v>
                </c:pt>
                <c:pt idx="136">
                  <c:v>9.91742641883706</c:v>
                </c:pt>
                <c:pt idx="137">
                  <c:v>9.92612500267195</c:v>
                </c:pt>
                <c:pt idx="138">
                  <c:v>10.0451071146826</c:v>
                </c:pt>
                <c:pt idx="139">
                  <c:v>10.0146293466327</c:v>
                </c:pt>
                <c:pt idx="140">
                  <c:v>9.95215402072891</c:v>
                </c:pt>
                <c:pt idx="141">
                  <c:v>9.84374651379947</c:v>
                </c:pt>
                <c:pt idx="142">
                  <c:v>9.83897100590646</c:v>
                </c:pt>
                <c:pt idx="143">
                  <c:v>9.83711998964833</c:v>
                </c:pt>
                <c:pt idx="144">
                  <c:v>9.9933627548849</c:v>
                </c:pt>
                <c:pt idx="145">
                  <c:v>9.6930540726576</c:v>
                </c:pt>
                <c:pt idx="146">
                  <c:v>10.0248067864419</c:v>
                </c:pt>
                <c:pt idx="147">
                  <c:v>9.94626993439525</c:v>
                </c:pt>
                <c:pt idx="148">
                  <c:v>9.97672411839408</c:v>
                </c:pt>
                <c:pt idx="149">
                  <c:v>9.93143434437344</c:v>
                </c:pt>
                <c:pt idx="150">
                  <c:v>9.99153926996241</c:v>
                </c:pt>
                <c:pt idx="151">
                  <c:v>10.0977468221121</c:v>
                </c:pt>
                <c:pt idx="152">
                  <c:v>9.98461342944487</c:v>
                </c:pt>
                <c:pt idx="153">
                  <c:v>10.0358605166335</c:v>
                </c:pt>
                <c:pt idx="154">
                  <c:v>9.78921275623875</c:v>
                </c:pt>
                <c:pt idx="155">
                  <c:v>9.84302742450455</c:v>
                </c:pt>
                <c:pt idx="156">
                  <c:v>9.86814453405626</c:v>
                </c:pt>
                <c:pt idx="157">
                  <c:v>9.87874456292869</c:v>
                </c:pt>
                <c:pt idx="158">
                  <c:v>9.80244135131159</c:v>
                </c:pt>
                <c:pt idx="159">
                  <c:v>9.97168205733725</c:v>
                </c:pt>
                <c:pt idx="160">
                  <c:v>9.93498082504566</c:v>
                </c:pt>
                <c:pt idx="161">
                  <c:v>9.93710701315895</c:v>
                </c:pt>
                <c:pt idx="162">
                  <c:v>9.93871733504349</c:v>
                </c:pt>
                <c:pt idx="163">
                  <c:v>9.83495565567845</c:v>
                </c:pt>
                <c:pt idx="164">
                  <c:v>9.92864757962042</c:v>
                </c:pt>
                <c:pt idx="165">
                  <c:v>9.9446400590176</c:v>
                </c:pt>
                <c:pt idx="166">
                  <c:v>10.0572224565336</c:v>
                </c:pt>
                <c:pt idx="167">
                  <c:v>9.96474416132341</c:v>
                </c:pt>
                <c:pt idx="168">
                  <c:v>10.0734867815177</c:v>
                </c:pt>
                <c:pt idx="169">
                  <c:v>9.97266270164367</c:v>
                </c:pt>
                <c:pt idx="170">
                  <c:v>9.99462321606395</c:v>
                </c:pt>
                <c:pt idx="171">
                  <c:v>9.78178435492652</c:v>
                </c:pt>
                <c:pt idx="172">
                  <c:v>9.94887992887293</c:v>
                </c:pt>
                <c:pt idx="173">
                  <c:v>9.9451361258209</c:v>
                </c:pt>
                <c:pt idx="174">
                  <c:v>10.0040182309301</c:v>
                </c:pt>
                <c:pt idx="175">
                  <c:v>10.0895900879458</c:v>
                </c:pt>
                <c:pt idx="176">
                  <c:v>10.1468529705949</c:v>
                </c:pt>
                <c:pt idx="177">
                  <c:v>9.88631246751524</c:v>
                </c:pt>
                <c:pt idx="178">
                  <c:v>9.72442880525228</c:v>
                </c:pt>
                <c:pt idx="179">
                  <c:v>10.0060182875524</c:v>
                </c:pt>
                <c:pt idx="180">
                  <c:v>10.0585693374795</c:v>
                </c:pt>
                <c:pt idx="181">
                  <c:v>10.0667207823319</c:v>
                </c:pt>
                <c:pt idx="182">
                  <c:v>10.0174618104053</c:v>
                </c:pt>
                <c:pt idx="183">
                  <c:v>9.93282707826766</c:v>
                </c:pt>
                <c:pt idx="184">
                  <c:v>9.99747085440161</c:v>
                </c:pt>
                <c:pt idx="185">
                  <c:v>10.0181646852117</c:v>
                </c:pt>
                <c:pt idx="186">
                  <c:v>9.97958269356548</c:v>
                </c:pt>
                <c:pt idx="187">
                  <c:v>9.94693240073265</c:v>
                </c:pt>
                <c:pt idx="188">
                  <c:v>9.9794025882655</c:v>
                </c:pt>
                <c:pt idx="189">
                  <c:v>9.9113373430187</c:v>
                </c:pt>
                <c:pt idx="190">
                  <c:v>9.88257848164372</c:v>
                </c:pt>
                <c:pt idx="191">
                  <c:v>9.96967036837402</c:v>
                </c:pt>
                <c:pt idx="192">
                  <c:v>9.73826208437619</c:v>
                </c:pt>
                <c:pt idx="193">
                  <c:v>10.0127234591763</c:v>
                </c:pt>
                <c:pt idx="194">
                  <c:v>9.93901400695341</c:v>
                </c:pt>
                <c:pt idx="195">
                  <c:v>9.96969692707248</c:v>
                </c:pt>
                <c:pt idx="196">
                  <c:v>9.92321178434861</c:v>
                </c:pt>
                <c:pt idx="197">
                  <c:v>10.019276676775</c:v>
                </c:pt>
                <c:pt idx="198">
                  <c:v>10.0822102537183</c:v>
                </c:pt>
                <c:pt idx="199">
                  <c:v>9.97696715885171</c:v>
                </c:pt>
                <c:pt idx="200">
                  <c:v>10.0517823622022</c:v>
                </c:pt>
                <c:pt idx="201">
                  <c:v>9.82326326576201</c:v>
                </c:pt>
                <c:pt idx="202">
                  <c:v>9.83879698382937</c:v>
                </c:pt>
                <c:pt idx="203">
                  <c:v>9.89410663339151</c:v>
                </c:pt>
                <c:pt idx="204">
                  <c:v>9.83903077191155</c:v>
                </c:pt>
                <c:pt idx="205">
                  <c:v>9.81086811814173</c:v>
                </c:pt>
                <c:pt idx="206">
                  <c:v>9.96499185885136</c:v>
                </c:pt>
                <c:pt idx="207">
                  <c:v>9.91391925406025</c:v>
                </c:pt>
                <c:pt idx="208">
                  <c:v>9.93285809491705</c:v>
                </c:pt>
                <c:pt idx="209">
                  <c:v>9.94587568180458</c:v>
                </c:pt>
                <c:pt idx="210">
                  <c:v>9.8407788331424</c:v>
                </c:pt>
                <c:pt idx="211">
                  <c:v>9.89776657389774</c:v>
                </c:pt>
                <c:pt idx="212">
                  <c:v>9.90891773273155</c:v>
                </c:pt>
                <c:pt idx="213">
                  <c:v>10.0424815355232</c:v>
                </c:pt>
                <c:pt idx="214">
                  <c:v>9.94641446233004</c:v>
                </c:pt>
                <c:pt idx="215">
                  <c:v>10.0335115907034</c:v>
                </c:pt>
                <c:pt idx="216">
                  <c:v>9.99346697913066</c:v>
                </c:pt>
                <c:pt idx="217">
                  <c:v>10.0012305594895</c:v>
                </c:pt>
                <c:pt idx="218">
                  <c:v>9.80223250152769</c:v>
                </c:pt>
                <c:pt idx="219">
                  <c:v>9.95062883779484</c:v>
                </c:pt>
                <c:pt idx="220">
                  <c:v>9.94322720517779</c:v>
                </c:pt>
                <c:pt idx="221">
                  <c:v>9.99711741011211</c:v>
                </c:pt>
                <c:pt idx="222">
                  <c:v>10.0978683072014</c:v>
                </c:pt>
                <c:pt idx="223">
                  <c:v>10.1263071547202</c:v>
                </c:pt>
                <c:pt idx="224">
                  <c:v>9.87130660833686</c:v>
                </c:pt>
                <c:pt idx="225">
                  <c:v>9.73332172129224</c:v>
                </c:pt>
                <c:pt idx="226">
                  <c:v>9.98970264904447</c:v>
                </c:pt>
                <c:pt idx="227">
                  <c:v>10.0093972490352</c:v>
                </c:pt>
                <c:pt idx="228">
                  <c:v>10.0124221364388</c:v>
                </c:pt>
                <c:pt idx="229">
                  <c:v>10.0251163495435</c:v>
                </c:pt>
                <c:pt idx="230">
                  <c:v>9.93488789034376</c:v>
                </c:pt>
                <c:pt idx="231">
                  <c:v>9.9584319798828</c:v>
                </c:pt>
                <c:pt idx="232">
                  <c:v>10.0708181458876</c:v>
                </c:pt>
                <c:pt idx="233">
                  <c:v>10.011327519928</c:v>
                </c:pt>
                <c:pt idx="234">
                  <c:v>9.92314010962348</c:v>
                </c:pt>
                <c:pt idx="235">
                  <c:v>9.91557825600167</c:v>
                </c:pt>
                <c:pt idx="236">
                  <c:v>9.85554177682488</c:v>
                </c:pt>
                <c:pt idx="237">
                  <c:v>9.86758191160625</c:v>
                </c:pt>
                <c:pt idx="238">
                  <c:v>9.98209461999936</c:v>
                </c:pt>
                <c:pt idx="239">
                  <c:v>9.71803213384117</c:v>
                </c:pt>
                <c:pt idx="240">
                  <c:v>9.94114665433599</c:v>
                </c:pt>
                <c:pt idx="241">
                  <c:v>9.90223147713318</c:v>
                </c:pt>
                <c:pt idx="242">
                  <c:v>9.92114778855823</c:v>
                </c:pt>
                <c:pt idx="243">
                  <c:v>9.91168536781212</c:v>
                </c:pt>
                <c:pt idx="244">
                  <c:v>9.97756441966813</c:v>
                </c:pt>
                <c:pt idx="245">
                  <c:v>10.019344892531</c:v>
                </c:pt>
                <c:pt idx="246">
                  <c:v>9.97450645733403</c:v>
                </c:pt>
                <c:pt idx="247">
                  <c:v>9.98399777894853</c:v>
                </c:pt>
                <c:pt idx="248">
                  <c:v>9.86005001700856</c:v>
                </c:pt>
                <c:pt idx="249">
                  <c:v>9.77524870759231</c:v>
                </c:pt>
                <c:pt idx="250">
                  <c:v>9.86002009139324</c:v>
                </c:pt>
                <c:pt idx="251">
                  <c:v>9.79078262072065</c:v>
                </c:pt>
                <c:pt idx="252">
                  <c:v>9.81779369327632</c:v>
                </c:pt>
                <c:pt idx="253">
                  <c:v>9.88154628253537</c:v>
                </c:pt>
                <c:pt idx="254">
                  <c:v>9.91057142564309</c:v>
                </c:pt>
                <c:pt idx="255">
                  <c:v>9.89538779015385</c:v>
                </c:pt>
                <c:pt idx="256">
                  <c:v>9.93029560872387</c:v>
                </c:pt>
                <c:pt idx="257">
                  <c:v>9.83499698211144</c:v>
                </c:pt>
                <c:pt idx="258">
                  <c:v>9.83517082636506</c:v>
                </c:pt>
                <c:pt idx="259">
                  <c:v>9.85926184655411</c:v>
                </c:pt>
                <c:pt idx="260">
                  <c:v>10.0051114454609</c:v>
                </c:pt>
                <c:pt idx="261">
                  <c:v>9.92581049662145</c:v>
                </c:pt>
                <c:pt idx="262">
                  <c:v>9.98076550026406</c:v>
                </c:pt>
                <c:pt idx="263">
                  <c:v>9.89745763617182</c:v>
                </c:pt>
                <c:pt idx="264">
                  <c:v>9.92969984776934</c:v>
                </c:pt>
                <c:pt idx="265">
                  <c:v>9.90955654333691</c:v>
                </c:pt>
                <c:pt idx="266">
                  <c:v>9.91992545222248</c:v>
                </c:pt>
                <c:pt idx="267">
                  <c:v>9.93096757204691</c:v>
                </c:pt>
                <c:pt idx="268">
                  <c:v>9.883691365802</c:v>
                </c:pt>
                <c:pt idx="269">
                  <c:v>10.1055844824879</c:v>
                </c:pt>
                <c:pt idx="270">
                  <c:v>10.076075776771</c:v>
                </c:pt>
                <c:pt idx="271">
                  <c:v>9.86288622552282</c:v>
                </c:pt>
                <c:pt idx="272">
                  <c:v>9.71537006166372</c:v>
                </c:pt>
                <c:pt idx="273">
                  <c:v>9.95867813127478</c:v>
                </c:pt>
                <c:pt idx="274">
                  <c:v>9.96766361539236</c:v>
                </c:pt>
                <c:pt idx="275">
                  <c:v>9.96910131489588</c:v>
                </c:pt>
                <c:pt idx="276">
                  <c:v>9.98741079788746</c:v>
                </c:pt>
                <c:pt idx="277">
                  <c:v>9.96824457864515</c:v>
                </c:pt>
                <c:pt idx="278">
                  <c:v>9.94335950880588</c:v>
                </c:pt>
                <c:pt idx="279">
                  <c:v>9.99700668888009</c:v>
                </c:pt>
                <c:pt idx="280">
                  <c:v>10.0174694621973</c:v>
                </c:pt>
              </c:numCache>
            </c:numRef>
          </c:xVal>
          <c:yVal>
            <c:numRef>
              <c:f>分析_1!$G$38:$G$318</c:f>
              <c:numCache>
                <c:formatCode>General</c:formatCode>
                <c:ptCount val="281"/>
                <c:pt idx="0">
                  <c:v>9.96</c:v>
                </c:pt>
                <c:pt idx="1">
                  <c:v>9.74</c:v>
                </c:pt>
                <c:pt idx="2">
                  <c:v>10.01</c:v>
                </c:pt>
                <c:pt idx="3">
                  <c:v>10.16</c:v>
                </c:pt>
                <c:pt idx="4">
                  <c:v>10.03</c:v>
                </c:pt>
                <c:pt idx="5">
                  <c:v>9.64</c:v>
                </c:pt>
                <c:pt idx="6">
                  <c:v>9.74</c:v>
                </c:pt>
                <c:pt idx="7">
                  <c:v>9.87</c:v>
                </c:pt>
                <c:pt idx="8">
                  <c:v>9.66</c:v>
                </c:pt>
                <c:pt idx="9">
                  <c:v>9.8</c:v>
                </c:pt>
                <c:pt idx="10">
                  <c:v>9.79</c:v>
                </c:pt>
                <c:pt idx="11">
                  <c:v>9.84</c:v>
                </c:pt>
                <c:pt idx="12">
                  <c:v>9.99</c:v>
                </c:pt>
                <c:pt idx="13">
                  <c:v>9.5</c:v>
                </c:pt>
                <c:pt idx="14">
                  <c:v>9.59</c:v>
                </c:pt>
                <c:pt idx="15">
                  <c:v>10.11</c:v>
                </c:pt>
                <c:pt idx="16">
                  <c:v>9.98</c:v>
                </c:pt>
                <c:pt idx="17">
                  <c:v>9.79</c:v>
                </c:pt>
                <c:pt idx="18">
                  <c:v>9.71</c:v>
                </c:pt>
                <c:pt idx="19">
                  <c:v>9.83</c:v>
                </c:pt>
                <c:pt idx="20">
                  <c:v>9.72</c:v>
                </c:pt>
                <c:pt idx="21">
                  <c:v>9.91</c:v>
                </c:pt>
                <c:pt idx="22">
                  <c:v>9.81</c:v>
                </c:pt>
                <c:pt idx="23">
                  <c:v>9.78</c:v>
                </c:pt>
                <c:pt idx="24">
                  <c:v>10.06</c:v>
                </c:pt>
                <c:pt idx="25">
                  <c:v>10.29</c:v>
                </c:pt>
                <c:pt idx="26">
                  <c:v>10.24</c:v>
                </c:pt>
                <c:pt idx="27">
                  <c:v>10</c:v>
                </c:pt>
                <c:pt idx="28">
                  <c:v>10.11</c:v>
                </c:pt>
                <c:pt idx="29">
                  <c:v>9.97</c:v>
                </c:pt>
                <c:pt idx="30">
                  <c:v>10.03</c:v>
                </c:pt>
                <c:pt idx="31">
                  <c:v>10.18</c:v>
                </c:pt>
                <c:pt idx="32">
                  <c:v>10.04</c:v>
                </c:pt>
                <c:pt idx="33">
                  <c:v>10.22</c:v>
                </c:pt>
                <c:pt idx="34">
                  <c:v>10.29</c:v>
                </c:pt>
                <c:pt idx="35">
                  <c:v>10.28</c:v>
                </c:pt>
                <c:pt idx="36">
                  <c:v>10.22</c:v>
                </c:pt>
                <c:pt idx="37">
                  <c:v>10.17</c:v>
                </c:pt>
                <c:pt idx="38">
                  <c:v>10.22</c:v>
                </c:pt>
                <c:pt idx="39">
                  <c:v>10.68</c:v>
                </c:pt>
                <c:pt idx="40">
                  <c:v>10.26</c:v>
                </c:pt>
                <c:pt idx="41">
                  <c:v>10.29</c:v>
                </c:pt>
                <c:pt idx="42">
                  <c:v>10.3</c:v>
                </c:pt>
                <c:pt idx="43">
                  <c:v>9.83</c:v>
                </c:pt>
                <c:pt idx="44">
                  <c:v>10.36</c:v>
                </c:pt>
                <c:pt idx="45">
                  <c:v>9.95</c:v>
                </c:pt>
                <c:pt idx="46">
                  <c:v>10.39</c:v>
                </c:pt>
                <c:pt idx="47">
                  <c:v>10.03</c:v>
                </c:pt>
                <c:pt idx="48">
                  <c:v>9.91</c:v>
                </c:pt>
                <c:pt idx="49">
                  <c:v>10.18</c:v>
                </c:pt>
                <c:pt idx="50">
                  <c:v>10.27</c:v>
                </c:pt>
                <c:pt idx="51">
                  <c:v>9.99</c:v>
                </c:pt>
                <c:pt idx="52">
                  <c:v>9.65</c:v>
                </c:pt>
                <c:pt idx="53">
                  <c:v>9.77</c:v>
                </c:pt>
                <c:pt idx="54">
                  <c:v>9.9</c:v>
                </c:pt>
                <c:pt idx="55">
                  <c:v>9.73</c:v>
                </c:pt>
                <c:pt idx="56">
                  <c:v>9.71</c:v>
                </c:pt>
                <c:pt idx="57">
                  <c:v>9.76</c:v>
                </c:pt>
                <c:pt idx="58">
                  <c:v>9.81</c:v>
                </c:pt>
                <c:pt idx="59">
                  <c:v>9.85</c:v>
                </c:pt>
                <c:pt idx="60">
                  <c:v>9.51</c:v>
                </c:pt>
                <c:pt idx="61">
                  <c:v>9.61</c:v>
                </c:pt>
                <c:pt idx="62">
                  <c:v>9.89</c:v>
                </c:pt>
                <c:pt idx="63">
                  <c:v>9.96</c:v>
                </c:pt>
                <c:pt idx="64">
                  <c:v>9.66</c:v>
                </c:pt>
                <c:pt idx="65">
                  <c:v>9.67</c:v>
                </c:pt>
                <c:pt idx="66">
                  <c:v>9.82</c:v>
                </c:pt>
                <c:pt idx="67">
                  <c:v>9.75</c:v>
                </c:pt>
                <c:pt idx="68">
                  <c:v>9.93</c:v>
                </c:pt>
                <c:pt idx="69">
                  <c:v>9.91</c:v>
                </c:pt>
                <c:pt idx="70">
                  <c:v>9.83</c:v>
                </c:pt>
                <c:pt idx="71">
                  <c:v>9.95</c:v>
                </c:pt>
                <c:pt idx="72">
                  <c:v>10.22</c:v>
                </c:pt>
                <c:pt idx="73">
                  <c:v>10.13</c:v>
                </c:pt>
                <c:pt idx="74">
                  <c:v>9.96</c:v>
                </c:pt>
                <c:pt idx="75">
                  <c:v>10.18</c:v>
                </c:pt>
                <c:pt idx="76">
                  <c:v>9.94</c:v>
                </c:pt>
                <c:pt idx="77">
                  <c:v>10.35</c:v>
                </c:pt>
                <c:pt idx="78">
                  <c:v>10.25</c:v>
                </c:pt>
                <c:pt idx="79">
                  <c:v>10.09</c:v>
                </c:pt>
                <c:pt idx="80">
                  <c:v>10.15</c:v>
                </c:pt>
                <c:pt idx="81">
                  <c:v>10.43</c:v>
                </c:pt>
                <c:pt idx="82">
                  <c:v>10.34</c:v>
                </c:pt>
                <c:pt idx="83">
                  <c:v>10.26</c:v>
                </c:pt>
                <c:pt idx="84">
                  <c:v>10.3</c:v>
                </c:pt>
                <c:pt idx="85">
                  <c:v>10.21</c:v>
                </c:pt>
                <c:pt idx="86">
                  <c:v>11</c:v>
                </c:pt>
                <c:pt idx="87">
                  <c:v>10.47</c:v>
                </c:pt>
                <c:pt idx="88">
                  <c:v>10.45</c:v>
                </c:pt>
                <c:pt idx="89">
                  <c:v>10.52</c:v>
                </c:pt>
                <c:pt idx="90">
                  <c:v>10.14</c:v>
                </c:pt>
                <c:pt idx="91">
                  <c:v>10.65</c:v>
                </c:pt>
                <c:pt idx="92">
                  <c:v>10.09</c:v>
                </c:pt>
                <c:pt idx="93">
                  <c:v>10.29</c:v>
                </c:pt>
                <c:pt idx="94">
                  <c:v>9.79</c:v>
                </c:pt>
                <c:pt idx="95">
                  <c:v>9.77</c:v>
                </c:pt>
                <c:pt idx="96">
                  <c:v>10.05</c:v>
                </c:pt>
                <c:pt idx="97">
                  <c:v>9.86</c:v>
                </c:pt>
                <c:pt idx="98">
                  <c:v>9.98</c:v>
                </c:pt>
                <c:pt idx="99">
                  <c:v>9.53</c:v>
                </c:pt>
                <c:pt idx="100">
                  <c:v>9.73</c:v>
                </c:pt>
                <c:pt idx="101">
                  <c:v>9.96</c:v>
                </c:pt>
                <c:pt idx="102">
                  <c:v>9.76</c:v>
                </c:pt>
                <c:pt idx="103">
                  <c:v>9.82</c:v>
                </c:pt>
                <c:pt idx="104">
                  <c:v>9.87</c:v>
                </c:pt>
                <c:pt idx="105">
                  <c:v>10</c:v>
                </c:pt>
                <c:pt idx="106">
                  <c:v>10.02</c:v>
                </c:pt>
                <c:pt idx="107">
                  <c:v>9.33</c:v>
                </c:pt>
                <c:pt idx="108">
                  <c:v>9.57</c:v>
                </c:pt>
                <c:pt idx="109">
                  <c:v>9.66</c:v>
                </c:pt>
                <c:pt idx="110">
                  <c:v>9.91</c:v>
                </c:pt>
                <c:pt idx="111">
                  <c:v>9.67</c:v>
                </c:pt>
                <c:pt idx="112">
                  <c:v>9.49</c:v>
                </c:pt>
                <c:pt idx="113">
                  <c:v>9.8</c:v>
                </c:pt>
                <c:pt idx="114">
                  <c:v>9.75</c:v>
                </c:pt>
                <c:pt idx="115">
                  <c:v>10.01</c:v>
                </c:pt>
                <c:pt idx="116">
                  <c:v>9.81</c:v>
                </c:pt>
                <c:pt idx="117">
                  <c:v>9.73</c:v>
                </c:pt>
                <c:pt idx="118">
                  <c:v>10.09</c:v>
                </c:pt>
                <c:pt idx="119">
                  <c:v>10.29</c:v>
                </c:pt>
                <c:pt idx="120">
                  <c:v>10.17</c:v>
                </c:pt>
                <c:pt idx="121">
                  <c:v>10.14</c:v>
                </c:pt>
                <c:pt idx="122">
                  <c:v>9.94</c:v>
                </c:pt>
                <c:pt idx="123">
                  <c:v>9.82</c:v>
                </c:pt>
                <c:pt idx="124">
                  <c:v>10.26</c:v>
                </c:pt>
                <c:pt idx="125">
                  <c:v>10.07</c:v>
                </c:pt>
                <c:pt idx="126">
                  <c:v>9.92</c:v>
                </c:pt>
                <c:pt idx="127">
                  <c:v>9.96</c:v>
                </c:pt>
                <c:pt idx="128">
                  <c:v>10.25</c:v>
                </c:pt>
                <c:pt idx="129">
                  <c:v>10.23</c:v>
                </c:pt>
                <c:pt idx="130">
                  <c:v>10.01</c:v>
                </c:pt>
                <c:pt idx="131">
                  <c:v>10.1</c:v>
                </c:pt>
                <c:pt idx="132">
                  <c:v>10.36</c:v>
                </c:pt>
                <c:pt idx="133">
                  <c:v>10.51</c:v>
                </c:pt>
                <c:pt idx="134">
                  <c:v>10.21</c:v>
                </c:pt>
                <c:pt idx="135">
                  <c:v>10.32</c:v>
                </c:pt>
                <c:pt idx="136">
                  <c:v>10.2</c:v>
                </c:pt>
                <c:pt idx="137">
                  <c:v>9.76</c:v>
                </c:pt>
                <c:pt idx="138">
                  <c:v>10.26</c:v>
                </c:pt>
                <c:pt idx="139">
                  <c:v>9.89</c:v>
                </c:pt>
                <c:pt idx="140">
                  <c:v>10.21</c:v>
                </c:pt>
                <c:pt idx="141">
                  <c:v>9.49</c:v>
                </c:pt>
                <c:pt idx="142">
                  <c:v>9.63</c:v>
                </c:pt>
                <c:pt idx="143">
                  <c:v>10.01</c:v>
                </c:pt>
                <c:pt idx="144">
                  <c:v>9.85</c:v>
                </c:pt>
                <c:pt idx="145">
                  <c:v>9.84</c:v>
                </c:pt>
                <c:pt idx="146">
                  <c:v>9.59</c:v>
                </c:pt>
                <c:pt idx="147">
                  <c:v>9.66</c:v>
                </c:pt>
                <c:pt idx="148">
                  <c:v>9.79</c:v>
                </c:pt>
                <c:pt idx="149">
                  <c:v>9.81</c:v>
                </c:pt>
                <c:pt idx="150">
                  <c:v>9.78</c:v>
                </c:pt>
                <c:pt idx="151">
                  <c:v>9.77</c:v>
                </c:pt>
                <c:pt idx="152">
                  <c:v>9.98</c:v>
                </c:pt>
                <c:pt idx="153">
                  <c:v>10.02</c:v>
                </c:pt>
                <c:pt idx="154">
                  <c:v>9.35</c:v>
                </c:pt>
                <c:pt idx="155">
                  <c:v>9.62</c:v>
                </c:pt>
                <c:pt idx="156">
                  <c:v>9.94</c:v>
                </c:pt>
                <c:pt idx="157">
                  <c:v>10.07</c:v>
                </c:pt>
                <c:pt idx="158">
                  <c:v>9.94</c:v>
                </c:pt>
                <c:pt idx="159">
                  <c:v>9.55</c:v>
                </c:pt>
                <c:pt idx="160">
                  <c:v>9.91</c:v>
                </c:pt>
                <c:pt idx="161">
                  <c:v>9.85</c:v>
                </c:pt>
                <c:pt idx="162">
                  <c:v>10.02</c:v>
                </c:pt>
                <c:pt idx="163">
                  <c:v>9.94</c:v>
                </c:pt>
                <c:pt idx="164">
                  <c:v>9.89</c:v>
                </c:pt>
                <c:pt idx="165">
                  <c:v>10.13</c:v>
                </c:pt>
                <c:pt idx="166">
                  <c:v>10.34</c:v>
                </c:pt>
                <c:pt idx="167">
                  <c:v>10.18</c:v>
                </c:pt>
                <c:pt idx="168">
                  <c:v>10.22</c:v>
                </c:pt>
                <c:pt idx="169">
                  <c:v>10</c:v>
                </c:pt>
                <c:pt idx="170">
                  <c:v>9.68</c:v>
                </c:pt>
                <c:pt idx="171">
                  <c:v>9.92</c:v>
                </c:pt>
                <c:pt idx="172">
                  <c:v>10.02</c:v>
                </c:pt>
                <c:pt idx="173">
                  <c:v>9.95</c:v>
                </c:pt>
                <c:pt idx="174">
                  <c:v>10.2</c:v>
                </c:pt>
                <c:pt idx="175">
                  <c:v>10.19</c:v>
                </c:pt>
                <c:pt idx="176">
                  <c:v>10.33</c:v>
                </c:pt>
                <c:pt idx="177">
                  <c:v>10.03</c:v>
                </c:pt>
                <c:pt idx="178">
                  <c:v>9.89</c:v>
                </c:pt>
                <c:pt idx="179">
                  <c:v>10.35</c:v>
                </c:pt>
                <c:pt idx="180">
                  <c:v>10.42</c:v>
                </c:pt>
                <c:pt idx="181">
                  <c:v>10.17</c:v>
                </c:pt>
                <c:pt idx="182">
                  <c:v>10.3</c:v>
                </c:pt>
                <c:pt idx="183">
                  <c:v>10.25</c:v>
                </c:pt>
                <c:pt idx="184">
                  <c:v>9.85</c:v>
                </c:pt>
                <c:pt idx="185">
                  <c:v>10.13</c:v>
                </c:pt>
                <c:pt idx="186">
                  <c:v>9.52</c:v>
                </c:pt>
                <c:pt idx="187">
                  <c:v>10.31</c:v>
                </c:pt>
                <c:pt idx="188">
                  <c:v>9.85</c:v>
                </c:pt>
                <c:pt idx="189">
                  <c:v>9.62</c:v>
                </c:pt>
                <c:pt idx="190">
                  <c:v>10.11</c:v>
                </c:pt>
                <c:pt idx="191">
                  <c:v>10.01</c:v>
                </c:pt>
                <c:pt idx="192">
                  <c:v>9.75</c:v>
                </c:pt>
                <c:pt idx="193">
                  <c:v>9.62</c:v>
                </c:pt>
                <c:pt idx="194">
                  <c:v>9.67</c:v>
                </c:pt>
                <c:pt idx="195">
                  <c:v>9.82</c:v>
                </c:pt>
                <c:pt idx="196">
                  <c:v>9.77</c:v>
                </c:pt>
                <c:pt idx="197">
                  <c:v>9.76</c:v>
                </c:pt>
                <c:pt idx="198">
                  <c:v>9.79</c:v>
                </c:pt>
                <c:pt idx="199">
                  <c:v>9.91</c:v>
                </c:pt>
                <c:pt idx="200">
                  <c:v>9.92</c:v>
                </c:pt>
                <c:pt idx="201">
                  <c:v>9.55</c:v>
                </c:pt>
                <c:pt idx="202">
                  <c:v>9.65</c:v>
                </c:pt>
                <c:pt idx="203">
                  <c:v>9.88</c:v>
                </c:pt>
                <c:pt idx="204">
                  <c:v>9.94</c:v>
                </c:pt>
                <c:pt idx="205">
                  <c:v>9.89</c:v>
                </c:pt>
                <c:pt idx="206">
                  <c:v>9.69</c:v>
                </c:pt>
                <c:pt idx="207">
                  <c:v>9.93</c:v>
                </c:pt>
                <c:pt idx="208">
                  <c:v>9.8</c:v>
                </c:pt>
                <c:pt idx="209">
                  <c:v>10.03</c:v>
                </c:pt>
                <c:pt idx="210">
                  <c:v>9.99</c:v>
                </c:pt>
                <c:pt idx="211">
                  <c:v>9.97</c:v>
                </c:pt>
                <c:pt idx="212">
                  <c:v>10.03</c:v>
                </c:pt>
                <c:pt idx="213">
                  <c:v>10.24</c:v>
                </c:pt>
                <c:pt idx="214">
                  <c:v>10.16</c:v>
                </c:pt>
                <c:pt idx="215">
                  <c:v>10.02</c:v>
                </c:pt>
                <c:pt idx="216">
                  <c:v>10.19</c:v>
                </c:pt>
                <c:pt idx="217">
                  <c:v>9.93</c:v>
                </c:pt>
                <c:pt idx="218">
                  <c:v>9.94</c:v>
                </c:pt>
                <c:pt idx="219">
                  <c:v>10.17</c:v>
                </c:pt>
                <c:pt idx="220">
                  <c:v>9.97</c:v>
                </c:pt>
                <c:pt idx="221">
                  <c:v>10.36</c:v>
                </c:pt>
                <c:pt idx="222">
                  <c:v>10.47</c:v>
                </c:pt>
                <c:pt idx="223">
                  <c:v>10.21</c:v>
                </c:pt>
                <c:pt idx="224">
                  <c:v>10.18</c:v>
                </c:pt>
                <c:pt idx="225">
                  <c:v>10.13</c:v>
                </c:pt>
                <c:pt idx="226">
                  <c:v>10.31</c:v>
                </c:pt>
                <c:pt idx="227">
                  <c:v>10.78</c:v>
                </c:pt>
                <c:pt idx="228">
                  <c:v>10.41</c:v>
                </c:pt>
                <c:pt idx="229">
                  <c:v>10.12</c:v>
                </c:pt>
                <c:pt idx="230">
                  <c:v>10.25</c:v>
                </c:pt>
                <c:pt idx="231">
                  <c:v>10.09</c:v>
                </c:pt>
                <c:pt idx="232">
                  <c:v>10.31</c:v>
                </c:pt>
                <c:pt idx="233">
                  <c:v>9.44</c:v>
                </c:pt>
                <c:pt idx="234">
                  <c:v>10.28</c:v>
                </c:pt>
                <c:pt idx="235">
                  <c:v>9.85</c:v>
                </c:pt>
                <c:pt idx="236">
                  <c:v>9.51</c:v>
                </c:pt>
                <c:pt idx="237">
                  <c:v>10.1</c:v>
                </c:pt>
                <c:pt idx="238">
                  <c:v>10.01</c:v>
                </c:pt>
                <c:pt idx="239">
                  <c:v>9.75</c:v>
                </c:pt>
                <c:pt idx="240">
                  <c:v>9.5</c:v>
                </c:pt>
                <c:pt idx="241">
                  <c:v>9.52</c:v>
                </c:pt>
                <c:pt idx="242">
                  <c:v>9.82</c:v>
                </c:pt>
                <c:pt idx="243">
                  <c:v>9.68</c:v>
                </c:pt>
                <c:pt idx="244">
                  <c:v>9.67</c:v>
                </c:pt>
                <c:pt idx="245">
                  <c:v>9.73</c:v>
                </c:pt>
                <c:pt idx="246">
                  <c:v>9.85</c:v>
                </c:pt>
                <c:pt idx="247">
                  <c:v>9.92</c:v>
                </c:pt>
                <c:pt idx="248">
                  <c:v>9.21</c:v>
                </c:pt>
                <c:pt idx="249">
                  <c:v>9.59</c:v>
                </c:pt>
                <c:pt idx="250">
                  <c:v>9.7</c:v>
                </c:pt>
                <c:pt idx="251">
                  <c:v>9.71</c:v>
                </c:pt>
                <c:pt idx="252">
                  <c:v>9.55</c:v>
                </c:pt>
                <c:pt idx="253">
                  <c:v>9.63</c:v>
                </c:pt>
                <c:pt idx="254">
                  <c:v>9.8</c:v>
                </c:pt>
                <c:pt idx="255">
                  <c:v>9.61</c:v>
                </c:pt>
                <c:pt idx="256">
                  <c:v>9.93</c:v>
                </c:pt>
                <c:pt idx="257">
                  <c:v>9.77</c:v>
                </c:pt>
                <c:pt idx="258">
                  <c:v>9.88</c:v>
                </c:pt>
                <c:pt idx="259">
                  <c:v>9.89</c:v>
                </c:pt>
                <c:pt idx="260">
                  <c:v>10.13</c:v>
                </c:pt>
                <c:pt idx="261">
                  <c:v>10.12</c:v>
                </c:pt>
                <c:pt idx="262">
                  <c:v>9.91</c:v>
                </c:pt>
                <c:pt idx="263">
                  <c:v>10.06</c:v>
                </c:pt>
                <c:pt idx="264">
                  <c:v>9.86</c:v>
                </c:pt>
                <c:pt idx="265">
                  <c:v>9.94</c:v>
                </c:pt>
                <c:pt idx="266">
                  <c:v>10.05</c:v>
                </c:pt>
                <c:pt idx="267">
                  <c:v>9.78</c:v>
                </c:pt>
                <c:pt idx="268">
                  <c:v>10.15</c:v>
                </c:pt>
                <c:pt idx="269">
                  <c:v>10.24</c:v>
                </c:pt>
                <c:pt idx="270">
                  <c:v>10.02</c:v>
                </c:pt>
                <c:pt idx="271">
                  <c:v>9.98</c:v>
                </c:pt>
                <c:pt idx="272">
                  <c:v>10.05</c:v>
                </c:pt>
                <c:pt idx="273">
                  <c:v>10.11</c:v>
                </c:pt>
                <c:pt idx="274">
                  <c:v>10.55</c:v>
                </c:pt>
                <c:pt idx="275">
                  <c:v>10.06</c:v>
                </c:pt>
                <c:pt idx="276">
                  <c:v>10.08</c:v>
                </c:pt>
                <c:pt idx="277">
                  <c:v>10.08</c:v>
                </c:pt>
                <c:pt idx="278">
                  <c:v>9.77</c:v>
                </c:pt>
                <c:pt idx="279">
                  <c:v>10.13</c:v>
                </c:pt>
                <c:pt idx="280">
                  <c:v>9.44</c:v>
                </c:pt>
              </c:numCache>
            </c:numRef>
          </c:yVal>
          <c:smooth val="0"/>
        </c:ser>
        <c:axId val="99445903"/>
        <c:axId val="65384258"/>
      </c:scatterChart>
      <c:valAx>
        <c:axId val="9944590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5384258"/>
        <c:crosses val="autoZero"/>
        <c:crossBetween val="midCat"/>
      </c:valAx>
      <c:valAx>
        <c:axId val="653842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944590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分析_2!$H$37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分析_2!$G$38:$G$319</c:f>
              <c:numCache>
                <c:formatCode>#,###.000</c:formatCode>
                <c:ptCount val="282"/>
                <c:pt idx="0">
                  <c:v>10.4658872739581</c:v>
                </c:pt>
                <c:pt idx="1">
                  <c:v>9.96836856084817</c:v>
                </c:pt>
                <c:pt idx="2">
                  <c:v>9.73939794283557</c:v>
                </c:pt>
                <c:pt idx="3">
                  <c:v>10.0121431801878</c:v>
                </c:pt>
                <c:pt idx="4">
                  <c:v>10.1826799195063</c:v>
                </c:pt>
                <c:pt idx="5">
                  <c:v>10.0366554848731</c:v>
                </c:pt>
                <c:pt idx="6">
                  <c:v>9.63882998775382</c:v>
                </c:pt>
                <c:pt idx="7">
                  <c:v>9.75453713188049</c:v>
                </c:pt>
                <c:pt idx="8">
                  <c:v>9.87350297804782</c:v>
                </c:pt>
                <c:pt idx="9">
                  <c:v>9.67516922902347</c:v>
                </c:pt>
                <c:pt idx="10">
                  <c:v>9.80447881711668</c:v>
                </c:pt>
                <c:pt idx="11">
                  <c:v>9.80523877431162</c:v>
                </c:pt>
                <c:pt idx="12">
                  <c:v>9.84898506054159</c:v>
                </c:pt>
                <c:pt idx="13">
                  <c:v>10.0070012933575</c:v>
                </c:pt>
                <c:pt idx="14">
                  <c:v>9.49798812686374</c:v>
                </c:pt>
                <c:pt idx="15">
                  <c:v>9.59853801309781</c:v>
                </c:pt>
                <c:pt idx="16">
                  <c:v>10.1143575846575</c:v>
                </c:pt>
                <c:pt idx="17">
                  <c:v>9.98929053964479</c:v>
                </c:pt>
                <c:pt idx="18">
                  <c:v>9.79509637502853</c:v>
                </c:pt>
                <c:pt idx="19">
                  <c:v>9.72039256099955</c:v>
                </c:pt>
                <c:pt idx="20">
                  <c:v>9.83411115682089</c:v>
                </c:pt>
                <c:pt idx="21">
                  <c:v>9.74365156756826</c:v>
                </c:pt>
                <c:pt idx="22">
                  <c:v>9.91521357911256</c:v>
                </c:pt>
                <c:pt idx="23">
                  <c:v>9.82433554876127</c:v>
                </c:pt>
                <c:pt idx="24">
                  <c:v>9.75805582956147</c:v>
                </c:pt>
                <c:pt idx="25">
                  <c:v>10.0640723773766</c:v>
                </c:pt>
                <c:pt idx="26">
                  <c:v>10.296180274195</c:v>
                </c:pt>
                <c:pt idx="27">
                  <c:v>10.2546857680593</c:v>
                </c:pt>
                <c:pt idx="28">
                  <c:v>10.0110435346788</c:v>
                </c:pt>
                <c:pt idx="29">
                  <c:v>10.1203504742736</c:v>
                </c:pt>
                <c:pt idx="30">
                  <c:v>9.97012211983139</c:v>
                </c:pt>
                <c:pt idx="31">
                  <c:v>10.0373272903187</c:v>
                </c:pt>
                <c:pt idx="32">
                  <c:v>10.1831462301571</c:v>
                </c:pt>
                <c:pt idx="33">
                  <c:v>10.0438599510456</c:v>
                </c:pt>
                <c:pt idx="34">
                  <c:v>10.2362992251752</c:v>
                </c:pt>
                <c:pt idx="35">
                  <c:v>10.2947209651587</c:v>
                </c:pt>
                <c:pt idx="36">
                  <c:v>10.2851452437886</c:v>
                </c:pt>
                <c:pt idx="37">
                  <c:v>10.2300724497771</c:v>
                </c:pt>
                <c:pt idx="38">
                  <c:v>10.1842933197969</c:v>
                </c:pt>
                <c:pt idx="39">
                  <c:v>10.2234858190904</c:v>
                </c:pt>
                <c:pt idx="40">
                  <c:v>10.6831502374993</c:v>
                </c:pt>
                <c:pt idx="41">
                  <c:v>10.269437694204</c:v>
                </c:pt>
                <c:pt idx="42">
                  <c:v>10.307973844429</c:v>
                </c:pt>
                <c:pt idx="43">
                  <c:v>10.3004712160564</c:v>
                </c:pt>
                <c:pt idx="44">
                  <c:v>9.82762305109892</c:v>
                </c:pt>
                <c:pt idx="45">
                  <c:v>10.3578857734282</c:v>
                </c:pt>
                <c:pt idx="46">
                  <c:v>9.93757644322875</c:v>
                </c:pt>
                <c:pt idx="47">
                  <c:v>10.3843577909416</c:v>
                </c:pt>
                <c:pt idx="48">
                  <c:v>10.0112548327364</c:v>
                </c:pt>
                <c:pt idx="49">
                  <c:v>9.89611860112327</c:v>
                </c:pt>
                <c:pt idx="50">
                  <c:v>10.1829473534493</c:v>
                </c:pt>
                <c:pt idx="51">
                  <c:v>10.2619268514746</c:v>
                </c:pt>
                <c:pt idx="52">
                  <c:v>9.99531815452999</c:v>
                </c:pt>
                <c:pt idx="53">
                  <c:v>9.65490867184098</c:v>
                </c:pt>
                <c:pt idx="54">
                  <c:v>9.76080561551876</c:v>
                </c:pt>
                <c:pt idx="55">
                  <c:v>9.90514141633621</c:v>
                </c:pt>
                <c:pt idx="56">
                  <c:v>9.73058324720491</c:v>
                </c:pt>
                <c:pt idx="57">
                  <c:v>9.71214675201796</c:v>
                </c:pt>
                <c:pt idx="58">
                  <c:v>9.76192830334832</c:v>
                </c:pt>
                <c:pt idx="59">
                  <c:v>9.81540811576878</c:v>
                </c:pt>
                <c:pt idx="60">
                  <c:v>9.85528365637973</c:v>
                </c:pt>
                <c:pt idx="61">
                  <c:v>9.50490557995458</c:v>
                </c:pt>
                <c:pt idx="62">
                  <c:v>9.59753588101668</c:v>
                </c:pt>
                <c:pt idx="63">
                  <c:v>9.90295206249298</c:v>
                </c:pt>
                <c:pt idx="64">
                  <c:v>9.97164250518378</c:v>
                </c:pt>
                <c:pt idx="65">
                  <c:v>9.65153210466565</c:v>
                </c:pt>
                <c:pt idx="66">
                  <c:v>9.66768631184366</c:v>
                </c:pt>
                <c:pt idx="67">
                  <c:v>9.81019033600355</c:v>
                </c:pt>
                <c:pt idx="68">
                  <c:v>9.73085653087228</c:v>
                </c:pt>
                <c:pt idx="69">
                  <c:v>9.92135095600019</c:v>
                </c:pt>
                <c:pt idx="70">
                  <c:v>9.90932913308034</c:v>
                </c:pt>
                <c:pt idx="71">
                  <c:v>9.8260356622181</c:v>
                </c:pt>
                <c:pt idx="72">
                  <c:v>9.9522489634903</c:v>
                </c:pt>
                <c:pt idx="73">
                  <c:v>10.2233669113525</c:v>
                </c:pt>
                <c:pt idx="74">
                  <c:v>10.1323478831075</c:v>
                </c:pt>
                <c:pt idx="75">
                  <c:v>9.95983784752782</c:v>
                </c:pt>
                <c:pt idx="76">
                  <c:v>10.1938502496925</c:v>
                </c:pt>
                <c:pt idx="77">
                  <c:v>9.95715437441826</c:v>
                </c:pt>
                <c:pt idx="78">
                  <c:v>10.3529374523452</c:v>
                </c:pt>
                <c:pt idx="79">
                  <c:v>10.2405349174898</c:v>
                </c:pt>
                <c:pt idx="80">
                  <c:v>10.0898435568987</c:v>
                </c:pt>
                <c:pt idx="81">
                  <c:v>10.1542986657035</c:v>
                </c:pt>
                <c:pt idx="82">
                  <c:v>10.4178412290282</c:v>
                </c:pt>
                <c:pt idx="83">
                  <c:v>10.3321942497842</c:v>
                </c:pt>
                <c:pt idx="84">
                  <c:v>10.2470124087469</c:v>
                </c:pt>
                <c:pt idx="85">
                  <c:v>10.2911355653701</c:v>
                </c:pt>
                <c:pt idx="86">
                  <c:v>10.212638124448</c:v>
                </c:pt>
                <c:pt idx="87">
                  <c:v>10.990547382822</c:v>
                </c:pt>
                <c:pt idx="88">
                  <c:v>10.4671321098993</c:v>
                </c:pt>
                <c:pt idx="89">
                  <c:v>10.4498805529812</c:v>
                </c:pt>
                <c:pt idx="90">
                  <c:v>10.5096445785016</c:v>
                </c:pt>
                <c:pt idx="91">
                  <c:v>10.1382727928485</c:v>
                </c:pt>
                <c:pt idx="92">
                  <c:v>10.6525896532743</c:v>
                </c:pt>
                <c:pt idx="93">
                  <c:v>10.0765048483886</c:v>
                </c:pt>
                <c:pt idx="94">
                  <c:v>10.2949194093788</c:v>
                </c:pt>
                <c:pt idx="95">
                  <c:v>9.7977574420689</c:v>
                </c:pt>
                <c:pt idx="96">
                  <c:v>9.76676170006248</c:v>
                </c:pt>
                <c:pt idx="97">
                  <c:v>10.0560776592662</c:v>
                </c:pt>
                <c:pt idx="98">
                  <c:v>9.86089979602508</c:v>
                </c:pt>
                <c:pt idx="99">
                  <c:v>9.97229260417121</c:v>
                </c:pt>
                <c:pt idx="100">
                  <c:v>9.52804555671934</c:v>
                </c:pt>
                <c:pt idx="101">
                  <c:v>9.73100426982197</c:v>
                </c:pt>
                <c:pt idx="102">
                  <c:v>9.9559874626196</c:v>
                </c:pt>
                <c:pt idx="103">
                  <c:v>9.75925973290948</c:v>
                </c:pt>
                <c:pt idx="104">
                  <c:v>9.82093756564314</c:v>
                </c:pt>
                <c:pt idx="105">
                  <c:v>9.87097058096046</c:v>
                </c:pt>
                <c:pt idx="106">
                  <c:v>10.0033796918993</c:v>
                </c:pt>
                <c:pt idx="107">
                  <c:v>10.0136240164974</c:v>
                </c:pt>
                <c:pt idx="108">
                  <c:v>9.32842507965118</c:v>
                </c:pt>
                <c:pt idx="109">
                  <c:v>9.56147989157446</c:v>
                </c:pt>
                <c:pt idx="110">
                  <c:v>9.6611818537912</c:v>
                </c:pt>
                <c:pt idx="111">
                  <c:v>9.90524679897176</c:v>
                </c:pt>
                <c:pt idx="112">
                  <c:v>9.6720337825436</c:v>
                </c:pt>
                <c:pt idx="113">
                  <c:v>9.48884697500296</c:v>
                </c:pt>
                <c:pt idx="114">
                  <c:v>9.79776131058102</c:v>
                </c:pt>
                <c:pt idx="115">
                  <c:v>9.75512786732464</c:v>
                </c:pt>
                <c:pt idx="116">
                  <c:v>10.0107255665652</c:v>
                </c:pt>
                <c:pt idx="117">
                  <c:v>9.80070018750674</c:v>
                </c:pt>
                <c:pt idx="118">
                  <c:v>9.73004920537808</c:v>
                </c:pt>
                <c:pt idx="119">
                  <c:v>10.082631237622</c:v>
                </c:pt>
                <c:pt idx="120">
                  <c:v>10.2928438320951</c:v>
                </c:pt>
                <c:pt idx="121">
                  <c:v>10.1726500502163</c:v>
                </c:pt>
                <c:pt idx="122">
                  <c:v>10.1325758076989</c:v>
                </c:pt>
                <c:pt idx="123">
                  <c:v>9.94742408315039</c:v>
                </c:pt>
                <c:pt idx="124">
                  <c:v>9.80801116450705</c:v>
                </c:pt>
                <c:pt idx="125">
                  <c:v>10.2579169271428</c:v>
                </c:pt>
                <c:pt idx="126">
                  <c:v>10.0725720499124</c:v>
                </c:pt>
                <c:pt idx="127">
                  <c:v>9.92145005187995</c:v>
                </c:pt>
                <c:pt idx="128">
                  <c:v>9.96546990875277</c:v>
                </c:pt>
                <c:pt idx="129">
                  <c:v>10.2520321314786</c:v>
                </c:pt>
                <c:pt idx="130">
                  <c:v>10.2285273340264</c:v>
                </c:pt>
                <c:pt idx="131">
                  <c:v>10.0103861049246</c:v>
                </c:pt>
                <c:pt idx="132">
                  <c:v>10.1017368159396</c:v>
                </c:pt>
                <c:pt idx="133">
                  <c:v>10.3596809414069</c:v>
                </c:pt>
                <c:pt idx="134">
                  <c:v>10.5182009211023</c:v>
                </c:pt>
                <c:pt idx="135">
                  <c:v>10.2004882228821</c:v>
                </c:pt>
                <c:pt idx="136">
                  <c:v>10.3167297431462</c:v>
                </c:pt>
                <c:pt idx="137">
                  <c:v>10.1988658059411</c:v>
                </c:pt>
                <c:pt idx="138">
                  <c:v>9.75318217645187</c:v>
                </c:pt>
                <c:pt idx="139">
                  <c:v>10.2448768565712</c:v>
                </c:pt>
                <c:pt idx="140">
                  <c:v>9.8758762871097</c:v>
                </c:pt>
                <c:pt idx="141">
                  <c:v>10.2135245785608</c:v>
                </c:pt>
                <c:pt idx="142">
                  <c:v>9.48976390371069</c:v>
                </c:pt>
                <c:pt idx="143">
                  <c:v>9.62731529155859</c:v>
                </c:pt>
                <c:pt idx="144">
                  <c:v>10.009904916291</c:v>
                </c:pt>
                <c:pt idx="145">
                  <c:v>9.84652544528758</c:v>
                </c:pt>
                <c:pt idx="146">
                  <c:v>9.83283974382038</c:v>
                </c:pt>
                <c:pt idx="147">
                  <c:v>9.58689233944141</c:v>
                </c:pt>
                <c:pt idx="148">
                  <c:v>9.66965609361721</c:v>
                </c:pt>
                <c:pt idx="149">
                  <c:v>9.78663112802607</c:v>
                </c:pt>
                <c:pt idx="150">
                  <c:v>9.80694917427227</c:v>
                </c:pt>
                <c:pt idx="151">
                  <c:v>9.76858996487978</c:v>
                </c:pt>
                <c:pt idx="152">
                  <c:v>9.76919737411233</c:v>
                </c:pt>
                <c:pt idx="153">
                  <c:v>9.9811153858019</c:v>
                </c:pt>
                <c:pt idx="154">
                  <c:v>10.0106003231772</c:v>
                </c:pt>
                <c:pt idx="155">
                  <c:v>9.35410130484199</c:v>
                </c:pt>
                <c:pt idx="156">
                  <c:v>9.61675420080238</c:v>
                </c:pt>
                <c:pt idx="157">
                  <c:v>9.93957864351669</c:v>
                </c:pt>
                <c:pt idx="158">
                  <c:v>10.0685615980098</c:v>
                </c:pt>
                <c:pt idx="159">
                  <c:v>9.93598297808615</c:v>
                </c:pt>
                <c:pt idx="160">
                  <c:v>9.54615410974101</c:v>
                </c:pt>
                <c:pt idx="161">
                  <c:v>9.89911474413698</c:v>
                </c:pt>
                <c:pt idx="162">
                  <c:v>9.84769325257234</c:v>
                </c:pt>
                <c:pt idx="163">
                  <c:v>10.0187221274793</c:v>
                </c:pt>
                <c:pt idx="164">
                  <c:v>9.93758120648994</c:v>
                </c:pt>
                <c:pt idx="165">
                  <c:v>9.87646313588561</c:v>
                </c:pt>
                <c:pt idx="166">
                  <c:v>10.1179848410781</c:v>
                </c:pt>
                <c:pt idx="167">
                  <c:v>10.3499386614031</c:v>
                </c:pt>
                <c:pt idx="168">
                  <c:v>10.1696772062169</c:v>
                </c:pt>
                <c:pt idx="169">
                  <c:v>10.2090572102549</c:v>
                </c:pt>
                <c:pt idx="170">
                  <c:v>9.99838525943738</c:v>
                </c:pt>
                <c:pt idx="171">
                  <c:v>9.67758585777766</c:v>
                </c:pt>
                <c:pt idx="172">
                  <c:v>9.90365402529636</c:v>
                </c:pt>
                <c:pt idx="173">
                  <c:v>10.0111213745116</c:v>
                </c:pt>
                <c:pt idx="174">
                  <c:v>9.93953410216751</c:v>
                </c:pt>
                <c:pt idx="175">
                  <c:v>10.2005430807978</c:v>
                </c:pt>
                <c:pt idx="176">
                  <c:v>10.1918689846761</c:v>
                </c:pt>
                <c:pt idx="177">
                  <c:v>10.3295247959657</c:v>
                </c:pt>
                <c:pt idx="178">
                  <c:v>10.0284951795953</c:v>
                </c:pt>
                <c:pt idx="179">
                  <c:v>9.89291984537927</c:v>
                </c:pt>
                <c:pt idx="180">
                  <c:v>10.3379085060076</c:v>
                </c:pt>
                <c:pt idx="181">
                  <c:v>10.4012053667686</c:v>
                </c:pt>
                <c:pt idx="182">
                  <c:v>10.1781095513284</c:v>
                </c:pt>
                <c:pt idx="183">
                  <c:v>10.3000361481241</c:v>
                </c:pt>
                <c:pt idx="184">
                  <c:v>10.2499737168823</c:v>
                </c:pt>
                <c:pt idx="185">
                  <c:v>9.84499621183555</c:v>
                </c:pt>
                <c:pt idx="186">
                  <c:v>10.12135202497</c:v>
                </c:pt>
                <c:pt idx="187">
                  <c:v>9.51220963889318</c:v>
                </c:pt>
                <c:pt idx="188">
                  <c:v>10.3042394293445</c:v>
                </c:pt>
                <c:pt idx="189">
                  <c:v>9.83366908865632</c:v>
                </c:pt>
                <c:pt idx="190">
                  <c:v>9.60866000280361</c:v>
                </c:pt>
                <c:pt idx="191">
                  <c:v>10.1097192585407</c:v>
                </c:pt>
                <c:pt idx="192">
                  <c:v>10.009081110438</c:v>
                </c:pt>
                <c:pt idx="193">
                  <c:v>9.75047040819257</c:v>
                </c:pt>
                <c:pt idx="194">
                  <c:v>9.61794074625015</c:v>
                </c:pt>
                <c:pt idx="195">
                  <c:v>9.67137639827528</c:v>
                </c:pt>
                <c:pt idx="196">
                  <c:v>9.81225595730865</c:v>
                </c:pt>
                <c:pt idx="197">
                  <c:v>9.7694839101814</c:v>
                </c:pt>
                <c:pt idx="198">
                  <c:v>9.76181262207037</c:v>
                </c:pt>
                <c:pt idx="199">
                  <c:v>9.7922518619819</c:v>
                </c:pt>
                <c:pt idx="200">
                  <c:v>9.91548122402498</c:v>
                </c:pt>
                <c:pt idx="201">
                  <c:v>9.92562663259854</c:v>
                </c:pt>
                <c:pt idx="202">
                  <c:v>9.54105946447393</c:v>
                </c:pt>
                <c:pt idx="203">
                  <c:v>9.6497744677743</c:v>
                </c:pt>
                <c:pt idx="204">
                  <c:v>9.89109312519152</c:v>
                </c:pt>
                <c:pt idx="205">
                  <c:v>9.94210537096467</c:v>
                </c:pt>
                <c:pt idx="206">
                  <c:v>9.87877337268975</c:v>
                </c:pt>
                <c:pt idx="207">
                  <c:v>9.67361616328318</c:v>
                </c:pt>
                <c:pt idx="208">
                  <c:v>9.92272309030903</c:v>
                </c:pt>
                <c:pt idx="209">
                  <c:v>9.80034111377419</c:v>
                </c:pt>
                <c:pt idx="210">
                  <c:v>10.0414735014867</c:v>
                </c:pt>
                <c:pt idx="211">
                  <c:v>9.98903023109492</c:v>
                </c:pt>
                <c:pt idx="212">
                  <c:v>9.95739002798663</c:v>
                </c:pt>
                <c:pt idx="213">
                  <c:v>10.0228005212725</c:v>
                </c:pt>
                <c:pt idx="214">
                  <c:v>10.2439847507958</c:v>
                </c:pt>
                <c:pt idx="215">
                  <c:v>10.1529915474884</c:v>
                </c:pt>
                <c:pt idx="216">
                  <c:v>10.0209847453415</c:v>
                </c:pt>
                <c:pt idx="217">
                  <c:v>10.1848950642829</c:v>
                </c:pt>
                <c:pt idx="218">
                  <c:v>9.91692512421019</c:v>
                </c:pt>
                <c:pt idx="219">
                  <c:v>9.92617906707879</c:v>
                </c:pt>
                <c:pt idx="220">
                  <c:v>10.160331914737</c:v>
                </c:pt>
                <c:pt idx="221">
                  <c:v>9.9702801956685</c:v>
                </c:pt>
                <c:pt idx="222">
                  <c:v>10.3594657060019</c:v>
                </c:pt>
                <c:pt idx="223">
                  <c:v>10.4612310951312</c:v>
                </c:pt>
                <c:pt idx="224">
                  <c:v>10.2119201795711</c:v>
                </c:pt>
                <c:pt idx="225">
                  <c:v>10.1776584536714</c:v>
                </c:pt>
                <c:pt idx="226">
                  <c:v>10.1206842797284</c:v>
                </c:pt>
                <c:pt idx="227">
                  <c:v>10.3112266726113</c:v>
                </c:pt>
                <c:pt idx="228">
                  <c:v>10.7803353099248</c:v>
                </c:pt>
                <c:pt idx="229">
                  <c:v>10.3974573236165</c:v>
                </c:pt>
                <c:pt idx="230">
                  <c:v>10.1116078736097</c:v>
                </c:pt>
                <c:pt idx="231">
                  <c:v>10.2370709444533</c:v>
                </c:pt>
                <c:pt idx="232">
                  <c:v>10.0699807357518</c:v>
                </c:pt>
                <c:pt idx="233">
                  <c:v>10.2969733293007</c:v>
                </c:pt>
                <c:pt idx="234">
                  <c:v>9.4316923934736</c:v>
                </c:pt>
                <c:pt idx="235">
                  <c:v>10.2777989212069</c:v>
                </c:pt>
                <c:pt idx="236">
                  <c:v>9.85860526095375</c:v>
                </c:pt>
                <c:pt idx="237">
                  <c:v>9.49196171634869</c:v>
                </c:pt>
                <c:pt idx="238">
                  <c:v>10.0936133200377</c:v>
                </c:pt>
                <c:pt idx="239">
                  <c:v>10.0107771073932</c:v>
                </c:pt>
                <c:pt idx="240">
                  <c:v>9.78102903592897</c:v>
                </c:pt>
                <c:pt idx="241">
                  <c:v>9.50030458323191</c:v>
                </c:pt>
                <c:pt idx="242">
                  <c:v>9.51577055997261</c:v>
                </c:pt>
                <c:pt idx="243">
                  <c:v>9.83463204491448</c:v>
                </c:pt>
                <c:pt idx="244">
                  <c:v>9.67460202167676</c:v>
                </c:pt>
                <c:pt idx="245">
                  <c:v>9.66566902990511</c:v>
                </c:pt>
                <c:pt idx="246">
                  <c:v>9.71552447287684</c:v>
                </c:pt>
                <c:pt idx="247">
                  <c:v>9.84919448692191</c:v>
                </c:pt>
                <c:pt idx="248">
                  <c:v>9.95791103612342</c:v>
                </c:pt>
                <c:pt idx="249">
                  <c:v>9.19351620294125</c:v>
                </c:pt>
                <c:pt idx="250">
                  <c:v>9.58457306986548</c:v>
                </c:pt>
                <c:pt idx="251">
                  <c:v>9.69144909566347</c:v>
                </c:pt>
                <c:pt idx="252">
                  <c:v>9.69859548363981</c:v>
                </c:pt>
                <c:pt idx="253">
                  <c:v>9.55542499041558</c:v>
                </c:pt>
                <c:pt idx="254">
                  <c:v>9.62206742120383</c:v>
                </c:pt>
                <c:pt idx="255">
                  <c:v>9.78934649747514</c:v>
                </c:pt>
                <c:pt idx="256">
                  <c:v>9.61300479450088</c:v>
                </c:pt>
                <c:pt idx="257">
                  <c:v>9.91605265649159</c:v>
                </c:pt>
                <c:pt idx="258">
                  <c:v>9.76589513662871</c:v>
                </c:pt>
                <c:pt idx="259">
                  <c:v>9.8726937443256</c:v>
                </c:pt>
                <c:pt idx="260">
                  <c:v>9.897508000411</c:v>
                </c:pt>
                <c:pt idx="261">
                  <c:v>10.1289795334195</c:v>
                </c:pt>
                <c:pt idx="262">
                  <c:v>10.1165108161267</c:v>
                </c:pt>
                <c:pt idx="263">
                  <c:v>9.91283802414274</c:v>
                </c:pt>
                <c:pt idx="264">
                  <c:v>10.0607313985273</c:v>
                </c:pt>
                <c:pt idx="265">
                  <c:v>9.84937748400091</c:v>
                </c:pt>
                <c:pt idx="266">
                  <c:v>10.0618439175887</c:v>
                </c:pt>
                <c:pt idx="267">
                  <c:v>10.0446195715492</c:v>
                </c:pt>
                <c:pt idx="268">
                  <c:v>9.78630922873945</c:v>
                </c:pt>
                <c:pt idx="269">
                  <c:v>10.1570121014279</c:v>
                </c:pt>
                <c:pt idx="270">
                  <c:v>10.234571227016</c:v>
                </c:pt>
                <c:pt idx="271">
                  <c:v>10.0281756522458</c:v>
                </c:pt>
                <c:pt idx="272">
                  <c:v>9.96390730593855</c:v>
                </c:pt>
                <c:pt idx="273">
                  <c:v>10.05406940438</c:v>
                </c:pt>
                <c:pt idx="274">
                  <c:v>10.1072821421559</c:v>
                </c:pt>
                <c:pt idx="275">
                  <c:v>10.5569738484326</c:v>
                </c:pt>
                <c:pt idx="276">
                  <c:v>10.0549500419482</c:v>
                </c:pt>
                <c:pt idx="277">
                  <c:v>10.07626678672</c:v>
                </c:pt>
                <c:pt idx="278">
                  <c:v>10.0764765497916</c:v>
                </c:pt>
                <c:pt idx="279">
                  <c:v>9.77170192224585</c:v>
                </c:pt>
                <c:pt idx="280">
                  <c:v>10.1325933551603</c:v>
                </c:pt>
                <c:pt idx="281">
                  <c:v>9.59045361244409</c:v>
                </c:pt>
              </c:numCache>
            </c:numRef>
          </c:xVal>
          <c:yVal>
            <c:numRef>
              <c:f>分析_2!$H$38:$H$319</c:f>
              <c:numCache>
                <c:formatCode>General</c:formatCode>
                <c:ptCount val="282"/>
                <c:pt idx="0">
                  <c:v>10.45</c:v>
                </c:pt>
                <c:pt idx="1">
                  <c:v>9.96</c:v>
                </c:pt>
                <c:pt idx="2">
                  <c:v>9.74</c:v>
                </c:pt>
                <c:pt idx="3">
                  <c:v>10.01</c:v>
                </c:pt>
                <c:pt idx="4">
                  <c:v>10.16</c:v>
                </c:pt>
                <c:pt idx="5">
                  <c:v>10.03</c:v>
                </c:pt>
                <c:pt idx="6">
                  <c:v>9.64</c:v>
                </c:pt>
                <c:pt idx="7">
                  <c:v>9.74</c:v>
                </c:pt>
                <c:pt idx="8">
                  <c:v>9.87</c:v>
                </c:pt>
                <c:pt idx="9">
                  <c:v>9.66</c:v>
                </c:pt>
                <c:pt idx="10">
                  <c:v>9.8</c:v>
                </c:pt>
                <c:pt idx="11">
                  <c:v>9.79</c:v>
                </c:pt>
                <c:pt idx="12">
                  <c:v>9.84</c:v>
                </c:pt>
                <c:pt idx="13">
                  <c:v>9.99</c:v>
                </c:pt>
                <c:pt idx="14">
                  <c:v>9.5</c:v>
                </c:pt>
                <c:pt idx="15">
                  <c:v>9.59</c:v>
                </c:pt>
                <c:pt idx="16">
                  <c:v>10.11</c:v>
                </c:pt>
                <c:pt idx="17">
                  <c:v>9.98</c:v>
                </c:pt>
                <c:pt idx="18">
                  <c:v>9.79</c:v>
                </c:pt>
                <c:pt idx="19">
                  <c:v>9.71</c:v>
                </c:pt>
                <c:pt idx="20">
                  <c:v>9.83</c:v>
                </c:pt>
                <c:pt idx="21">
                  <c:v>9.72</c:v>
                </c:pt>
                <c:pt idx="22">
                  <c:v>9.91</c:v>
                </c:pt>
                <c:pt idx="23">
                  <c:v>9.81</c:v>
                </c:pt>
                <c:pt idx="24">
                  <c:v>9.78</c:v>
                </c:pt>
                <c:pt idx="25">
                  <c:v>10.06</c:v>
                </c:pt>
                <c:pt idx="26">
                  <c:v>10.29</c:v>
                </c:pt>
                <c:pt idx="27">
                  <c:v>10.24</c:v>
                </c:pt>
                <c:pt idx="28">
                  <c:v>10</c:v>
                </c:pt>
                <c:pt idx="29">
                  <c:v>10.11</c:v>
                </c:pt>
                <c:pt idx="30">
                  <c:v>9.97</c:v>
                </c:pt>
                <c:pt idx="31">
                  <c:v>10.03</c:v>
                </c:pt>
                <c:pt idx="32">
                  <c:v>10.18</c:v>
                </c:pt>
                <c:pt idx="33">
                  <c:v>10.04</c:v>
                </c:pt>
                <c:pt idx="34">
                  <c:v>10.22</c:v>
                </c:pt>
                <c:pt idx="35">
                  <c:v>10.29</c:v>
                </c:pt>
                <c:pt idx="36">
                  <c:v>10.28</c:v>
                </c:pt>
                <c:pt idx="37">
                  <c:v>10.22</c:v>
                </c:pt>
                <c:pt idx="38">
                  <c:v>10.17</c:v>
                </c:pt>
                <c:pt idx="39">
                  <c:v>10.22</c:v>
                </c:pt>
                <c:pt idx="40">
                  <c:v>10.68</c:v>
                </c:pt>
                <c:pt idx="41">
                  <c:v>10.26</c:v>
                </c:pt>
                <c:pt idx="42">
                  <c:v>10.29</c:v>
                </c:pt>
                <c:pt idx="43">
                  <c:v>10.3</c:v>
                </c:pt>
                <c:pt idx="44">
                  <c:v>9.83</c:v>
                </c:pt>
                <c:pt idx="45">
                  <c:v>10.36</c:v>
                </c:pt>
                <c:pt idx="46">
                  <c:v>9.95</c:v>
                </c:pt>
                <c:pt idx="47">
                  <c:v>10.39</c:v>
                </c:pt>
                <c:pt idx="48">
                  <c:v>10.03</c:v>
                </c:pt>
                <c:pt idx="49">
                  <c:v>9.91</c:v>
                </c:pt>
                <c:pt idx="50">
                  <c:v>10.18</c:v>
                </c:pt>
                <c:pt idx="51">
                  <c:v>10.27</c:v>
                </c:pt>
                <c:pt idx="52">
                  <c:v>9.99</c:v>
                </c:pt>
                <c:pt idx="53">
                  <c:v>9.65</c:v>
                </c:pt>
                <c:pt idx="54">
                  <c:v>9.77</c:v>
                </c:pt>
                <c:pt idx="55">
                  <c:v>9.9</c:v>
                </c:pt>
                <c:pt idx="56">
                  <c:v>9.73</c:v>
                </c:pt>
                <c:pt idx="57">
                  <c:v>9.71</c:v>
                </c:pt>
                <c:pt idx="58">
                  <c:v>9.76</c:v>
                </c:pt>
                <c:pt idx="59">
                  <c:v>9.81</c:v>
                </c:pt>
                <c:pt idx="60">
                  <c:v>9.85</c:v>
                </c:pt>
                <c:pt idx="61">
                  <c:v>9.51</c:v>
                </c:pt>
                <c:pt idx="62">
                  <c:v>9.61</c:v>
                </c:pt>
                <c:pt idx="63">
                  <c:v>9.89</c:v>
                </c:pt>
                <c:pt idx="64">
                  <c:v>9.96</c:v>
                </c:pt>
                <c:pt idx="65">
                  <c:v>9.66</c:v>
                </c:pt>
                <c:pt idx="66">
                  <c:v>9.67</c:v>
                </c:pt>
                <c:pt idx="67">
                  <c:v>9.82</c:v>
                </c:pt>
                <c:pt idx="68">
                  <c:v>9.75</c:v>
                </c:pt>
                <c:pt idx="69">
                  <c:v>9.93</c:v>
                </c:pt>
                <c:pt idx="70">
                  <c:v>9.91</c:v>
                </c:pt>
                <c:pt idx="71">
                  <c:v>9.83</c:v>
                </c:pt>
                <c:pt idx="72">
                  <c:v>9.95</c:v>
                </c:pt>
                <c:pt idx="73">
                  <c:v>10.22</c:v>
                </c:pt>
                <c:pt idx="74">
                  <c:v>10.13</c:v>
                </c:pt>
                <c:pt idx="75">
                  <c:v>9.96</c:v>
                </c:pt>
                <c:pt idx="76">
                  <c:v>10.18</c:v>
                </c:pt>
                <c:pt idx="77">
                  <c:v>9.94</c:v>
                </c:pt>
                <c:pt idx="78">
                  <c:v>10.35</c:v>
                </c:pt>
                <c:pt idx="79">
                  <c:v>10.25</c:v>
                </c:pt>
                <c:pt idx="80">
                  <c:v>10.09</c:v>
                </c:pt>
                <c:pt idx="81">
                  <c:v>10.15</c:v>
                </c:pt>
                <c:pt idx="82">
                  <c:v>10.43</c:v>
                </c:pt>
                <c:pt idx="83">
                  <c:v>10.34</c:v>
                </c:pt>
                <c:pt idx="84">
                  <c:v>10.26</c:v>
                </c:pt>
                <c:pt idx="85">
                  <c:v>10.3</c:v>
                </c:pt>
                <c:pt idx="86">
                  <c:v>10.21</c:v>
                </c:pt>
                <c:pt idx="87">
                  <c:v>11</c:v>
                </c:pt>
                <c:pt idx="88">
                  <c:v>10.47</c:v>
                </c:pt>
                <c:pt idx="89">
                  <c:v>10.45</c:v>
                </c:pt>
                <c:pt idx="90">
                  <c:v>10.52</c:v>
                </c:pt>
                <c:pt idx="91">
                  <c:v>10.14</c:v>
                </c:pt>
                <c:pt idx="92">
                  <c:v>10.65</c:v>
                </c:pt>
                <c:pt idx="93">
                  <c:v>10.09</c:v>
                </c:pt>
                <c:pt idx="94">
                  <c:v>10.29</c:v>
                </c:pt>
                <c:pt idx="95">
                  <c:v>9.79</c:v>
                </c:pt>
                <c:pt idx="96">
                  <c:v>9.77</c:v>
                </c:pt>
                <c:pt idx="97">
                  <c:v>10.05</c:v>
                </c:pt>
                <c:pt idx="98">
                  <c:v>9.86</c:v>
                </c:pt>
                <c:pt idx="99">
                  <c:v>9.98</c:v>
                </c:pt>
                <c:pt idx="100">
                  <c:v>9.53</c:v>
                </c:pt>
                <c:pt idx="101">
                  <c:v>9.73</c:v>
                </c:pt>
                <c:pt idx="102">
                  <c:v>9.96</c:v>
                </c:pt>
                <c:pt idx="103">
                  <c:v>9.76</c:v>
                </c:pt>
                <c:pt idx="104">
                  <c:v>9.82</c:v>
                </c:pt>
                <c:pt idx="105">
                  <c:v>9.87</c:v>
                </c:pt>
                <c:pt idx="106">
                  <c:v>10</c:v>
                </c:pt>
                <c:pt idx="107">
                  <c:v>10.02</c:v>
                </c:pt>
                <c:pt idx="108">
                  <c:v>9.33</c:v>
                </c:pt>
                <c:pt idx="109">
                  <c:v>9.57</c:v>
                </c:pt>
                <c:pt idx="110">
                  <c:v>9.66</c:v>
                </c:pt>
                <c:pt idx="111">
                  <c:v>9.91</c:v>
                </c:pt>
                <c:pt idx="112">
                  <c:v>9.67</c:v>
                </c:pt>
                <c:pt idx="113">
                  <c:v>9.49</c:v>
                </c:pt>
                <c:pt idx="114">
                  <c:v>9.8</c:v>
                </c:pt>
                <c:pt idx="115">
                  <c:v>9.75</c:v>
                </c:pt>
                <c:pt idx="116">
                  <c:v>10.01</c:v>
                </c:pt>
                <c:pt idx="117">
                  <c:v>9.81</c:v>
                </c:pt>
                <c:pt idx="118">
                  <c:v>9.73</c:v>
                </c:pt>
                <c:pt idx="119">
                  <c:v>10.09</c:v>
                </c:pt>
                <c:pt idx="120">
                  <c:v>10.29</c:v>
                </c:pt>
                <c:pt idx="121">
                  <c:v>10.17</c:v>
                </c:pt>
                <c:pt idx="122">
                  <c:v>10.14</c:v>
                </c:pt>
                <c:pt idx="123">
                  <c:v>9.94</c:v>
                </c:pt>
                <c:pt idx="124">
                  <c:v>9.82</c:v>
                </c:pt>
                <c:pt idx="125">
                  <c:v>10.26</c:v>
                </c:pt>
                <c:pt idx="126">
                  <c:v>10.07</c:v>
                </c:pt>
                <c:pt idx="127">
                  <c:v>9.92</c:v>
                </c:pt>
                <c:pt idx="128">
                  <c:v>9.96</c:v>
                </c:pt>
                <c:pt idx="129">
                  <c:v>10.25</c:v>
                </c:pt>
                <c:pt idx="130">
                  <c:v>10.23</c:v>
                </c:pt>
                <c:pt idx="131">
                  <c:v>10.01</c:v>
                </c:pt>
                <c:pt idx="132">
                  <c:v>10.1</c:v>
                </c:pt>
                <c:pt idx="133">
                  <c:v>10.36</c:v>
                </c:pt>
                <c:pt idx="134">
                  <c:v>10.51</c:v>
                </c:pt>
                <c:pt idx="135">
                  <c:v>10.21</c:v>
                </c:pt>
                <c:pt idx="136">
                  <c:v>10.32</c:v>
                </c:pt>
                <c:pt idx="137">
                  <c:v>10.2</c:v>
                </c:pt>
                <c:pt idx="138">
                  <c:v>9.76</c:v>
                </c:pt>
                <c:pt idx="139">
                  <c:v>10.26</c:v>
                </c:pt>
                <c:pt idx="140">
                  <c:v>9.89</c:v>
                </c:pt>
                <c:pt idx="141">
                  <c:v>10.21</c:v>
                </c:pt>
                <c:pt idx="142">
                  <c:v>9.49</c:v>
                </c:pt>
                <c:pt idx="143">
                  <c:v>9.63</c:v>
                </c:pt>
                <c:pt idx="144">
                  <c:v>10.01</c:v>
                </c:pt>
                <c:pt idx="145">
                  <c:v>9.85</c:v>
                </c:pt>
                <c:pt idx="146">
                  <c:v>9.84</c:v>
                </c:pt>
                <c:pt idx="147">
                  <c:v>9.59</c:v>
                </c:pt>
                <c:pt idx="148">
                  <c:v>9.66</c:v>
                </c:pt>
                <c:pt idx="149">
                  <c:v>9.79</c:v>
                </c:pt>
                <c:pt idx="150">
                  <c:v>9.81</c:v>
                </c:pt>
                <c:pt idx="151">
                  <c:v>9.78</c:v>
                </c:pt>
                <c:pt idx="152">
                  <c:v>9.77</c:v>
                </c:pt>
                <c:pt idx="153">
                  <c:v>9.98</c:v>
                </c:pt>
                <c:pt idx="154">
                  <c:v>10.02</c:v>
                </c:pt>
                <c:pt idx="155">
                  <c:v>9.35</c:v>
                </c:pt>
                <c:pt idx="156">
                  <c:v>9.62</c:v>
                </c:pt>
                <c:pt idx="157">
                  <c:v>9.94</c:v>
                </c:pt>
                <c:pt idx="158">
                  <c:v>10.07</c:v>
                </c:pt>
                <c:pt idx="159">
                  <c:v>9.94</c:v>
                </c:pt>
                <c:pt idx="160">
                  <c:v>9.55</c:v>
                </c:pt>
                <c:pt idx="161">
                  <c:v>9.91</c:v>
                </c:pt>
                <c:pt idx="162">
                  <c:v>9.85</c:v>
                </c:pt>
                <c:pt idx="163">
                  <c:v>10.02</c:v>
                </c:pt>
                <c:pt idx="164">
                  <c:v>9.94</c:v>
                </c:pt>
                <c:pt idx="165">
                  <c:v>9.89</c:v>
                </c:pt>
                <c:pt idx="166">
                  <c:v>10.13</c:v>
                </c:pt>
                <c:pt idx="167">
                  <c:v>10.34</c:v>
                </c:pt>
                <c:pt idx="168">
                  <c:v>10.18</c:v>
                </c:pt>
                <c:pt idx="169">
                  <c:v>10.22</c:v>
                </c:pt>
                <c:pt idx="170">
                  <c:v>10</c:v>
                </c:pt>
                <c:pt idx="171">
                  <c:v>9.68</c:v>
                </c:pt>
                <c:pt idx="172">
                  <c:v>9.92</c:v>
                </c:pt>
                <c:pt idx="173">
                  <c:v>10.02</c:v>
                </c:pt>
                <c:pt idx="174">
                  <c:v>9.95</c:v>
                </c:pt>
                <c:pt idx="175">
                  <c:v>10.2</c:v>
                </c:pt>
                <c:pt idx="176">
                  <c:v>10.19</c:v>
                </c:pt>
                <c:pt idx="177">
                  <c:v>10.33</c:v>
                </c:pt>
                <c:pt idx="178">
                  <c:v>10.03</c:v>
                </c:pt>
                <c:pt idx="179">
                  <c:v>9.89</c:v>
                </c:pt>
                <c:pt idx="180">
                  <c:v>10.35</c:v>
                </c:pt>
                <c:pt idx="181">
                  <c:v>10.42</c:v>
                </c:pt>
                <c:pt idx="182">
                  <c:v>10.17</c:v>
                </c:pt>
                <c:pt idx="183">
                  <c:v>10.3</c:v>
                </c:pt>
                <c:pt idx="184">
                  <c:v>10.25</c:v>
                </c:pt>
                <c:pt idx="185">
                  <c:v>9.85</c:v>
                </c:pt>
                <c:pt idx="186">
                  <c:v>10.13</c:v>
                </c:pt>
                <c:pt idx="187">
                  <c:v>9.52</c:v>
                </c:pt>
                <c:pt idx="188">
                  <c:v>10.31</c:v>
                </c:pt>
                <c:pt idx="189">
                  <c:v>9.85</c:v>
                </c:pt>
                <c:pt idx="190">
                  <c:v>9.62</c:v>
                </c:pt>
                <c:pt idx="191">
                  <c:v>10.11</c:v>
                </c:pt>
                <c:pt idx="192">
                  <c:v>10.01</c:v>
                </c:pt>
                <c:pt idx="193">
                  <c:v>9.75</c:v>
                </c:pt>
                <c:pt idx="194">
                  <c:v>9.62</c:v>
                </c:pt>
                <c:pt idx="195">
                  <c:v>9.67</c:v>
                </c:pt>
                <c:pt idx="196">
                  <c:v>9.82</c:v>
                </c:pt>
                <c:pt idx="197">
                  <c:v>9.77</c:v>
                </c:pt>
                <c:pt idx="198">
                  <c:v>9.76</c:v>
                </c:pt>
                <c:pt idx="199">
                  <c:v>9.79</c:v>
                </c:pt>
                <c:pt idx="200">
                  <c:v>9.91</c:v>
                </c:pt>
                <c:pt idx="201">
                  <c:v>9.92</c:v>
                </c:pt>
                <c:pt idx="202">
                  <c:v>9.55</c:v>
                </c:pt>
                <c:pt idx="203">
                  <c:v>9.65</c:v>
                </c:pt>
                <c:pt idx="204">
                  <c:v>9.88</c:v>
                </c:pt>
                <c:pt idx="205">
                  <c:v>9.94</c:v>
                </c:pt>
                <c:pt idx="206">
                  <c:v>9.89</c:v>
                </c:pt>
                <c:pt idx="207">
                  <c:v>9.69</c:v>
                </c:pt>
                <c:pt idx="208">
                  <c:v>9.93</c:v>
                </c:pt>
                <c:pt idx="209">
                  <c:v>9.8</c:v>
                </c:pt>
                <c:pt idx="210">
                  <c:v>10.03</c:v>
                </c:pt>
                <c:pt idx="211">
                  <c:v>9.99</c:v>
                </c:pt>
                <c:pt idx="212">
                  <c:v>9.97</c:v>
                </c:pt>
                <c:pt idx="213">
                  <c:v>10.03</c:v>
                </c:pt>
                <c:pt idx="214">
                  <c:v>10.24</c:v>
                </c:pt>
                <c:pt idx="215">
                  <c:v>10.16</c:v>
                </c:pt>
                <c:pt idx="216">
                  <c:v>10.02</c:v>
                </c:pt>
                <c:pt idx="217">
                  <c:v>10.19</c:v>
                </c:pt>
                <c:pt idx="218">
                  <c:v>9.93</c:v>
                </c:pt>
                <c:pt idx="219">
                  <c:v>9.94</c:v>
                </c:pt>
                <c:pt idx="220">
                  <c:v>10.17</c:v>
                </c:pt>
                <c:pt idx="221">
                  <c:v>9.97</c:v>
                </c:pt>
                <c:pt idx="222">
                  <c:v>10.36</c:v>
                </c:pt>
                <c:pt idx="223">
                  <c:v>10.47</c:v>
                </c:pt>
                <c:pt idx="224">
                  <c:v>10.21</c:v>
                </c:pt>
                <c:pt idx="225">
                  <c:v>10.18</c:v>
                </c:pt>
                <c:pt idx="226">
                  <c:v>10.13</c:v>
                </c:pt>
                <c:pt idx="227">
                  <c:v>10.31</c:v>
                </c:pt>
                <c:pt idx="228">
                  <c:v>10.78</c:v>
                </c:pt>
                <c:pt idx="229">
                  <c:v>10.41</c:v>
                </c:pt>
                <c:pt idx="230">
                  <c:v>10.12</c:v>
                </c:pt>
                <c:pt idx="231">
                  <c:v>10.25</c:v>
                </c:pt>
                <c:pt idx="232">
                  <c:v>10.09</c:v>
                </c:pt>
                <c:pt idx="233">
                  <c:v>10.31</c:v>
                </c:pt>
                <c:pt idx="234">
                  <c:v>9.44</c:v>
                </c:pt>
                <c:pt idx="235">
                  <c:v>10.28</c:v>
                </c:pt>
                <c:pt idx="236">
                  <c:v>9.85</c:v>
                </c:pt>
                <c:pt idx="237">
                  <c:v>9.51</c:v>
                </c:pt>
                <c:pt idx="238">
                  <c:v>10.1</c:v>
                </c:pt>
                <c:pt idx="239">
                  <c:v>10.01</c:v>
                </c:pt>
                <c:pt idx="240">
                  <c:v>9.75</c:v>
                </c:pt>
                <c:pt idx="241">
                  <c:v>9.5</c:v>
                </c:pt>
                <c:pt idx="242">
                  <c:v>9.52</c:v>
                </c:pt>
                <c:pt idx="243">
                  <c:v>9.82</c:v>
                </c:pt>
                <c:pt idx="244">
                  <c:v>9.68</c:v>
                </c:pt>
                <c:pt idx="245">
                  <c:v>9.67</c:v>
                </c:pt>
                <c:pt idx="246">
                  <c:v>9.73</c:v>
                </c:pt>
                <c:pt idx="247">
                  <c:v>9.85</c:v>
                </c:pt>
                <c:pt idx="248">
                  <c:v>9.92</c:v>
                </c:pt>
                <c:pt idx="249">
                  <c:v>9.21</c:v>
                </c:pt>
                <c:pt idx="250">
                  <c:v>9.59</c:v>
                </c:pt>
                <c:pt idx="251">
                  <c:v>9.7</c:v>
                </c:pt>
                <c:pt idx="252">
                  <c:v>9.71</c:v>
                </c:pt>
                <c:pt idx="253">
                  <c:v>9.55</c:v>
                </c:pt>
                <c:pt idx="254">
                  <c:v>9.63</c:v>
                </c:pt>
                <c:pt idx="255">
                  <c:v>9.8</c:v>
                </c:pt>
                <c:pt idx="256">
                  <c:v>9.61</c:v>
                </c:pt>
                <c:pt idx="257">
                  <c:v>9.93</c:v>
                </c:pt>
                <c:pt idx="258">
                  <c:v>9.77</c:v>
                </c:pt>
                <c:pt idx="259">
                  <c:v>9.88</c:v>
                </c:pt>
                <c:pt idx="260">
                  <c:v>9.89</c:v>
                </c:pt>
                <c:pt idx="261">
                  <c:v>10.13</c:v>
                </c:pt>
                <c:pt idx="262">
                  <c:v>10.12</c:v>
                </c:pt>
                <c:pt idx="263">
                  <c:v>9.91</c:v>
                </c:pt>
                <c:pt idx="264">
                  <c:v>10.06</c:v>
                </c:pt>
                <c:pt idx="265">
                  <c:v>9.86</c:v>
                </c:pt>
                <c:pt idx="266">
                  <c:v>9.94</c:v>
                </c:pt>
                <c:pt idx="267">
                  <c:v>10.05</c:v>
                </c:pt>
                <c:pt idx="268">
                  <c:v>9.78</c:v>
                </c:pt>
                <c:pt idx="269">
                  <c:v>10.15</c:v>
                </c:pt>
                <c:pt idx="270">
                  <c:v>10.24</c:v>
                </c:pt>
                <c:pt idx="271">
                  <c:v>10.02</c:v>
                </c:pt>
                <c:pt idx="272">
                  <c:v>9.98</c:v>
                </c:pt>
                <c:pt idx="273">
                  <c:v>10.05</c:v>
                </c:pt>
                <c:pt idx="274">
                  <c:v>10.11</c:v>
                </c:pt>
                <c:pt idx="275">
                  <c:v>10.55</c:v>
                </c:pt>
                <c:pt idx="276">
                  <c:v>10.06</c:v>
                </c:pt>
                <c:pt idx="277">
                  <c:v>10.08</c:v>
                </c:pt>
                <c:pt idx="278">
                  <c:v>10.08</c:v>
                </c:pt>
                <c:pt idx="279">
                  <c:v>9.77</c:v>
                </c:pt>
                <c:pt idx="280">
                  <c:v>10.13</c:v>
                </c:pt>
                <c:pt idx="281">
                  <c:v>9.44</c:v>
                </c:pt>
              </c:numCache>
            </c:numRef>
          </c:yVal>
          <c:smooth val="0"/>
        </c:ser>
        <c:axId val="17199623"/>
        <c:axId val="72035774"/>
      </c:scatterChart>
      <c:valAx>
        <c:axId val="1719962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2035774"/>
        <c:crosses val="autoZero"/>
        <c:crossBetween val="midCat"/>
      </c:valAx>
      <c:valAx>
        <c:axId val="720357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719962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分析_3!$L$42</c:f>
              <c:strCache>
                <c:ptCount val="1"/>
                <c:pt idx="0">
                  <c:v>10.45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分析_3!$K$43:$K$323</c:f>
              <c:numCache>
                <c:formatCode>#,###.000</c:formatCode>
                <c:ptCount val="281"/>
                <c:pt idx="0">
                  <c:v>9.95525987089573</c:v>
                </c:pt>
                <c:pt idx="1">
                  <c:v>9.73583586627611</c:v>
                </c:pt>
                <c:pt idx="2">
                  <c:v>10.003302816879</c:v>
                </c:pt>
                <c:pt idx="3">
                  <c:v>10.1563832099516</c:v>
                </c:pt>
                <c:pt idx="4">
                  <c:v>10.0428402544451</c:v>
                </c:pt>
                <c:pt idx="5">
                  <c:v>9.64100414214646</c:v>
                </c:pt>
                <c:pt idx="6">
                  <c:v>9.74805762970221</c:v>
                </c:pt>
                <c:pt idx="7">
                  <c:v>9.85960114207284</c:v>
                </c:pt>
                <c:pt idx="8">
                  <c:v>9.67125739986994</c:v>
                </c:pt>
                <c:pt idx="9">
                  <c:v>9.82365142958509</c:v>
                </c:pt>
                <c:pt idx="10">
                  <c:v>9.81698475751547</c:v>
                </c:pt>
                <c:pt idx="11">
                  <c:v>9.85563997453049</c:v>
                </c:pt>
                <c:pt idx="12">
                  <c:v>10.0228554206561</c:v>
                </c:pt>
                <c:pt idx="13">
                  <c:v>9.49311029489884</c:v>
                </c:pt>
                <c:pt idx="14">
                  <c:v>9.64794619335706</c:v>
                </c:pt>
                <c:pt idx="15">
                  <c:v>10.0982844510663</c:v>
                </c:pt>
                <c:pt idx="16">
                  <c:v>10.0112936109061</c:v>
                </c:pt>
                <c:pt idx="17">
                  <c:v>9.77506877122273</c:v>
                </c:pt>
                <c:pt idx="18">
                  <c:v>9.69419756706434</c:v>
                </c:pt>
                <c:pt idx="19">
                  <c:v>9.80352963109412</c:v>
                </c:pt>
                <c:pt idx="20">
                  <c:v>9.72514527669867</c:v>
                </c:pt>
                <c:pt idx="21">
                  <c:v>9.91486859194789</c:v>
                </c:pt>
                <c:pt idx="22">
                  <c:v>9.81171457610992</c:v>
                </c:pt>
                <c:pt idx="23">
                  <c:v>9.77720786634362</c:v>
                </c:pt>
                <c:pt idx="24">
                  <c:v>10.0512864712389</c:v>
                </c:pt>
                <c:pt idx="25">
                  <c:v>10.3005151542235</c:v>
                </c:pt>
                <c:pt idx="26">
                  <c:v>10.24872094975</c:v>
                </c:pt>
                <c:pt idx="27">
                  <c:v>9.99895162556415</c:v>
                </c:pt>
                <c:pt idx="28">
                  <c:v>10.1255491036057</c:v>
                </c:pt>
                <c:pt idx="29">
                  <c:v>9.95881755736273</c:v>
                </c:pt>
                <c:pt idx="30">
                  <c:v>10.0594455748822</c:v>
                </c:pt>
                <c:pt idx="31">
                  <c:v>10.1828358952609</c:v>
                </c:pt>
                <c:pt idx="32">
                  <c:v>10.030409035256</c:v>
                </c:pt>
                <c:pt idx="33">
                  <c:v>10.2228462769013</c:v>
                </c:pt>
                <c:pt idx="34">
                  <c:v>10.264476444257</c:v>
                </c:pt>
                <c:pt idx="35">
                  <c:v>10.2738034861838</c:v>
                </c:pt>
                <c:pt idx="36">
                  <c:v>10.2145451917075</c:v>
                </c:pt>
                <c:pt idx="37">
                  <c:v>10.1809484094153</c:v>
                </c:pt>
                <c:pt idx="38">
                  <c:v>10.23778202502</c:v>
                </c:pt>
                <c:pt idx="39">
                  <c:v>10.6876329468754</c:v>
                </c:pt>
                <c:pt idx="40">
                  <c:v>10.2758876287572</c:v>
                </c:pt>
                <c:pt idx="41">
                  <c:v>10.3168270934677</c:v>
                </c:pt>
                <c:pt idx="42">
                  <c:v>10.2757832842312</c:v>
                </c:pt>
                <c:pt idx="43">
                  <c:v>9.83409311317879</c:v>
                </c:pt>
                <c:pt idx="44">
                  <c:v>10.3476467784266</c:v>
                </c:pt>
                <c:pt idx="45">
                  <c:v>9.95389262064153</c:v>
                </c:pt>
                <c:pt idx="46">
                  <c:v>10.4021604577425</c:v>
                </c:pt>
                <c:pt idx="47">
                  <c:v>10.0119467281263</c:v>
                </c:pt>
                <c:pt idx="48">
                  <c:v>9.89517380329444</c:v>
                </c:pt>
                <c:pt idx="49">
                  <c:v>10.1978098802642</c:v>
                </c:pt>
                <c:pt idx="50">
                  <c:v>10.2674304232318</c:v>
                </c:pt>
                <c:pt idx="51">
                  <c:v>9.99874164694445</c:v>
                </c:pt>
                <c:pt idx="52">
                  <c:v>9.66536643558329</c:v>
                </c:pt>
                <c:pt idx="53">
                  <c:v>9.77002867575864</c:v>
                </c:pt>
                <c:pt idx="54">
                  <c:v>9.93089664752057</c:v>
                </c:pt>
                <c:pt idx="55">
                  <c:v>9.74394933295482</c:v>
                </c:pt>
                <c:pt idx="56">
                  <c:v>9.74081400142853</c:v>
                </c:pt>
                <c:pt idx="57">
                  <c:v>9.79213351262008</c:v>
                </c:pt>
                <c:pt idx="58">
                  <c:v>9.83451335558724</c:v>
                </c:pt>
                <c:pt idx="59">
                  <c:v>9.88494751599844</c:v>
                </c:pt>
                <c:pt idx="60">
                  <c:v>9.51773796584524</c:v>
                </c:pt>
                <c:pt idx="61">
                  <c:v>9.63563183117346</c:v>
                </c:pt>
                <c:pt idx="62">
                  <c:v>9.90459255413621</c:v>
                </c:pt>
                <c:pt idx="63">
                  <c:v>9.95844605190196</c:v>
                </c:pt>
                <c:pt idx="64">
                  <c:v>9.67189409422499</c:v>
                </c:pt>
                <c:pt idx="65">
                  <c:v>9.67460961984126</c:v>
                </c:pt>
                <c:pt idx="66">
                  <c:v>9.80266280963975</c:v>
                </c:pt>
                <c:pt idx="67">
                  <c:v>9.74656104774861</c:v>
                </c:pt>
                <c:pt idx="68">
                  <c:v>9.93958599459113</c:v>
                </c:pt>
                <c:pt idx="69">
                  <c:v>9.90350013446711</c:v>
                </c:pt>
                <c:pt idx="70">
                  <c:v>9.83556827076185</c:v>
                </c:pt>
                <c:pt idx="71">
                  <c:v>9.94077514747395</c:v>
                </c:pt>
                <c:pt idx="72">
                  <c:v>10.2409830977611</c:v>
                </c:pt>
                <c:pt idx="73">
                  <c:v>10.140616490097</c:v>
                </c:pt>
                <c:pt idx="74">
                  <c:v>9.95737958475301</c:v>
                </c:pt>
                <c:pt idx="75">
                  <c:v>10.1811765912997</c:v>
                </c:pt>
                <c:pt idx="76">
                  <c:v>9.95581643750982</c:v>
                </c:pt>
                <c:pt idx="77">
                  <c:v>10.3422390205923</c:v>
                </c:pt>
                <c:pt idx="78">
                  <c:v>10.2319824522036</c:v>
                </c:pt>
                <c:pt idx="79">
                  <c:v>10.0953176451629</c:v>
                </c:pt>
                <c:pt idx="80">
                  <c:v>10.1622628516796</c:v>
                </c:pt>
                <c:pt idx="81">
                  <c:v>10.4185251177708</c:v>
                </c:pt>
                <c:pt idx="82">
                  <c:v>10.3199938415202</c:v>
                </c:pt>
                <c:pt idx="83">
                  <c:v>10.2417298535574</c:v>
                </c:pt>
                <c:pt idx="84">
                  <c:v>10.3062028133219</c:v>
                </c:pt>
                <c:pt idx="85">
                  <c:v>10.2145276840168</c:v>
                </c:pt>
                <c:pt idx="86">
                  <c:v>10.9789219594712</c:v>
                </c:pt>
                <c:pt idx="87">
                  <c:v>10.4580638883329</c:v>
                </c:pt>
                <c:pt idx="88">
                  <c:v>10.4715888210035</c:v>
                </c:pt>
                <c:pt idx="89">
                  <c:v>10.494655659308</c:v>
                </c:pt>
                <c:pt idx="90">
                  <c:v>10.1241924114806</c:v>
                </c:pt>
                <c:pt idx="91">
                  <c:v>10.6587550524407</c:v>
                </c:pt>
                <c:pt idx="92">
                  <c:v>10.0881512886137</c:v>
                </c:pt>
                <c:pt idx="93">
                  <c:v>10.284284066487</c:v>
                </c:pt>
                <c:pt idx="94">
                  <c:v>9.76517086595584</c:v>
                </c:pt>
                <c:pt idx="95">
                  <c:v>9.74089056936211</c:v>
                </c:pt>
                <c:pt idx="96">
                  <c:v>10.0354682811174</c:v>
                </c:pt>
                <c:pt idx="97">
                  <c:v>9.85635059409956</c:v>
                </c:pt>
                <c:pt idx="98">
                  <c:v>9.96095867604259</c:v>
                </c:pt>
                <c:pt idx="99">
                  <c:v>9.53119586004298</c:v>
                </c:pt>
                <c:pt idx="100">
                  <c:v>9.73887289885685</c:v>
                </c:pt>
                <c:pt idx="101">
                  <c:v>9.95805515134429</c:v>
                </c:pt>
                <c:pt idx="102">
                  <c:v>9.76688921115049</c:v>
                </c:pt>
                <c:pt idx="103">
                  <c:v>9.83192872029799</c:v>
                </c:pt>
                <c:pt idx="104">
                  <c:v>9.88217670438427</c:v>
                </c:pt>
                <c:pt idx="105">
                  <c:v>10.0027025805692</c:v>
                </c:pt>
                <c:pt idx="106">
                  <c:v>10.0189678039764</c:v>
                </c:pt>
                <c:pt idx="107">
                  <c:v>9.31280480811344</c:v>
                </c:pt>
                <c:pt idx="108">
                  <c:v>9.52544014590963</c:v>
                </c:pt>
                <c:pt idx="109">
                  <c:v>9.66231662541268</c:v>
                </c:pt>
                <c:pt idx="110">
                  <c:v>9.89737807191395</c:v>
                </c:pt>
                <c:pt idx="111">
                  <c:v>9.65544884219093</c:v>
                </c:pt>
                <c:pt idx="112">
                  <c:v>9.50285470115873</c:v>
                </c:pt>
                <c:pt idx="113">
                  <c:v>9.85988285860496</c:v>
                </c:pt>
                <c:pt idx="114">
                  <c:v>9.76370423659648</c:v>
                </c:pt>
                <c:pt idx="115">
                  <c:v>10.013777534218</c:v>
                </c:pt>
                <c:pt idx="116">
                  <c:v>9.79325011862653</c:v>
                </c:pt>
                <c:pt idx="117">
                  <c:v>9.71005510625573</c:v>
                </c:pt>
                <c:pt idx="118">
                  <c:v>10.0750081695418</c:v>
                </c:pt>
                <c:pt idx="119">
                  <c:v>10.2961006210366</c:v>
                </c:pt>
                <c:pt idx="120">
                  <c:v>10.1675207198169</c:v>
                </c:pt>
                <c:pt idx="121">
                  <c:v>10.1885963896056</c:v>
                </c:pt>
                <c:pt idx="122">
                  <c:v>9.94067929548966</c:v>
                </c:pt>
                <c:pt idx="123">
                  <c:v>9.8203944299337</c:v>
                </c:pt>
                <c:pt idx="124">
                  <c:v>10.2224027901976</c:v>
                </c:pt>
                <c:pt idx="125">
                  <c:v>10.0551371022552</c:v>
                </c:pt>
                <c:pt idx="126">
                  <c:v>9.91231738846205</c:v>
                </c:pt>
                <c:pt idx="127">
                  <c:v>9.96067705393544</c:v>
                </c:pt>
                <c:pt idx="128">
                  <c:v>10.2192983753311</c:v>
                </c:pt>
                <c:pt idx="129">
                  <c:v>10.2269636103396</c:v>
                </c:pt>
                <c:pt idx="130">
                  <c:v>9.99988924091196</c:v>
                </c:pt>
                <c:pt idx="131">
                  <c:v>10.1078072641455</c:v>
                </c:pt>
                <c:pt idx="132">
                  <c:v>10.3597301265371</c:v>
                </c:pt>
                <c:pt idx="133">
                  <c:v>10.534724598103</c:v>
                </c:pt>
                <c:pt idx="134">
                  <c:v>10.1871192590744</c:v>
                </c:pt>
                <c:pt idx="135">
                  <c:v>10.3394969593376</c:v>
                </c:pt>
                <c:pt idx="136">
                  <c:v>10.1882973757314</c:v>
                </c:pt>
                <c:pt idx="137">
                  <c:v>9.75603201793733</c:v>
                </c:pt>
                <c:pt idx="138">
                  <c:v>10.315151009351</c:v>
                </c:pt>
                <c:pt idx="139">
                  <c:v>9.87960152276458</c:v>
                </c:pt>
                <c:pt idx="140">
                  <c:v>10.2355883484811</c:v>
                </c:pt>
                <c:pt idx="141">
                  <c:v>9.48952677655227</c:v>
                </c:pt>
                <c:pt idx="142">
                  <c:v>9.61415426765962</c:v>
                </c:pt>
                <c:pt idx="143">
                  <c:v>9.99642636304</c:v>
                </c:pt>
                <c:pt idx="144">
                  <c:v>9.82747919613656</c:v>
                </c:pt>
                <c:pt idx="145">
                  <c:v>9.95785457773112</c:v>
                </c:pt>
                <c:pt idx="146">
                  <c:v>9.56266556198846</c:v>
                </c:pt>
                <c:pt idx="147">
                  <c:v>9.66993222930168</c:v>
                </c:pt>
                <c:pt idx="148">
                  <c:v>9.82103675591221</c:v>
                </c:pt>
                <c:pt idx="149">
                  <c:v>9.81126694824308</c:v>
                </c:pt>
                <c:pt idx="150">
                  <c:v>9.77901619709578</c:v>
                </c:pt>
                <c:pt idx="151">
                  <c:v>9.77289002792341</c:v>
                </c:pt>
                <c:pt idx="152">
                  <c:v>9.97527810221897</c:v>
                </c:pt>
                <c:pt idx="153">
                  <c:v>10.0184929451894</c:v>
                </c:pt>
                <c:pt idx="154">
                  <c:v>9.35559506875983</c:v>
                </c:pt>
                <c:pt idx="155">
                  <c:v>9.59736611837691</c:v>
                </c:pt>
                <c:pt idx="156">
                  <c:v>9.90976167394374</c:v>
                </c:pt>
                <c:pt idx="157">
                  <c:v>10.0368133372199</c:v>
                </c:pt>
                <c:pt idx="158">
                  <c:v>9.91040197102528</c:v>
                </c:pt>
                <c:pt idx="159">
                  <c:v>9.54871107505651</c:v>
                </c:pt>
                <c:pt idx="160">
                  <c:v>9.8890480112838</c:v>
                </c:pt>
                <c:pt idx="161">
                  <c:v>9.8267368971767</c:v>
                </c:pt>
                <c:pt idx="162">
                  <c:v>10.021602184403</c:v>
                </c:pt>
                <c:pt idx="163">
                  <c:v>9.91768235502307</c:v>
                </c:pt>
                <c:pt idx="164">
                  <c:v>9.85165640111693</c:v>
                </c:pt>
                <c:pt idx="165">
                  <c:v>10.0877063337171</c:v>
                </c:pt>
                <c:pt idx="166">
                  <c:v>10.3473088786397</c:v>
                </c:pt>
                <c:pt idx="167">
                  <c:v>10.1566779783753</c:v>
                </c:pt>
                <c:pt idx="168">
                  <c:v>10.2031694511732</c:v>
                </c:pt>
                <c:pt idx="169">
                  <c:v>9.98280417565163</c:v>
                </c:pt>
                <c:pt idx="170">
                  <c:v>9.66231221189638</c:v>
                </c:pt>
                <c:pt idx="171">
                  <c:v>9.95803861248839</c:v>
                </c:pt>
                <c:pt idx="172">
                  <c:v>9.99424447025447</c:v>
                </c:pt>
                <c:pt idx="173">
                  <c:v>9.93539297466858</c:v>
                </c:pt>
                <c:pt idx="174">
                  <c:v>10.1733620265507</c:v>
                </c:pt>
                <c:pt idx="175">
                  <c:v>10.163256950724</c:v>
                </c:pt>
                <c:pt idx="176">
                  <c:v>10.3055929383095</c:v>
                </c:pt>
                <c:pt idx="177">
                  <c:v>10.0167813175606</c:v>
                </c:pt>
                <c:pt idx="178">
                  <c:v>9.90305116368836</c:v>
                </c:pt>
                <c:pt idx="179">
                  <c:v>10.3844535377535</c:v>
                </c:pt>
                <c:pt idx="180">
                  <c:v>10.5669097897417</c:v>
                </c:pt>
                <c:pt idx="181">
                  <c:v>10.1506220475423</c:v>
                </c:pt>
                <c:pt idx="182">
                  <c:v>10.2793863227885</c:v>
                </c:pt>
                <c:pt idx="183">
                  <c:v>10.2112871708003</c:v>
                </c:pt>
                <c:pt idx="184">
                  <c:v>9.86521260156919</c:v>
                </c:pt>
                <c:pt idx="185">
                  <c:v>10.1702249016976</c:v>
                </c:pt>
                <c:pt idx="186">
                  <c:v>9.49041357386088</c:v>
                </c:pt>
                <c:pt idx="187">
                  <c:v>10.3064390445411</c:v>
                </c:pt>
                <c:pt idx="188">
                  <c:v>9.80259366894562</c:v>
                </c:pt>
                <c:pt idx="189">
                  <c:v>9.57187916425086</c:v>
                </c:pt>
                <c:pt idx="190">
                  <c:v>10.0878506447451</c:v>
                </c:pt>
                <c:pt idx="191">
                  <c:v>9.98109650424672</c:v>
                </c:pt>
                <c:pt idx="192">
                  <c:v>9.86155900682037</c:v>
                </c:pt>
                <c:pt idx="193">
                  <c:v>9.58665723939411</c:v>
                </c:pt>
                <c:pt idx="194">
                  <c:v>9.67551692048982</c:v>
                </c:pt>
                <c:pt idx="195">
                  <c:v>9.78376102633349</c:v>
                </c:pt>
                <c:pt idx="196">
                  <c:v>9.77430138745971</c:v>
                </c:pt>
                <c:pt idx="197">
                  <c:v>9.77380243933381</c:v>
                </c:pt>
                <c:pt idx="198">
                  <c:v>9.79604011337015</c:v>
                </c:pt>
                <c:pt idx="199">
                  <c:v>9.91003910240216</c:v>
                </c:pt>
                <c:pt idx="200">
                  <c:v>9.9322247384042</c:v>
                </c:pt>
                <c:pt idx="201">
                  <c:v>9.54877705872143</c:v>
                </c:pt>
                <c:pt idx="202">
                  <c:v>9.64581253501524</c:v>
                </c:pt>
                <c:pt idx="203">
                  <c:v>9.85514932005695</c:v>
                </c:pt>
                <c:pt idx="204">
                  <c:v>9.91269426194383</c:v>
                </c:pt>
                <c:pt idx="205">
                  <c:v>9.84505527984544</c:v>
                </c:pt>
                <c:pt idx="206">
                  <c:v>9.71647916278853</c:v>
                </c:pt>
                <c:pt idx="207">
                  <c:v>9.97681577796447</c:v>
                </c:pt>
                <c:pt idx="208">
                  <c:v>9.77746672369449</c:v>
                </c:pt>
                <c:pt idx="209">
                  <c:v>10.0369273547355</c:v>
                </c:pt>
                <c:pt idx="210">
                  <c:v>9.96746860459795</c:v>
                </c:pt>
                <c:pt idx="211">
                  <c:v>9.93393077882068</c:v>
                </c:pt>
                <c:pt idx="212">
                  <c:v>9.99160737260379</c:v>
                </c:pt>
                <c:pt idx="213">
                  <c:v>10.2437390569216</c:v>
                </c:pt>
                <c:pt idx="214">
                  <c:v>10.1426356394932</c:v>
                </c:pt>
                <c:pt idx="215">
                  <c:v>9.99976276247172</c:v>
                </c:pt>
                <c:pt idx="216">
                  <c:v>10.1662088200614</c:v>
                </c:pt>
                <c:pt idx="217">
                  <c:v>9.89296146729254</c:v>
                </c:pt>
                <c:pt idx="218">
                  <c:v>10.0068111671665</c:v>
                </c:pt>
                <c:pt idx="219">
                  <c:v>10.1335505394579</c:v>
                </c:pt>
                <c:pt idx="220">
                  <c:v>9.9548903324888</c:v>
                </c:pt>
                <c:pt idx="221">
                  <c:v>10.3337038822057</c:v>
                </c:pt>
                <c:pt idx="222">
                  <c:v>10.4545489768858</c:v>
                </c:pt>
                <c:pt idx="223">
                  <c:v>10.1881533552382</c:v>
                </c:pt>
                <c:pt idx="224">
                  <c:v>10.1579912346643</c:v>
                </c:pt>
                <c:pt idx="225">
                  <c:v>10.1129325476943</c:v>
                </c:pt>
                <c:pt idx="226">
                  <c:v>10.2898772023792</c:v>
                </c:pt>
                <c:pt idx="227">
                  <c:v>10.7459942228566</c:v>
                </c:pt>
                <c:pt idx="228">
                  <c:v>10.360271134325</c:v>
                </c:pt>
                <c:pt idx="229">
                  <c:v>10.2242908959433</c:v>
                </c:pt>
                <c:pt idx="230">
                  <c:v>10.2512233522599</c:v>
                </c:pt>
                <c:pt idx="231">
                  <c:v>10.1005900161388</c:v>
                </c:pt>
                <c:pt idx="232">
                  <c:v>10.2826625395825</c:v>
                </c:pt>
                <c:pt idx="233">
                  <c:v>9.41611701011406</c:v>
                </c:pt>
                <c:pt idx="234">
                  <c:v>10.2837914588936</c:v>
                </c:pt>
                <c:pt idx="235">
                  <c:v>9.84515623071572</c:v>
                </c:pt>
                <c:pt idx="236">
                  <c:v>9.47893064857366</c:v>
                </c:pt>
                <c:pt idx="237">
                  <c:v>10.0780884967826</c:v>
                </c:pt>
                <c:pt idx="238">
                  <c:v>10.010103411125</c:v>
                </c:pt>
                <c:pt idx="239">
                  <c:v>9.78612657046951</c:v>
                </c:pt>
                <c:pt idx="240">
                  <c:v>9.49880868465318</c:v>
                </c:pt>
                <c:pt idx="241">
                  <c:v>9.5214566747987</c:v>
                </c:pt>
                <c:pt idx="242">
                  <c:v>9.81224022574578</c:v>
                </c:pt>
                <c:pt idx="243">
                  <c:v>9.67896198813049</c:v>
                </c:pt>
                <c:pt idx="244">
                  <c:v>9.68169702913346</c:v>
                </c:pt>
                <c:pt idx="245">
                  <c:v>9.72592556340548</c:v>
                </c:pt>
                <c:pt idx="246">
                  <c:v>9.85210204532259</c:v>
                </c:pt>
                <c:pt idx="247">
                  <c:v>9.9720271524639</c:v>
                </c:pt>
                <c:pt idx="248">
                  <c:v>9.37541966526269</c:v>
                </c:pt>
                <c:pt idx="249">
                  <c:v>9.5517480754618</c:v>
                </c:pt>
                <c:pt idx="250">
                  <c:v>9.71498557706818</c:v>
                </c:pt>
                <c:pt idx="251">
                  <c:v>9.6765312015115</c:v>
                </c:pt>
                <c:pt idx="252">
                  <c:v>9.55145023358919</c:v>
                </c:pt>
                <c:pt idx="253">
                  <c:v>9.59850802422549</c:v>
                </c:pt>
                <c:pt idx="254">
                  <c:v>9.82350936555962</c:v>
                </c:pt>
                <c:pt idx="255">
                  <c:v>9.63601210815482</c:v>
                </c:pt>
                <c:pt idx="256">
                  <c:v>9.92105547855859</c:v>
                </c:pt>
                <c:pt idx="257">
                  <c:v>9.75031676359805</c:v>
                </c:pt>
                <c:pt idx="258">
                  <c:v>9.85818492653243</c:v>
                </c:pt>
                <c:pt idx="259">
                  <c:v>9.8840805982306</c:v>
                </c:pt>
                <c:pt idx="260">
                  <c:v>10.1396356754153</c:v>
                </c:pt>
                <c:pt idx="261">
                  <c:v>10.1134932357065</c:v>
                </c:pt>
                <c:pt idx="262">
                  <c:v>9.92233091695271</c:v>
                </c:pt>
                <c:pt idx="263">
                  <c:v>10.0634833041559</c:v>
                </c:pt>
                <c:pt idx="264">
                  <c:v>9.83869570021154</c:v>
                </c:pt>
                <c:pt idx="265">
                  <c:v>10.161834456841</c:v>
                </c:pt>
                <c:pt idx="266">
                  <c:v>10.0270449110781</c:v>
                </c:pt>
                <c:pt idx="267">
                  <c:v>9.77610750786644</c:v>
                </c:pt>
                <c:pt idx="268">
                  <c:v>10.1542332613707</c:v>
                </c:pt>
                <c:pt idx="269">
                  <c:v>10.2133839610241</c:v>
                </c:pt>
                <c:pt idx="270">
                  <c:v>10.011757424523</c:v>
                </c:pt>
                <c:pt idx="271">
                  <c:v>9.9565678659528</c:v>
                </c:pt>
                <c:pt idx="272">
                  <c:v>10.0519196339661</c:v>
                </c:pt>
                <c:pt idx="273">
                  <c:v>10.1019088948625</c:v>
                </c:pt>
                <c:pt idx="274">
                  <c:v>10.5538224194767</c:v>
                </c:pt>
                <c:pt idx="275">
                  <c:v>10.0404795967342</c:v>
                </c:pt>
                <c:pt idx="276">
                  <c:v>10.0529347774636</c:v>
                </c:pt>
                <c:pt idx="277">
                  <c:v>10.0464982864458</c:v>
                </c:pt>
                <c:pt idx="278">
                  <c:v>9.75209796311947</c:v>
                </c:pt>
                <c:pt idx="279">
                  <c:v>10.1303981713907</c:v>
                </c:pt>
                <c:pt idx="280">
                  <c:v>9.61736122409419</c:v>
                </c:pt>
              </c:numCache>
            </c:numRef>
          </c:xVal>
          <c:yVal>
            <c:numRef>
              <c:f>分析_3!$L$43:$L$323</c:f>
              <c:numCache>
                <c:formatCode>General</c:formatCode>
                <c:ptCount val="281"/>
                <c:pt idx="0">
                  <c:v>9.96</c:v>
                </c:pt>
                <c:pt idx="1">
                  <c:v>9.74</c:v>
                </c:pt>
                <c:pt idx="2">
                  <c:v>10.01</c:v>
                </c:pt>
                <c:pt idx="3">
                  <c:v>10.16</c:v>
                </c:pt>
                <c:pt idx="4">
                  <c:v>10.03</c:v>
                </c:pt>
                <c:pt idx="5">
                  <c:v>9.64</c:v>
                </c:pt>
                <c:pt idx="6">
                  <c:v>9.74</c:v>
                </c:pt>
                <c:pt idx="7">
                  <c:v>9.87</c:v>
                </c:pt>
                <c:pt idx="8">
                  <c:v>9.66</c:v>
                </c:pt>
                <c:pt idx="9">
                  <c:v>9.8</c:v>
                </c:pt>
                <c:pt idx="10">
                  <c:v>9.79</c:v>
                </c:pt>
                <c:pt idx="11">
                  <c:v>9.84</c:v>
                </c:pt>
                <c:pt idx="12">
                  <c:v>9.99</c:v>
                </c:pt>
                <c:pt idx="13">
                  <c:v>9.5</c:v>
                </c:pt>
                <c:pt idx="14">
                  <c:v>9.59</c:v>
                </c:pt>
                <c:pt idx="15">
                  <c:v>10.11</c:v>
                </c:pt>
                <c:pt idx="16">
                  <c:v>9.98</c:v>
                </c:pt>
                <c:pt idx="17">
                  <c:v>9.79</c:v>
                </c:pt>
                <c:pt idx="18">
                  <c:v>9.71</c:v>
                </c:pt>
                <c:pt idx="19">
                  <c:v>9.83</c:v>
                </c:pt>
                <c:pt idx="20">
                  <c:v>9.72</c:v>
                </c:pt>
                <c:pt idx="21">
                  <c:v>9.91</c:v>
                </c:pt>
                <c:pt idx="22">
                  <c:v>9.81</c:v>
                </c:pt>
                <c:pt idx="23">
                  <c:v>9.78</c:v>
                </c:pt>
                <c:pt idx="24">
                  <c:v>10.06</c:v>
                </c:pt>
                <c:pt idx="25">
                  <c:v>10.29</c:v>
                </c:pt>
                <c:pt idx="26">
                  <c:v>10.24</c:v>
                </c:pt>
                <c:pt idx="27">
                  <c:v>10</c:v>
                </c:pt>
                <c:pt idx="28">
                  <c:v>10.11</c:v>
                </c:pt>
                <c:pt idx="29">
                  <c:v>9.97</c:v>
                </c:pt>
                <c:pt idx="30">
                  <c:v>10.03</c:v>
                </c:pt>
                <c:pt idx="31">
                  <c:v>10.18</c:v>
                </c:pt>
                <c:pt idx="32">
                  <c:v>10.04</c:v>
                </c:pt>
                <c:pt idx="33">
                  <c:v>10.22</c:v>
                </c:pt>
                <c:pt idx="34">
                  <c:v>10.29</c:v>
                </c:pt>
                <c:pt idx="35">
                  <c:v>10.28</c:v>
                </c:pt>
                <c:pt idx="36">
                  <c:v>10.22</c:v>
                </c:pt>
                <c:pt idx="37">
                  <c:v>10.17</c:v>
                </c:pt>
                <c:pt idx="38">
                  <c:v>10.22</c:v>
                </c:pt>
                <c:pt idx="39">
                  <c:v>10.68</c:v>
                </c:pt>
                <c:pt idx="40">
                  <c:v>10.26</c:v>
                </c:pt>
                <c:pt idx="41">
                  <c:v>10.29</c:v>
                </c:pt>
                <c:pt idx="42">
                  <c:v>10.3</c:v>
                </c:pt>
                <c:pt idx="43">
                  <c:v>9.83</c:v>
                </c:pt>
                <c:pt idx="44">
                  <c:v>10.36</c:v>
                </c:pt>
                <c:pt idx="45">
                  <c:v>9.95</c:v>
                </c:pt>
                <c:pt idx="46">
                  <c:v>10.39</c:v>
                </c:pt>
                <c:pt idx="47">
                  <c:v>10.03</c:v>
                </c:pt>
                <c:pt idx="48">
                  <c:v>9.91</c:v>
                </c:pt>
                <c:pt idx="49">
                  <c:v>10.18</c:v>
                </c:pt>
                <c:pt idx="50">
                  <c:v>10.27</c:v>
                </c:pt>
                <c:pt idx="51">
                  <c:v>9.99</c:v>
                </c:pt>
                <c:pt idx="52">
                  <c:v>9.65</c:v>
                </c:pt>
                <c:pt idx="53">
                  <c:v>9.77</c:v>
                </c:pt>
                <c:pt idx="54">
                  <c:v>9.9</c:v>
                </c:pt>
                <c:pt idx="55">
                  <c:v>9.73</c:v>
                </c:pt>
                <c:pt idx="56">
                  <c:v>9.71</c:v>
                </c:pt>
                <c:pt idx="57">
                  <c:v>9.76</c:v>
                </c:pt>
                <c:pt idx="58">
                  <c:v>9.81</c:v>
                </c:pt>
                <c:pt idx="59">
                  <c:v>9.85</c:v>
                </c:pt>
                <c:pt idx="60">
                  <c:v>9.51</c:v>
                </c:pt>
                <c:pt idx="61">
                  <c:v>9.61</c:v>
                </c:pt>
                <c:pt idx="62">
                  <c:v>9.89</c:v>
                </c:pt>
                <c:pt idx="63">
                  <c:v>9.96</c:v>
                </c:pt>
                <c:pt idx="64">
                  <c:v>9.66</c:v>
                </c:pt>
                <c:pt idx="65">
                  <c:v>9.67</c:v>
                </c:pt>
                <c:pt idx="66">
                  <c:v>9.82</c:v>
                </c:pt>
                <c:pt idx="67">
                  <c:v>9.75</c:v>
                </c:pt>
                <c:pt idx="68">
                  <c:v>9.93</c:v>
                </c:pt>
                <c:pt idx="69">
                  <c:v>9.91</c:v>
                </c:pt>
                <c:pt idx="70">
                  <c:v>9.83</c:v>
                </c:pt>
                <c:pt idx="71">
                  <c:v>9.95</c:v>
                </c:pt>
                <c:pt idx="72">
                  <c:v>10.22</c:v>
                </c:pt>
                <c:pt idx="73">
                  <c:v>10.13</c:v>
                </c:pt>
                <c:pt idx="74">
                  <c:v>9.96</c:v>
                </c:pt>
                <c:pt idx="75">
                  <c:v>10.18</c:v>
                </c:pt>
                <c:pt idx="76">
                  <c:v>9.94</c:v>
                </c:pt>
                <c:pt idx="77">
                  <c:v>10.35</c:v>
                </c:pt>
                <c:pt idx="78">
                  <c:v>10.25</c:v>
                </c:pt>
                <c:pt idx="79">
                  <c:v>10.09</c:v>
                </c:pt>
                <c:pt idx="80">
                  <c:v>10.15</c:v>
                </c:pt>
                <c:pt idx="81">
                  <c:v>10.43</c:v>
                </c:pt>
                <c:pt idx="82">
                  <c:v>10.34</c:v>
                </c:pt>
                <c:pt idx="83">
                  <c:v>10.26</c:v>
                </c:pt>
                <c:pt idx="84">
                  <c:v>10.3</c:v>
                </c:pt>
                <c:pt idx="85">
                  <c:v>10.21</c:v>
                </c:pt>
                <c:pt idx="86">
                  <c:v>11</c:v>
                </c:pt>
                <c:pt idx="87">
                  <c:v>10.47</c:v>
                </c:pt>
                <c:pt idx="88">
                  <c:v>10.45</c:v>
                </c:pt>
                <c:pt idx="89">
                  <c:v>10.52</c:v>
                </c:pt>
                <c:pt idx="90">
                  <c:v>10.14</c:v>
                </c:pt>
                <c:pt idx="91">
                  <c:v>10.65</c:v>
                </c:pt>
                <c:pt idx="92">
                  <c:v>10.09</c:v>
                </c:pt>
                <c:pt idx="93">
                  <c:v>10.29</c:v>
                </c:pt>
                <c:pt idx="94">
                  <c:v>9.79</c:v>
                </c:pt>
                <c:pt idx="95">
                  <c:v>9.77</c:v>
                </c:pt>
                <c:pt idx="96">
                  <c:v>10.05</c:v>
                </c:pt>
                <c:pt idx="97">
                  <c:v>9.86</c:v>
                </c:pt>
                <c:pt idx="98">
                  <c:v>9.98</c:v>
                </c:pt>
                <c:pt idx="99">
                  <c:v>9.53</c:v>
                </c:pt>
                <c:pt idx="100">
                  <c:v>9.73</c:v>
                </c:pt>
                <c:pt idx="101">
                  <c:v>9.96</c:v>
                </c:pt>
                <c:pt idx="102">
                  <c:v>9.76</c:v>
                </c:pt>
                <c:pt idx="103">
                  <c:v>9.82</c:v>
                </c:pt>
                <c:pt idx="104">
                  <c:v>9.87</c:v>
                </c:pt>
                <c:pt idx="105">
                  <c:v>10</c:v>
                </c:pt>
                <c:pt idx="106">
                  <c:v>10.02</c:v>
                </c:pt>
                <c:pt idx="107">
                  <c:v>9.33</c:v>
                </c:pt>
                <c:pt idx="108">
                  <c:v>9.57</c:v>
                </c:pt>
                <c:pt idx="109">
                  <c:v>9.66</c:v>
                </c:pt>
                <c:pt idx="110">
                  <c:v>9.91</c:v>
                </c:pt>
                <c:pt idx="111">
                  <c:v>9.67</c:v>
                </c:pt>
                <c:pt idx="112">
                  <c:v>9.49</c:v>
                </c:pt>
                <c:pt idx="113">
                  <c:v>9.8</c:v>
                </c:pt>
                <c:pt idx="114">
                  <c:v>9.75</c:v>
                </c:pt>
                <c:pt idx="115">
                  <c:v>10.01</c:v>
                </c:pt>
                <c:pt idx="116">
                  <c:v>9.81</c:v>
                </c:pt>
                <c:pt idx="117">
                  <c:v>9.73</c:v>
                </c:pt>
                <c:pt idx="118">
                  <c:v>10.09</c:v>
                </c:pt>
                <c:pt idx="119">
                  <c:v>10.29</c:v>
                </c:pt>
                <c:pt idx="120">
                  <c:v>10.17</c:v>
                </c:pt>
                <c:pt idx="121">
                  <c:v>10.14</c:v>
                </c:pt>
                <c:pt idx="122">
                  <c:v>9.94</c:v>
                </c:pt>
                <c:pt idx="123">
                  <c:v>9.82</c:v>
                </c:pt>
                <c:pt idx="124">
                  <c:v>10.26</c:v>
                </c:pt>
                <c:pt idx="125">
                  <c:v>10.07</c:v>
                </c:pt>
                <c:pt idx="126">
                  <c:v>9.92</c:v>
                </c:pt>
                <c:pt idx="127">
                  <c:v>9.96</c:v>
                </c:pt>
                <c:pt idx="128">
                  <c:v>10.25</c:v>
                </c:pt>
                <c:pt idx="129">
                  <c:v>10.23</c:v>
                </c:pt>
                <c:pt idx="130">
                  <c:v>10.01</c:v>
                </c:pt>
                <c:pt idx="131">
                  <c:v>10.1</c:v>
                </c:pt>
                <c:pt idx="132">
                  <c:v>10.36</c:v>
                </c:pt>
                <c:pt idx="133">
                  <c:v>10.51</c:v>
                </c:pt>
                <c:pt idx="134">
                  <c:v>10.21</c:v>
                </c:pt>
                <c:pt idx="135">
                  <c:v>10.32</c:v>
                </c:pt>
                <c:pt idx="136">
                  <c:v>10.2</c:v>
                </c:pt>
                <c:pt idx="137">
                  <c:v>9.76</c:v>
                </c:pt>
                <c:pt idx="138">
                  <c:v>10.26</c:v>
                </c:pt>
                <c:pt idx="139">
                  <c:v>9.89</c:v>
                </c:pt>
                <c:pt idx="140">
                  <c:v>10.21</c:v>
                </c:pt>
                <c:pt idx="141">
                  <c:v>9.49</c:v>
                </c:pt>
                <c:pt idx="142">
                  <c:v>9.63</c:v>
                </c:pt>
                <c:pt idx="143">
                  <c:v>10.01</c:v>
                </c:pt>
                <c:pt idx="144">
                  <c:v>9.85</c:v>
                </c:pt>
                <c:pt idx="145">
                  <c:v>9.84</c:v>
                </c:pt>
                <c:pt idx="146">
                  <c:v>9.59</c:v>
                </c:pt>
                <c:pt idx="147">
                  <c:v>9.66</c:v>
                </c:pt>
                <c:pt idx="148">
                  <c:v>9.79</c:v>
                </c:pt>
                <c:pt idx="149">
                  <c:v>9.81</c:v>
                </c:pt>
                <c:pt idx="150">
                  <c:v>9.78</c:v>
                </c:pt>
                <c:pt idx="151">
                  <c:v>9.77</c:v>
                </c:pt>
                <c:pt idx="152">
                  <c:v>9.98</c:v>
                </c:pt>
                <c:pt idx="153">
                  <c:v>10.02</c:v>
                </c:pt>
                <c:pt idx="154">
                  <c:v>9.35</c:v>
                </c:pt>
                <c:pt idx="155">
                  <c:v>9.62</c:v>
                </c:pt>
                <c:pt idx="156">
                  <c:v>9.94</c:v>
                </c:pt>
                <c:pt idx="157">
                  <c:v>10.07</c:v>
                </c:pt>
                <c:pt idx="158">
                  <c:v>9.94</c:v>
                </c:pt>
                <c:pt idx="159">
                  <c:v>9.55</c:v>
                </c:pt>
                <c:pt idx="160">
                  <c:v>9.91</c:v>
                </c:pt>
                <c:pt idx="161">
                  <c:v>9.85</c:v>
                </c:pt>
                <c:pt idx="162">
                  <c:v>10.02</c:v>
                </c:pt>
                <c:pt idx="163">
                  <c:v>9.94</c:v>
                </c:pt>
                <c:pt idx="164">
                  <c:v>9.89</c:v>
                </c:pt>
                <c:pt idx="165">
                  <c:v>10.13</c:v>
                </c:pt>
                <c:pt idx="166">
                  <c:v>10.34</c:v>
                </c:pt>
                <c:pt idx="167">
                  <c:v>10.18</c:v>
                </c:pt>
                <c:pt idx="168">
                  <c:v>10.22</c:v>
                </c:pt>
                <c:pt idx="169">
                  <c:v>10</c:v>
                </c:pt>
                <c:pt idx="170">
                  <c:v>9.68</c:v>
                </c:pt>
                <c:pt idx="171">
                  <c:v>9.92</c:v>
                </c:pt>
                <c:pt idx="172">
                  <c:v>10.02</c:v>
                </c:pt>
                <c:pt idx="173">
                  <c:v>9.95</c:v>
                </c:pt>
                <c:pt idx="174">
                  <c:v>10.2</c:v>
                </c:pt>
                <c:pt idx="175">
                  <c:v>10.19</c:v>
                </c:pt>
                <c:pt idx="176">
                  <c:v>10.33</c:v>
                </c:pt>
                <c:pt idx="177">
                  <c:v>10.03</c:v>
                </c:pt>
                <c:pt idx="178">
                  <c:v>9.89</c:v>
                </c:pt>
                <c:pt idx="179">
                  <c:v>10.35</c:v>
                </c:pt>
                <c:pt idx="180">
                  <c:v>10.42</c:v>
                </c:pt>
                <c:pt idx="181">
                  <c:v>10.17</c:v>
                </c:pt>
                <c:pt idx="182">
                  <c:v>10.3</c:v>
                </c:pt>
                <c:pt idx="183">
                  <c:v>10.25</c:v>
                </c:pt>
                <c:pt idx="184">
                  <c:v>9.85</c:v>
                </c:pt>
                <c:pt idx="185">
                  <c:v>10.13</c:v>
                </c:pt>
                <c:pt idx="186">
                  <c:v>9.52</c:v>
                </c:pt>
                <c:pt idx="187">
                  <c:v>10.31</c:v>
                </c:pt>
                <c:pt idx="188">
                  <c:v>9.85</c:v>
                </c:pt>
                <c:pt idx="189">
                  <c:v>9.62</c:v>
                </c:pt>
                <c:pt idx="190">
                  <c:v>10.11</c:v>
                </c:pt>
                <c:pt idx="191">
                  <c:v>10.01</c:v>
                </c:pt>
                <c:pt idx="192">
                  <c:v>9.75</c:v>
                </c:pt>
                <c:pt idx="193">
                  <c:v>9.62</c:v>
                </c:pt>
                <c:pt idx="194">
                  <c:v>9.67</c:v>
                </c:pt>
                <c:pt idx="195">
                  <c:v>9.82</c:v>
                </c:pt>
                <c:pt idx="196">
                  <c:v>9.77</c:v>
                </c:pt>
                <c:pt idx="197">
                  <c:v>9.76</c:v>
                </c:pt>
                <c:pt idx="198">
                  <c:v>9.79</c:v>
                </c:pt>
                <c:pt idx="199">
                  <c:v>9.91</c:v>
                </c:pt>
                <c:pt idx="200">
                  <c:v>9.92</c:v>
                </c:pt>
                <c:pt idx="201">
                  <c:v>9.55</c:v>
                </c:pt>
                <c:pt idx="202">
                  <c:v>9.65</c:v>
                </c:pt>
                <c:pt idx="203">
                  <c:v>9.88</c:v>
                </c:pt>
                <c:pt idx="204">
                  <c:v>9.94</c:v>
                </c:pt>
                <c:pt idx="205">
                  <c:v>9.89</c:v>
                </c:pt>
                <c:pt idx="206">
                  <c:v>9.69</c:v>
                </c:pt>
                <c:pt idx="207">
                  <c:v>9.93</c:v>
                </c:pt>
                <c:pt idx="208">
                  <c:v>9.8</c:v>
                </c:pt>
                <c:pt idx="209">
                  <c:v>10.03</c:v>
                </c:pt>
                <c:pt idx="210">
                  <c:v>9.99</c:v>
                </c:pt>
                <c:pt idx="211">
                  <c:v>9.97</c:v>
                </c:pt>
                <c:pt idx="212">
                  <c:v>10.03</c:v>
                </c:pt>
                <c:pt idx="213">
                  <c:v>10.24</c:v>
                </c:pt>
                <c:pt idx="214">
                  <c:v>10.16</c:v>
                </c:pt>
                <c:pt idx="215">
                  <c:v>10.02</c:v>
                </c:pt>
                <c:pt idx="216">
                  <c:v>10.19</c:v>
                </c:pt>
                <c:pt idx="217">
                  <c:v>9.93</c:v>
                </c:pt>
                <c:pt idx="218">
                  <c:v>9.94</c:v>
                </c:pt>
                <c:pt idx="219">
                  <c:v>10.17</c:v>
                </c:pt>
                <c:pt idx="220">
                  <c:v>9.97</c:v>
                </c:pt>
                <c:pt idx="221">
                  <c:v>10.36</c:v>
                </c:pt>
                <c:pt idx="222">
                  <c:v>10.47</c:v>
                </c:pt>
                <c:pt idx="223">
                  <c:v>10.21</c:v>
                </c:pt>
                <c:pt idx="224">
                  <c:v>10.18</c:v>
                </c:pt>
                <c:pt idx="225">
                  <c:v>10.13</c:v>
                </c:pt>
                <c:pt idx="226">
                  <c:v>10.31</c:v>
                </c:pt>
                <c:pt idx="227">
                  <c:v>10.78</c:v>
                </c:pt>
                <c:pt idx="228">
                  <c:v>10.41</c:v>
                </c:pt>
                <c:pt idx="229">
                  <c:v>10.12</c:v>
                </c:pt>
                <c:pt idx="230">
                  <c:v>10.25</c:v>
                </c:pt>
                <c:pt idx="231">
                  <c:v>10.09</c:v>
                </c:pt>
                <c:pt idx="232">
                  <c:v>10.31</c:v>
                </c:pt>
                <c:pt idx="233">
                  <c:v>9.44</c:v>
                </c:pt>
                <c:pt idx="234">
                  <c:v>10.28</c:v>
                </c:pt>
                <c:pt idx="235">
                  <c:v>9.85</c:v>
                </c:pt>
                <c:pt idx="236">
                  <c:v>9.51</c:v>
                </c:pt>
                <c:pt idx="237">
                  <c:v>10.1</c:v>
                </c:pt>
                <c:pt idx="238">
                  <c:v>10.01</c:v>
                </c:pt>
                <c:pt idx="239">
                  <c:v>9.75</c:v>
                </c:pt>
                <c:pt idx="240">
                  <c:v>9.5</c:v>
                </c:pt>
                <c:pt idx="241">
                  <c:v>9.52</c:v>
                </c:pt>
                <c:pt idx="242">
                  <c:v>9.82</c:v>
                </c:pt>
                <c:pt idx="243">
                  <c:v>9.68</c:v>
                </c:pt>
                <c:pt idx="244">
                  <c:v>9.67</c:v>
                </c:pt>
                <c:pt idx="245">
                  <c:v>9.73</c:v>
                </c:pt>
                <c:pt idx="246">
                  <c:v>9.85</c:v>
                </c:pt>
                <c:pt idx="247">
                  <c:v>9.92</c:v>
                </c:pt>
                <c:pt idx="248">
                  <c:v>9.21</c:v>
                </c:pt>
                <c:pt idx="249">
                  <c:v>9.59</c:v>
                </c:pt>
                <c:pt idx="250">
                  <c:v>9.7</c:v>
                </c:pt>
                <c:pt idx="251">
                  <c:v>9.71</c:v>
                </c:pt>
                <c:pt idx="252">
                  <c:v>9.55</c:v>
                </c:pt>
                <c:pt idx="253">
                  <c:v>9.63</c:v>
                </c:pt>
                <c:pt idx="254">
                  <c:v>9.8</c:v>
                </c:pt>
                <c:pt idx="255">
                  <c:v>9.61</c:v>
                </c:pt>
                <c:pt idx="256">
                  <c:v>9.93</c:v>
                </c:pt>
                <c:pt idx="257">
                  <c:v>9.77</c:v>
                </c:pt>
                <c:pt idx="258">
                  <c:v>9.88</c:v>
                </c:pt>
                <c:pt idx="259">
                  <c:v>9.89</c:v>
                </c:pt>
                <c:pt idx="260">
                  <c:v>10.13</c:v>
                </c:pt>
                <c:pt idx="261">
                  <c:v>10.12</c:v>
                </c:pt>
                <c:pt idx="262">
                  <c:v>9.91</c:v>
                </c:pt>
                <c:pt idx="263">
                  <c:v>10.06</c:v>
                </c:pt>
                <c:pt idx="264">
                  <c:v>9.86</c:v>
                </c:pt>
                <c:pt idx="265">
                  <c:v>9.94</c:v>
                </c:pt>
                <c:pt idx="266">
                  <c:v>10.05</c:v>
                </c:pt>
                <c:pt idx="267">
                  <c:v>9.78</c:v>
                </c:pt>
                <c:pt idx="268">
                  <c:v>10.15</c:v>
                </c:pt>
                <c:pt idx="269">
                  <c:v>10.24</c:v>
                </c:pt>
                <c:pt idx="270">
                  <c:v>10.02</c:v>
                </c:pt>
                <c:pt idx="271">
                  <c:v>9.98</c:v>
                </c:pt>
                <c:pt idx="272">
                  <c:v>10.05</c:v>
                </c:pt>
                <c:pt idx="273">
                  <c:v>10.11</c:v>
                </c:pt>
                <c:pt idx="274">
                  <c:v>10.55</c:v>
                </c:pt>
                <c:pt idx="275">
                  <c:v>10.06</c:v>
                </c:pt>
                <c:pt idx="276">
                  <c:v>10.08</c:v>
                </c:pt>
                <c:pt idx="277">
                  <c:v>10.08</c:v>
                </c:pt>
                <c:pt idx="278">
                  <c:v>9.77</c:v>
                </c:pt>
                <c:pt idx="279">
                  <c:v>10.13</c:v>
                </c:pt>
                <c:pt idx="280">
                  <c:v>9.44</c:v>
                </c:pt>
              </c:numCache>
            </c:numRef>
          </c:yVal>
          <c:smooth val="0"/>
        </c:ser>
        <c:axId val="48936286"/>
        <c:axId val="2933237"/>
      </c:scatterChart>
      <c:valAx>
        <c:axId val="48936286"/>
        <c:scaling>
          <c:orientation val="minMax"/>
        </c:scaling>
        <c:delete val="0"/>
        <c:axPos val="b"/>
        <c:numFmt formatCode="#,###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933237"/>
        <c:crosses val="autoZero"/>
        <c:crossBetween val="midCat"/>
      </c:valAx>
      <c:valAx>
        <c:axId val="29332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893628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分析_4!$F$37:$F$271</c:f>
              <c:numCache>
                <c:formatCode>#,##0.0000</c:formatCode>
                <c:ptCount val="235"/>
                <c:pt idx="0">
                  <c:v>216389.55982805</c:v>
                </c:pt>
                <c:pt idx="1">
                  <c:v>121612.895500971</c:v>
                </c:pt>
                <c:pt idx="2">
                  <c:v>135583.847969068</c:v>
                </c:pt>
                <c:pt idx="3">
                  <c:v>28785.649999111</c:v>
                </c:pt>
                <c:pt idx="4">
                  <c:v>45557.3217580711</c:v>
                </c:pt>
                <c:pt idx="5">
                  <c:v>-8812.31413016655</c:v>
                </c:pt>
                <c:pt idx="6">
                  <c:v>87850.9024439308</c:v>
                </c:pt>
                <c:pt idx="7">
                  <c:v>114338.722404998</c:v>
                </c:pt>
                <c:pt idx="8">
                  <c:v>101349.267156047</c:v>
                </c:pt>
                <c:pt idx="9">
                  <c:v>174640.502642532</c:v>
                </c:pt>
                <c:pt idx="10">
                  <c:v>224749.740416881</c:v>
                </c:pt>
                <c:pt idx="11">
                  <c:v>213250.945684699</c:v>
                </c:pt>
                <c:pt idx="12">
                  <c:v>218882.345240124</c:v>
                </c:pt>
                <c:pt idx="13">
                  <c:v>227476.15636276</c:v>
                </c:pt>
                <c:pt idx="14">
                  <c:v>70282.7105905001</c:v>
                </c:pt>
                <c:pt idx="15">
                  <c:v>-20708.4380407595</c:v>
                </c:pt>
                <c:pt idx="16">
                  <c:v>47787.6736777508</c:v>
                </c:pt>
                <c:pt idx="17">
                  <c:v>95708.1815174448</c:v>
                </c:pt>
                <c:pt idx="18">
                  <c:v>49482.4832103704</c:v>
                </c:pt>
                <c:pt idx="19">
                  <c:v>71743.0147409685</c:v>
                </c:pt>
                <c:pt idx="20">
                  <c:v>44026.9045904258</c:v>
                </c:pt>
                <c:pt idx="21">
                  <c:v>150913.273574471</c:v>
                </c:pt>
                <c:pt idx="22">
                  <c:v>191834.264856291</c:v>
                </c:pt>
                <c:pt idx="23">
                  <c:v>128104.213948828</c:v>
                </c:pt>
                <c:pt idx="24">
                  <c:v>86068.6659346388</c:v>
                </c:pt>
                <c:pt idx="25">
                  <c:v>142195.207307305</c:v>
                </c:pt>
                <c:pt idx="26">
                  <c:v>213787.465461003</c:v>
                </c:pt>
                <c:pt idx="27">
                  <c:v>171887.386002759</c:v>
                </c:pt>
                <c:pt idx="28">
                  <c:v>121105.140697363</c:v>
                </c:pt>
                <c:pt idx="29">
                  <c:v>145089.690993878</c:v>
                </c:pt>
                <c:pt idx="30">
                  <c:v>146097.409144854</c:v>
                </c:pt>
                <c:pt idx="31">
                  <c:v>25012.8154008492</c:v>
                </c:pt>
                <c:pt idx="32">
                  <c:v>10930.486561307</c:v>
                </c:pt>
                <c:pt idx="33">
                  <c:v>109687.310596459</c:v>
                </c:pt>
                <c:pt idx="34">
                  <c:v>137412.042093707</c:v>
                </c:pt>
                <c:pt idx="35">
                  <c:v>75503.1602937836</c:v>
                </c:pt>
                <c:pt idx="36">
                  <c:v>-487.056479096878</c:v>
                </c:pt>
                <c:pt idx="37">
                  <c:v>66636.8488208262</c:v>
                </c:pt>
                <c:pt idx="38">
                  <c:v>68026.6577497572</c:v>
                </c:pt>
                <c:pt idx="39">
                  <c:v>152122.623507177</c:v>
                </c:pt>
                <c:pt idx="40">
                  <c:v>140375.448909786</c:v>
                </c:pt>
                <c:pt idx="41">
                  <c:v>92781.3720432876</c:v>
                </c:pt>
                <c:pt idx="42">
                  <c:v>20939.478105844</c:v>
                </c:pt>
                <c:pt idx="43">
                  <c:v>15518.0815094397</c:v>
                </c:pt>
                <c:pt idx="44">
                  <c:v>124238.304642931</c:v>
                </c:pt>
                <c:pt idx="45">
                  <c:v>160046.195006226</c:v>
                </c:pt>
                <c:pt idx="46">
                  <c:v>36751.0196339488</c:v>
                </c:pt>
                <c:pt idx="47">
                  <c:v>226652.858423642</c:v>
                </c:pt>
                <c:pt idx="48">
                  <c:v>112666.784749478</c:v>
                </c:pt>
                <c:pt idx="49">
                  <c:v>138380.933220409</c:v>
                </c:pt>
                <c:pt idx="50">
                  <c:v>66945.1044588044</c:v>
                </c:pt>
                <c:pt idx="51">
                  <c:v>74199.160063848</c:v>
                </c:pt>
                <c:pt idx="52">
                  <c:v>3662.03544174234</c:v>
                </c:pt>
                <c:pt idx="53">
                  <c:v>89562.9748159683</c:v>
                </c:pt>
                <c:pt idx="54">
                  <c:v>161333.31464437</c:v>
                </c:pt>
                <c:pt idx="55">
                  <c:v>88658.321225717</c:v>
                </c:pt>
                <c:pt idx="56">
                  <c:v>187674.119300036</c:v>
                </c:pt>
                <c:pt idx="57">
                  <c:v>258248.442900915</c:v>
                </c:pt>
                <c:pt idx="58">
                  <c:v>229591.057544479</c:v>
                </c:pt>
                <c:pt idx="59">
                  <c:v>232038.276035094</c:v>
                </c:pt>
                <c:pt idx="60">
                  <c:v>249470.922244713</c:v>
                </c:pt>
                <c:pt idx="61">
                  <c:v>79117.6019004856</c:v>
                </c:pt>
                <c:pt idx="62">
                  <c:v>-6839.41691222935</c:v>
                </c:pt>
                <c:pt idx="63">
                  <c:v>102854.926993307</c:v>
                </c:pt>
                <c:pt idx="64">
                  <c:v>118314.738233906</c:v>
                </c:pt>
                <c:pt idx="65">
                  <c:v>86639.9265702231</c:v>
                </c:pt>
                <c:pt idx="66">
                  <c:v>95594.0379728812</c:v>
                </c:pt>
                <c:pt idx="67">
                  <c:v>85307.7432706546</c:v>
                </c:pt>
                <c:pt idx="68">
                  <c:v>148268.073908807</c:v>
                </c:pt>
                <c:pt idx="69">
                  <c:v>190572.549316237</c:v>
                </c:pt>
                <c:pt idx="70">
                  <c:v>129630.377160821</c:v>
                </c:pt>
                <c:pt idx="71">
                  <c:v>108670.333252815</c:v>
                </c:pt>
                <c:pt idx="72">
                  <c:v>166737.09158331</c:v>
                </c:pt>
                <c:pt idx="73">
                  <c:v>228870.787233246</c:v>
                </c:pt>
                <c:pt idx="74">
                  <c:v>199017.877964004</c:v>
                </c:pt>
                <c:pt idx="75">
                  <c:v>161025.689367204</c:v>
                </c:pt>
                <c:pt idx="76">
                  <c:v>191528.727521588</c:v>
                </c:pt>
                <c:pt idx="77">
                  <c:v>163346.383734646</c:v>
                </c:pt>
                <c:pt idx="78">
                  <c:v>34452.3521080616</c:v>
                </c:pt>
                <c:pt idx="79">
                  <c:v>25354.6349952306</c:v>
                </c:pt>
                <c:pt idx="80">
                  <c:v>138826.041755011</c:v>
                </c:pt>
                <c:pt idx="81">
                  <c:v>137724.473283385</c:v>
                </c:pt>
                <c:pt idx="82">
                  <c:v>109577.021289098</c:v>
                </c:pt>
                <c:pt idx="83">
                  <c:v>53294.1326438818</c:v>
                </c:pt>
                <c:pt idx="84">
                  <c:v>116565.120095737</c:v>
                </c:pt>
                <c:pt idx="85">
                  <c:v>89674.7547167404</c:v>
                </c:pt>
                <c:pt idx="86">
                  <c:v>179753.073134399</c:v>
                </c:pt>
                <c:pt idx="87">
                  <c:v>157262.486342334</c:v>
                </c:pt>
                <c:pt idx="88">
                  <c:v>108134.138341025</c:v>
                </c:pt>
                <c:pt idx="89">
                  <c:v>30970.8117669404</c:v>
                </c:pt>
                <c:pt idx="90">
                  <c:v>45154.2434848886</c:v>
                </c:pt>
                <c:pt idx="91">
                  <c:v>172480.992697294</c:v>
                </c:pt>
                <c:pt idx="92">
                  <c:v>189864.846170227</c:v>
                </c:pt>
                <c:pt idx="93">
                  <c:v>71449.7450266587</c:v>
                </c:pt>
                <c:pt idx="94">
                  <c:v>222452.674509741</c:v>
                </c:pt>
                <c:pt idx="95">
                  <c:v>109455.056093804</c:v>
                </c:pt>
                <c:pt idx="96">
                  <c:v>108402.447123302</c:v>
                </c:pt>
                <c:pt idx="97">
                  <c:v>70089.0753304053</c:v>
                </c:pt>
                <c:pt idx="98">
                  <c:v>-18941.2792972306</c:v>
                </c:pt>
                <c:pt idx="99">
                  <c:v>-30922.7811623443</c:v>
                </c:pt>
                <c:pt idx="100">
                  <c:v>60443.001457393</c:v>
                </c:pt>
                <c:pt idx="101">
                  <c:v>158639.460163701</c:v>
                </c:pt>
                <c:pt idx="102">
                  <c:v>95475.7168081102</c:v>
                </c:pt>
                <c:pt idx="103">
                  <c:v>208624.407405393</c:v>
                </c:pt>
                <c:pt idx="104">
                  <c:v>258061.570790996</c:v>
                </c:pt>
                <c:pt idx="105">
                  <c:v>271666.031379315</c:v>
                </c:pt>
                <c:pt idx="106">
                  <c:v>248210.943679665</c:v>
                </c:pt>
                <c:pt idx="107">
                  <c:v>251880.53096521</c:v>
                </c:pt>
                <c:pt idx="108">
                  <c:v>62518.2151768234</c:v>
                </c:pt>
                <c:pt idx="109">
                  <c:v>-48740.7424440133</c:v>
                </c:pt>
                <c:pt idx="110">
                  <c:v>43986.1626274393</c:v>
                </c:pt>
                <c:pt idx="111">
                  <c:v>62132.1567817204</c:v>
                </c:pt>
                <c:pt idx="112">
                  <c:v>53394.1172155477</c:v>
                </c:pt>
                <c:pt idx="113">
                  <c:v>11220.1916514287</c:v>
                </c:pt>
                <c:pt idx="114">
                  <c:v>80650.046572719</c:v>
                </c:pt>
                <c:pt idx="115">
                  <c:v>191817.79828906</c:v>
                </c:pt>
                <c:pt idx="116">
                  <c:v>213198.707773935</c:v>
                </c:pt>
                <c:pt idx="117">
                  <c:v>128311.197954738</c:v>
                </c:pt>
                <c:pt idx="118">
                  <c:v>120466.928276229</c:v>
                </c:pt>
                <c:pt idx="119">
                  <c:v>157577.834167815</c:v>
                </c:pt>
                <c:pt idx="120">
                  <c:v>252948.343385571</c:v>
                </c:pt>
                <c:pt idx="121">
                  <c:v>169522.163586979</c:v>
                </c:pt>
                <c:pt idx="122">
                  <c:v>131188.857470874</c:v>
                </c:pt>
                <c:pt idx="123">
                  <c:v>170832.904106602</c:v>
                </c:pt>
                <c:pt idx="124">
                  <c:v>145213.510446899</c:v>
                </c:pt>
                <c:pt idx="125">
                  <c:v>47858.5957877706</c:v>
                </c:pt>
                <c:pt idx="126">
                  <c:v>-20002.701174816</c:v>
                </c:pt>
                <c:pt idx="127">
                  <c:v>133475.875180823</c:v>
                </c:pt>
                <c:pt idx="128">
                  <c:v>128904.775727343</c:v>
                </c:pt>
                <c:pt idx="129">
                  <c:v>88245.7761976734</c:v>
                </c:pt>
                <c:pt idx="130">
                  <c:v>24538.7648121489</c:v>
                </c:pt>
                <c:pt idx="131">
                  <c:v>148220.004772199</c:v>
                </c:pt>
                <c:pt idx="132">
                  <c:v>127399.668954313</c:v>
                </c:pt>
                <c:pt idx="133">
                  <c:v>195274.423658737</c:v>
                </c:pt>
                <c:pt idx="134">
                  <c:v>145916.026604726</c:v>
                </c:pt>
                <c:pt idx="135">
                  <c:v>78741.3892478088</c:v>
                </c:pt>
                <c:pt idx="136">
                  <c:v>37033.1335917094</c:v>
                </c:pt>
                <c:pt idx="137">
                  <c:v>33468.3469292251</c:v>
                </c:pt>
                <c:pt idx="138">
                  <c:v>176711.461398251</c:v>
                </c:pt>
                <c:pt idx="139">
                  <c:v>190184.082490566</c:v>
                </c:pt>
                <c:pt idx="140">
                  <c:v>55716.3119390974</c:v>
                </c:pt>
                <c:pt idx="141">
                  <c:v>220329.988446281</c:v>
                </c:pt>
                <c:pt idx="142">
                  <c:v>92290.0080155037</c:v>
                </c:pt>
                <c:pt idx="143">
                  <c:v>103365.873889234</c:v>
                </c:pt>
                <c:pt idx="144">
                  <c:v>55471.7641525673</c:v>
                </c:pt>
                <c:pt idx="145">
                  <c:v>7237.20165023615</c:v>
                </c:pt>
                <c:pt idx="146">
                  <c:v>-6200.7933577348</c:v>
                </c:pt>
                <c:pt idx="147">
                  <c:v>98431.012902347</c:v>
                </c:pt>
                <c:pt idx="148">
                  <c:v>191854.208562254</c:v>
                </c:pt>
                <c:pt idx="149">
                  <c:v>98470.0779156547</c:v>
                </c:pt>
                <c:pt idx="150">
                  <c:v>202979.468692574</c:v>
                </c:pt>
                <c:pt idx="151">
                  <c:v>267424.44221989</c:v>
                </c:pt>
                <c:pt idx="152">
                  <c:v>242344.718415869</c:v>
                </c:pt>
                <c:pt idx="153">
                  <c:v>254742.279631889</c:v>
                </c:pt>
                <c:pt idx="154">
                  <c:v>265566.864129922</c:v>
                </c:pt>
                <c:pt idx="155">
                  <c:v>76187.2462634579</c:v>
                </c:pt>
                <c:pt idx="156">
                  <c:v>-5173.27966382675</c:v>
                </c:pt>
                <c:pt idx="157">
                  <c:v>76928.7327895791</c:v>
                </c:pt>
                <c:pt idx="158">
                  <c:v>96562.3026543763</c:v>
                </c:pt>
                <c:pt idx="159">
                  <c:v>95135.0654236112</c:v>
                </c:pt>
                <c:pt idx="160">
                  <c:v>55950.4002620023</c:v>
                </c:pt>
                <c:pt idx="161">
                  <c:v>79157.072978052</c:v>
                </c:pt>
                <c:pt idx="162">
                  <c:v>170377.23632731</c:v>
                </c:pt>
                <c:pt idx="163">
                  <c:v>195493.763692551</c:v>
                </c:pt>
                <c:pt idx="164">
                  <c:v>146831.117219566</c:v>
                </c:pt>
                <c:pt idx="165">
                  <c:v>127170.99757102</c:v>
                </c:pt>
                <c:pt idx="166">
                  <c:v>155228.660680321</c:v>
                </c:pt>
                <c:pt idx="167">
                  <c:v>243953.007133028</c:v>
                </c:pt>
                <c:pt idx="168">
                  <c:v>189648.911623828</c:v>
                </c:pt>
                <c:pt idx="169">
                  <c:v>149897.370276253</c:v>
                </c:pt>
                <c:pt idx="170">
                  <c:v>190404.883679358</c:v>
                </c:pt>
                <c:pt idx="171">
                  <c:v>135166.787124335</c:v>
                </c:pt>
                <c:pt idx="172">
                  <c:v>95961.1335799681</c:v>
                </c:pt>
                <c:pt idx="173">
                  <c:v>13711.5439091637</c:v>
                </c:pt>
                <c:pt idx="174">
                  <c:v>159326.407922702</c:v>
                </c:pt>
                <c:pt idx="175">
                  <c:v>173523.571830954</c:v>
                </c:pt>
                <c:pt idx="176">
                  <c:v>125368.632328664</c:v>
                </c:pt>
                <c:pt idx="177">
                  <c:v>67277.7337666441</c:v>
                </c:pt>
                <c:pt idx="178">
                  <c:v>135635.795924839</c:v>
                </c:pt>
                <c:pt idx="179">
                  <c:v>101661.362602794</c:v>
                </c:pt>
                <c:pt idx="180">
                  <c:v>171857.809251443</c:v>
                </c:pt>
                <c:pt idx="181">
                  <c:v>123651.859413022</c:v>
                </c:pt>
                <c:pt idx="182">
                  <c:v>110328.179808537</c:v>
                </c:pt>
                <c:pt idx="183">
                  <c:v>12232.9861709671</c:v>
                </c:pt>
                <c:pt idx="184">
                  <c:v>46559.9889724494</c:v>
                </c:pt>
                <c:pt idx="185">
                  <c:v>170899.61091329</c:v>
                </c:pt>
                <c:pt idx="186">
                  <c:v>181920.978196379</c:v>
                </c:pt>
                <c:pt idx="187">
                  <c:v>115125.416354382</c:v>
                </c:pt>
                <c:pt idx="188">
                  <c:v>206035.307328089</c:v>
                </c:pt>
                <c:pt idx="189">
                  <c:v>67686.3073450146</c:v>
                </c:pt>
                <c:pt idx="190">
                  <c:v>101554.914265371</c:v>
                </c:pt>
                <c:pt idx="191">
                  <c:v>75778.935075744</c:v>
                </c:pt>
                <c:pt idx="192">
                  <c:v>35214.9340781781</c:v>
                </c:pt>
                <c:pt idx="193">
                  <c:v>-13229.6054552758</c:v>
                </c:pt>
                <c:pt idx="194">
                  <c:v>76377.6781441936</c:v>
                </c:pt>
                <c:pt idx="195">
                  <c:v>163219.403052113</c:v>
                </c:pt>
                <c:pt idx="196">
                  <c:v>71572.4805155056</c:v>
                </c:pt>
                <c:pt idx="197">
                  <c:v>187109.445671463</c:v>
                </c:pt>
                <c:pt idx="198">
                  <c:v>262282.168111559</c:v>
                </c:pt>
                <c:pt idx="199">
                  <c:v>223598.576628996</c:v>
                </c:pt>
                <c:pt idx="200">
                  <c:v>228599.129432464</c:v>
                </c:pt>
                <c:pt idx="201">
                  <c:v>237113.18235699</c:v>
                </c:pt>
                <c:pt idx="202">
                  <c:v>59825.8773297772</c:v>
                </c:pt>
                <c:pt idx="203">
                  <c:v>-19571.0533953137</c:v>
                </c:pt>
                <c:pt idx="204">
                  <c:v>41389.9665067585</c:v>
                </c:pt>
                <c:pt idx="205">
                  <c:v>57075.6579899362</c:v>
                </c:pt>
                <c:pt idx="206">
                  <c:v>65421.8439438289</c:v>
                </c:pt>
                <c:pt idx="207">
                  <c:v>38116.4033790521</c:v>
                </c:pt>
                <c:pt idx="208">
                  <c:v>84345.1043781892</c:v>
                </c:pt>
                <c:pt idx="209">
                  <c:v>159348.01613134</c:v>
                </c:pt>
                <c:pt idx="210">
                  <c:v>164775.188621722</c:v>
                </c:pt>
                <c:pt idx="211">
                  <c:v>123543.097628347</c:v>
                </c:pt>
                <c:pt idx="212">
                  <c:v>123475.939321049</c:v>
                </c:pt>
                <c:pt idx="213">
                  <c:v>134870.911307216</c:v>
                </c:pt>
                <c:pt idx="214">
                  <c:v>226807.627154463</c:v>
                </c:pt>
                <c:pt idx="215">
                  <c:v>181531.451170703</c:v>
                </c:pt>
                <c:pt idx="216">
                  <c:v>162094.548376405</c:v>
                </c:pt>
                <c:pt idx="217">
                  <c:v>167766.376459557</c:v>
                </c:pt>
                <c:pt idx="218">
                  <c:v>115503.637777059</c:v>
                </c:pt>
                <c:pt idx="219">
                  <c:v>40226.2741244567</c:v>
                </c:pt>
                <c:pt idx="220">
                  <c:v>-6439.83371972371</c:v>
                </c:pt>
                <c:pt idx="221">
                  <c:v>130133.243720277</c:v>
                </c:pt>
                <c:pt idx="222">
                  <c:v>154525.312383537</c:v>
                </c:pt>
                <c:pt idx="223">
                  <c:v>101027.689350679</c:v>
                </c:pt>
                <c:pt idx="224">
                  <c:v>51916.4839323519</c:v>
                </c:pt>
                <c:pt idx="225">
                  <c:v>119324.791954736</c:v>
                </c:pt>
                <c:pt idx="226">
                  <c:v>84858.8233902977</c:v>
                </c:pt>
                <c:pt idx="227">
                  <c:v>137440.489170705</c:v>
                </c:pt>
                <c:pt idx="228">
                  <c:v>114985.514322237</c:v>
                </c:pt>
                <c:pt idx="229">
                  <c:v>104868.943370281</c:v>
                </c:pt>
                <c:pt idx="230">
                  <c:v>-5976.7330193728</c:v>
                </c:pt>
                <c:pt idx="231">
                  <c:v>32667.9320574448</c:v>
                </c:pt>
                <c:pt idx="232">
                  <c:v>138130.952809733</c:v>
                </c:pt>
                <c:pt idx="233">
                  <c:v>184162.462061652</c:v>
                </c:pt>
                <c:pt idx="234">
                  <c:v>78714.4149338855</c:v>
                </c:pt>
              </c:numCache>
            </c:numRef>
          </c:xVal>
          <c:yVal>
            <c:numRef>
              <c:f>分析_4!$G$37:$G$271</c:f>
              <c:numCache>
                <c:formatCode>#,##0.0000</c:formatCode>
                <c:ptCount val="235"/>
                <c:pt idx="0">
                  <c:v>263346</c:v>
                </c:pt>
                <c:pt idx="1">
                  <c:v>60429</c:v>
                </c:pt>
                <c:pt idx="2">
                  <c:v>54837</c:v>
                </c:pt>
                <c:pt idx="3">
                  <c:v>102817</c:v>
                </c:pt>
                <c:pt idx="4">
                  <c:v>48267</c:v>
                </c:pt>
                <c:pt idx="5">
                  <c:v>54008</c:v>
                </c:pt>
                <c:pt idx="6">
                  <c:v>84085</c:v>
                </c:pt>
                <c:pt idx="7">
                  <c:v>90280</c:v>
                </c:pt>
                <c:pt idx="8">
                  <c:v>69589</c:v>
                </c:pt>
                <c:pt idx="9">
                  <c:v>79022</c:v>
                </c:pt>
                <c:pt idx="10">
                  <c:v>176671</c:v>
                </c:pt>
                <c:pt idx="11">
                  <c:v>127132</c:v>
                </c:pt>
                <c:pt idx="12">
                  <c:v>672029</c:v>
                </c:pt>
                <c:pt idx="13">
                  <c:v>214068</c:v>
                </c:pt>
                <c:pt idx="14">
                  <c:v>99778</c:v>
                </c:pt>
                <c:pt idx="15">
                  <c:v>50455</c:v>
                </c:pt>
                <c:pt idx="16">
                  <c:v>57742</c:v>
                </c:pt>
                <c:pt idx="17">
                  <c:v>38956</c:v>
                </c:pt>
                <c:pt idx="18">
                  <c:v>32486</c:v>
                </c:pt>
                <c:pt idx="19">
                  <c:v>81622</c:v>
                </c:pt>
                <c:pt idx="20">
                  <c:v>95830</c:v>
                </c:pt>
                <c:pt idx="21">
                  <c:v>128849</c:v>
                </c:pt>
                <c:pt idx="22">
                  <c:v>307597</c:v>
                </c:pt>
                <c:pt idx="23">
                  <c:v>64799</c:v>
                </c:pt>
                <c:pt idx="24">
                  <c:v>44465</c:v>
                </c:pt>
                <c:pt idx="25">
                  <c:v>113992</c:v>
                </c:pt>
                <c:pt idx="26">
                  <c:v>459474</c:v>
                </c:pt>
                <c:pt idx="27">
                  <c:v>201459</c:v>
                </c:pt>
                <c:pt idx="28">
                  <c:v>42630</c:v>
                </c:pt>
                <c:pt idx="29">
                  <c:v>39905</c:v>
                </c:pt>
                <c:pt idx="30">
                  <c:v>27178</c:v>
                </c:pt>
                <c:pt idx="31">
                  <c:v>35183</c:v>
                </c:pt>
                <c:pt idx="32">
                  <c:v>96862</c:v>
                </c:pt>
                <c:pt idx="33">
                  <c:v>142884</c:v>
                </c:pt>
                <c:pt idx="34">
                  <c:v>59321</c:v>
                </c:pt>
                <c:pt idx="35">
                  <c:v>37882</c:v>
                </c:pt>
                <c:pt idx="36">
                  <c:v>54780</c:v>
                </c:pt>
                <c:pt idx="37">
                  <c:v>71082</c:v>
                </c:pt>
                <c:pt idx="38">
                  <c:v>35120</c:v>
                </c:pt>
                <c:pt idx="39">
                  <c:v>258772</c:v>
                </c:pt>
                <c:pt idx="40">
                  <c:v>45366</c:v>
                </c:pt>
                <c:pt idx="41">
                  <c:v>65337</c:v>
                </c:pt>
                <c:pt idx="42">
                  <c:v>90224</c:v>
                </c:pt>
                <c:pt idx="43">
                  <c:v>59484</c:v>
                </c:pt>
                <c:pt idx="44">
                  <c:v>53924</c:v>
                </c:pt>
                <c:pt idx="45">
                  <c:v>87017</c:v>
                </c:pt>
                <c:pt idx="46">
                  <c:v>74355</c:v>
                </c:pt>
                <c:pt idx="47">
                  <c:v>260585</c:v>
                </c:pt>
                <c:pt idx="48">
                  <c:v>59480</c:v>
                </c:pt>
                <c:pt idx="49">
                  <c:v>53818</c:v>
                </c:pt>
                <c:pt idx="50">
                  <c:v>102022</c:v>
                </c:pt>
                <c:pt idx="51">
                  <c:v>46633</c:v>
                </c:pt>
                <c:pt idx="52">
                  <c:v>54051</c:v>
                </c:pt>
                <c:pt idx="53">
                  <c:v>83900</c:v>
                </c:pt>
                <c:pt idx="54">
                  <c:v>92100</c:v>
                </c:pt>
                <c:pt idx="55">
                  <c:v>71292</c:v>
                </c:pt>
                <c:pt idx="56">
                  <c:v>80070</c:v>
                </c:pt>
                <c:pt idx="57">
                  <c:v>182653</c:v>
                </c:pt>
                <c:pt idx="58">
                  <c:v>132621</c:v>
                </c:pt>
                <c:pt idx="59">
                  <c:v>712807</c:v>
                </c:pt>
                <c:pt idx="60">
                  <c:v>222884</c:v>
                </c:pt>
                <c:pt idx="61">
                  <c:v>98369</c:v>
                </c:pt>
                <c:pt idx="62">
                  <c:v>50531</c:v>
                </c:pt>
                <c:pt idx="63">
                  <c:v>57253</c:v>
                </c:pt>
                <c:pt idx="64">
                  <c:v>39053</c:v>
                </c:pt>
                <c:pt idx="65">
                  <c:v>32852</c:v>
                </c:pt>
                <c:pt idx="66">
                  <c:v>81616</c:v>
                </c:pt>
                <c:pt idx="67">
                  <c:v>97411</c:v>
                </c:pt>
                <c:pt idx="68">
                  <c:v>130669</c:v>
                </c:pt>
                <c:pt idx="69">
                  <c:v>315544</c:v>
                </c:pt>
                <c:pt idx="70">
                  <c:v>65231</c:v>
                </c:pt>
                <c:pt idx="71">
                  <c:v>44716</c:v>
                </c:pt>
                <c:pt idx="72">
                  <c:v>117224</c:v>
                </c:pt>
                <c:pt idx="73">
                  <c:v>471510</c:v>
                </c:pt>
                <c:pt idx="74">
                  <c:v>205581</c:v>
                </c:pt>
                <c:pt idx="75">
                  <c:v>43908</c:v>
                </c:pt>
                <c:pt idx="76">
                  <c:v>39728</c:v>
                </c:pt>
                <c:pt idx="77">
                  <c:v>27148</c:v>
                </c:pt>
                <c:pt idx="78">
                  <c:v>34584</c:v>
                </c:pt>
                <c:pt idx="79">
                  <c:v>95876</c:v>
                </c:pt>
                <c:pt idx="80">
                  <c:v>142058</c:v>
                </c:pt>
                <c:pt idx="81">
                  <c:v>58250</c:v>
                </c:pt>
                <c:pt idx="82">
                  <c:v>37456</c:v>
                </c:pt>
                <c:pt idx="83">
                  <c:v>53089</c:v>
                </c:pt>
                <c:pt idx="84">
                  <c:v>69455</c:v>
                </c:pt>
                <c:pt idx="85">
                  <c:v>34481</c:v>
                </c:pt>
                <c:pt idx="86">
                  <c:v>263949</c:v>
                </c:pt>
                <c:pt idx="87">
                  <c:v>44123</c:v>
                </c:pt>
                <c:pt idx="88">
                  <c:v>64479</c:v>
                </c:pt>
                <c:pt idx="89">
                  <c:v>90700</c:v>
                </c:pt>
                <c:pt idx="90">
                  <c:v>58609</c:v>
                </c:pt>
                <c:pt idx="91">
                  <c:v>53047</c:v>
                </c:pt>
                <c:pt idx="92">
                  <c:v>86609</c:v>
                </c:pt>
                <c:pt idx="93">
                  <c:v>75141</c:v>
                </c:pt>
                <c:pt idx="94">
                  <c:v>264810</c:v>
                </c:pt>
                <c:pt idx="95">
                  <c:v>59661</c:v>
                </c:pt>
                <c:pt idx="96">
                  <c:v>54389</c:v>
                </c:pt>
                <c:pt idx="97">
                  <c:v>103900</c:v>
                </c:pt>
                <c:pt idx="98">
                  <c:v>47407</c:v>
                </c:pt>
                <c:pt idx="99">
                  <c:v>55000</c:v>
                </c:pt>
                <c:pt idx="100">
                  <c:v>86140</c:v>
                </c:pt>
                <c:pt idx="101">
                  <c:v>94602</c:v>
                </c:pt>
                <c:pt idx="102">
                  <c:v>72874</c:v>
                </c:pt>
                <c:pt idx="103">
                  <c:v>83505</c:v>
                </c:pt>
                <c:pt idx="104">
                  <c:v>188060</c:v>
                </c:pt>
                <c:pt idx="105">
                  <c:v>136480</c:v>
                </c:pt>
                <c:pt idx="106">
                  <c:v>761325</c:v>
                </c:pt>
                <c:pt idx="107">
                  <c:v>230550</c:v>
                </c:pt>
                <c:pt idx="108">
                  <c:v>101185</c:v>
                </c:pt>
                <c:pt idx="109">
                  <c:v>52167</c:v>
                </c:pt>
                <c:pt idx="110">
                  <c:v>59465</c:v>
                </c:pt>
                <c:pt idx="111">
                  <c:v>40444</c:v>
                </c:pt>
                <c:pt idx="112">
                  <c:v>34540</c:v>
                </c:pt>
                <c:pt idx="113">
                  <c:v>83868</c:v>
                </c:pt>
                <c:pt idx="114">
                  <c:v>101465</c:v>
                </c:pt>
                <c:pt idx="115">
                  <c:v>136672</c:v>
                </c:pt>
                <c:pt idx="116">
                  <c:v>329576</c:v>
                </c:pt>
                <c:pt idx="117">
                  <c:v>68133</c:v>
                </c:pt>
                <c:pt idx="118">
                  <c:v>46931</c:v>
                </c:pt>
                <c:pt idx="119">
                  <c:v>120732</c:v>
                </c:pt>
                <c:pt idx="120">
                  <c:v>493557</c:v>
                </c:pt>
                <c:pt idx="121">
                  <c:v>211290</c:v>
                </c:pt>
                <c:pt idx="122">
                  <c:v>45338</c:v>
                </c:pt>
                <c:pt idx="123">
                  <c:v>41033</c:v>
                </c:pt>
                <c:pt idx="124">
                  <c:v>27288</c:v>
                </c:pt>
                <c:pt idx="125">
                  <c:v>34565</c:v>
                </c:pt>
                <c:pt idx="126">
                  <c:v>98736</c:v>
                </c:pt>
                <c:pt idx="127">
                  <c:v>146284</c:v>
                </c:pt>
                <c:pt idx="128">
                  <c:v>60572</c:v>
                </c:pt>
                <c:pt idx="129">
                  <c:v>38545</c:v>
                </c:pt>
                <c:pt idx="130">
                  <c:v>54727</c:v>
                </c:pt>
                <c:pt idx="131">
                  <c:v>71448</c:v>
                </c:pt>
                <c:pt idx="132">
                  <c:v>34703</c:v>
                </c:pt>
                <c:pt idx="133">
                  <c:v>275257</c:v>
                </c:pt>
                <c:pt idx="134">
                  <c:v>45757</c:v>
                </c:pt>
                <c:pt idx="135">
                  <c:v>66217</c:v>
                </c:pt>
                <c:pt idx="136">
                  <c:v>93118</c:v>
                </c:pt>
                <c:pt idx="137">
                  <c:v>60681</c:v>
                </c:pt>
                <c:pt idx="138">
                  <c:v>55890</c:v>
                </c:pt>
                <c:pt idx="139">
                  <c:v>89807</c:v>
                </c:pt>
                <c:pt idx="140">
                  <c:v>76184</c:v>
                </c:pt>
                <c:pt idx="141">
                  <c:v>273752</c:v>
                </c:pt>
                <c:pt idx="142">
                  <c:v>62381</c:v>
                </c:pt>
                <c:pt idx="143">
                  <c:v>54862</c:v>
                </c:pt>
                <c:pt idx="144">
                  <c:v>105191</c:v>
                </c:pt>
                <c:pt idx="145">
                  <c:v>47825</c:v>
                </c:pt>
                <c:pt idx="146">
                  <c:v>55896</c:v>
                </c:pt>
                <c:pt idx="147">
                  <c:v>87907</c:v>
                </c:pt>
                <c:pt idx="148">
                  <c:v>97264</c:v>
                </c:pt>
                <c:pt idx="149">
                  <c:v>75767</c:v>
                </c:pt>
                <c:pt idx="150">
                  <c:v>85792</c:v>
                </c:pt>
                <c:pt idx="151">
                  <c:v>196744</c:v>
                </c:pt>
                <c:pt idx="152">
                  <c:v>143779</c:v>
                </c:pt>
                <c:pt idx="153">
                  <c:v>823223</c:v>
                </c:pt>
                <c:pt idx="154">
                  <c:v>241725</c:v>
                </c:pt>
                <c:pt idx="155">
                  <c:v>104533</c:v>
                </c:pt>
                <c:pt idx="156">
                  <c:v>53588</c:v>
                </c:pt>
                <c:pt idx="157">
                  <c:v>60279</c:v>
                </c:pt>
                <c:pt idx="158">
                  <c:v>41063</c:v>
                </c:pt>
                <c:pt idx="159">
                  <c:v>35280</c:v>
                </c:pt>
                <c:pt idx="160">
                  <c:v>86822</c:v>
                </c:pt>
                <c:pt idx="161">
                  <c:v>106341</c:v>
                </c:pt>
                <c:pt idx="162">
                  <c:v>140259</c:v>
                </c:pt>
                <c:pt idx="163">
                  <c:v>346191</c:v>
                </c:pt>
                <c:pt idx="164">
                  <c:v>70324</c:v>
                </c:pt>
                <c:pt idx="165">
                  <c:v>48341</c:v>
                </c:pt>
                <c:pt idx="166">
                  <c:v>124948</c:v>
                </c:pt>
                <c:pt idx="167">
                  <c:v>515154</c:v>
                </c:pt>
                <c:pt idx="168">
                  <c:v>219422</c:v>
                </c:pt>
                <c:pt idx="169">
                  <c:v>46165</c:v>
                </c:pt>
                <c:pt idx="170">
                  <c:v>42632</c:v>
                </c:pt>
                <c:pt idx="171">
                  <c:v>28248</c:v>
                </c:pt>
                <c:pt idx="172">
                  <c:v>34529</c:v>
                </c:pt>
                <c:pt idx="173">
                  <c:v>102689</c:v>
                </c:pt>
                <c:pt idx="174">
                  <c:v>149727</c:v>
                </c:pt>
                <c:pt idx="175">
                  <c:v>62541</c:v>
                </c:pt>
                <c:pt idx="176">
                  <c:v>40110</c:v>
                </c:pt>
                <c:pt idx="177">
                  <c:v>55436</c:v>
                </c:pt>
                <c:pt idx="178">
                  <c:v>73494</c:v>
                </c:pt>
                <c:pt idx="179">
                  <c:v>35562</c:v>
                </c:pt>
                <c:pt idx="180">
                  <c:v>286132</c:v>
                </c:pt>
                <c:pt idx="181">
                  <c:v>46552</c:v>
                </c:pt>
                <c:pt idx="182">
                  <c:v>68580</c:v>
                </c:pt>
                <c:pt idx="183">
                  <c:v>93665</c:v>
                </c:pt>
                <c:pt idx="184">
                  <c:v>61836</c:v>
                </c:pt>
                <c:pt idx="185">
                  <c:v>57996</c:v>
                </c:pt>
                <c:pt idx="186">
                  <c:v>92510</c:v>
                </c:pt>
                <c:pt idx="187">
                  <c:v>78124</c:v>
                </c:pt>
                <c:pt idx="188">
                  <c:v>285581</c:v>
                </c:pt>
                <c:pt idx="189">
                  <c:v>64474</c:v>
                </c:pt>
                <c:pt idx="190">
                  <c:v>56283</c:v>
                </c:pt>
                <c:pt idx="191">
                  <c:v>109889</c:v>
                </c:pt>
                <c:pt idx="192">
                  <c:v>49818</c:v>
                </c:pt>
                <c:pt idx="193">
                  <c:v>57521</c:v>
                </c:pt>
                <c:pt idx="194">
                  <c:v>90594</c:v>
                </c:pt>
                <c:pt idx="195">
                  <c:v>100749</c:v>
                </c:pt>
                <c:pt idx="196">
                  <c:v>79419</c:v>
                </c:pt>
                <c:pt idx="197">
                  <c:v>89566</c:v>
                </c:pt>
                <c:pt idx="198">
                  <c:v>208126</c:v>
                </c:pt>
                <c:pt idx="199">
                  <c:v>152723</c:v>
                </c:pt>
                <c:pt idx="200">
                  <c:v>885483</c:v>
                </c:pt>
                <c:pt idx="201">
                  <c:v>259474</c:v>
                </c:pt>
                <c:pt idx="202">
                  <c:v>106964</c:v>
                </c:pt>
                <c:pt idx="203">
                  <c:v>55576</c:v>
                </c:pt>
                <c:pt idx="204">
                  <c:v>62200</c:v>
                </c:pt>
                <c:pt idx="205">
                  <c:v>42301</c:v>
                </c:pt>
                <c:pt idx="206">
                  <c:v>36482</c:v>
                </c:pt>
                <c:pt idx="207">
                  <c:v>90464</c:v>
                </c:pt>
                <c:pt idx="208">
                  <c:v>110457</c:v>
                </c:pt>
                <c:pt idx="209">
                  <c:v>145937</c:v>
                </c:pt>
                <c:pt idx="210">
                  <c:v>364237</c:v>
                </c:pt>
                <c:pt idx="211">
                  <c:v>73101</c:v>
                </c:pt>
                <c:pt idx="212">
                  <c:v>50825</c:v>
                </c:pt>
                <c:pt idx="213">
                  <c:v>130171</c:v>
                </c:pt>
                <c:pt idx="214">
                  <c:v>543377</c:v>
                </c:pt>
                <c:pt idx="215">
                  <c:v>229595</c:v>
                </c:pt>
                <c:pt idx="216">
                  <c:v>48406</c:v>
                </c:pt>
                <c:pt idx="217">
                  <c:v>44701</c:v>
                </c:pt>
                <c:pt idx="218">
                  <c:v>28990</c:v>
                </c:pt>
                <c:pt idx="219">
                  <c:v>36075</c:v>
                </c:pt>
                <c:pt idx="220">
                  <c:v>106146</c:v>
                </c:pt>
                <c:pt idx="221">
                  <c:v>154715</c:v>
                </c:pt>
                <c:pt idx="222">
                  <c:v>64632</c:v>
                </c:pt>
                <c:pt idx="223">
                  <c:v>40930</c:v>
                </c:pt>
                <c:pt idx="224">
                  <c:v>57163</c:v>
                </c:pt>
                <c:pt idx="225">
                  <c:v>74178</c:v>
                </c:pt>
                <c:pt idx="226">
                  <c:v>36615</c:v>
                </c:pt>
                <c:pt idx="227">
                  <c:v>296881</c:v>
                </c:pt>
                <c:pt idx="228">
                  <c:v>48269</c:v>
                </c:pt>
                <c:pt idx="229">
                  <c:v>69750</c:v>
                </c:pt>
                <c:pt idx="230">
                  <c:v>97262</c:v>
                </c:pt>
                <c:pt idx="231">
                  <c:v>63689</c:v>
                </c:pt>
                <c:pt idx="232">
                  <c:v>59585</c:v>
                </c:pt>
                <c:pt idx="233">
                  <c:v>95379</c:v>
                </c:pt>
                <c:pt idx="234">
                  <c:v>83000</c:v>
                </c:pt>
              </c:numCache>
            </c:numRef>
          </c:yVal>
          <c:smooth val="0"/>
        </c:ser>
        <c:axId val="81217526"/>
        <c:axId val="16794560"/>
      </c:scatterChart>
      <c:valAx>
        <c:axId val="81217526"/>
        <c:scaling>
          <c:orientation val="minMax"/>
        </c:scaling>
        <c:delete val="0"/>
        <c:axPos val="b"/>
        <c:numFmt formatCode="#,##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6794560"/>
        <c:crosses val="autoZero"/>
        <c:crossBetween val="between"/>
      </c:valAx>
      <c:valAx>
        <c:axId val="167945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21752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1321332583287"/>
          <c:y val="0.0628958773197022"/>
          <c:w val="0.735545971623226"/>
          <c:h val="0.86565173908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分析_5!$G$37</c:f>
              <c:strCache>
                <c:ptCount val="1"/>
                <c:pt idx="0">
                  <c:v>6.2600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分析_5!$F$38:$F$271</c:f>
              <c:numCache>
                <c:formatCode>#,##0.0000</c:formatCode>
                <c:ptCount val="234"/>
                <c:pt idx="0">
                  <c:v>5.63598111943996</c:v>
                </c:pt>
                <c:pt idx="1">
                  <c:v>5.46707495513731</c:v>
                </c:pt>
                <c:pt idx="2">
                  <c:v>6.0032576630762</c:v>
                </c:pt>
                <c:pt idx="3">
                  <c:v>6.10896377212217</c:v>
                </c:pt>
                <c:pt idx="4">
                  <c:v>5.75063929974731</c:v>
                </c:pt>
                <c:pt idx="5">
                  <c:v>5.9554554576115</c:v>
                </c:pt>
                <c:pt idx="6">
                  <c:v>5.76358772428622</c:v>
                </c:pt>
                <c:pt idx="7">
                  <c:v>5.92769693301561</c:v>
                </c:pt>
                <c:pt idx="8">
                  <c:v>5.52829457548279</c:v>
                </c:pt>
                <c:pt idx="9">
                  <c:v>5.30647107386436</c:v>
                </c:pt>
                <c:pt idx="10">
                  <c:v>5.5551352838857</c:v>
                </c:pt>
                <c:pt idx="11">
                  <c:v>5.28470253035112</c:v>
                </c:pt>
                <c:pt idx="12">
                  <c:v>5.3535541178902</c:v>
                </c:pt>
                <c:pt idx="13">
                  <c:v>5.56126956402722</c:v>
                </c:pt>
                <c:pt idx="14">
                  <c:v>5.9508928456265</c:v>
                </c:pt>
                <c:pt idx="15">
                  <c:v>5.64997255217981</c:v>
                </c:pt>
                <c:pt idx="16">
                  <c:v>5.68148990945625</c:v>
                </c:pt>
                <c:pt idx="17">
                  <c:v>5.56589129339072</c:v>
                </c:pt>
                <c:pt idx="18">
                  <c:v>5.83046775881909</c:v>
                </c:pt>
                <c:pt idx="19">
                  <c:v>6.07604656491334</c:v>
                </c:pt>
                <c:pt idx="20">
                  <c:v>5.56600540735388</c:v>
                </c:pt>
                <c:pt idx="21">
                  <c:v>5.48057232309323</c:v>
                </c:pt>
                <c:pt idx="22">
                  <c:v>5.51265176298716</c:v>
                </c:pt>
                <c:pt idx="23">
                  <c:v>5.97486914882739</c:v>
                </c:pt>
                <c:pt idx="24">
                  <c:v>5.62456930288051</c:v>
                </c:pt>
                <c:pt idx="25">
                  <c:v>5.56881754947761</c:v>
                </c:pt>
                <c:pt idx="26">
                  <c:v>5.5711557730358</c:v>
                </c:pt>
                <c:pt idx="27">
                  <c:v>6.06016986529407</c:v>
                </c:pt>
                <c:pt idx="28">
                  <c:v>5.83661910725024</c:v>
                </c:pt>
                <c:pt idx="29">
                  <c:v>5.60751166172526</c:v>
                </c:pt>
                <c:pt idx="30">
                  <c:v>5.93801163212119</c:v>
                </c:pt>
                <c:pt idx="31">
                  <c:v>6.19621612767004</c:v>
                </c:pt>
                <c:pt idx="32">
                  <c:v>5.74608068877497</c:v>
                </c:pt>
                <c:pt idx="33">
                  <c:v>5.75204573719861</c:v>
                </c:pt>
                <c:pt idx="34">
                  <c:v>5.98608089405933</c:v>
                </c:pt>
                <c:pt idx="35">
                  <c:v>6.4359244332843</c:v>
                </c:pt>
                <c:pt idx="36">
                  <c:v>5.78375363448764</c:v>
                </c:pt>
                <c:pt idx="37">
                  <c:v>5.51385121623472</c:v>
                </c:pt>
                <c:pt idx="38">
                  <c:v>5.67040125541598</c:v>
                </c:pt>
                <c:pt idx="39">
                  <c:v>5.85063052266612</c:v>
                </c:pt>
                <c:pt idx="40">
                  <c:v>5.86960215241117</c:v>
                </c:pt>
                <c:pt idx="41">
                  <c:v>6.14766394272788</c:v>
                </c:pt>
                <c:pt idx="42">
                  <c:v>5.97608281876994</c:v>
                </c:pt>
                <c:pt idx="43">
                  <c:v>5.90401953149773</c:v>
                </c:pt>
                <c:pt idx="44">
                  <c:v>5.67546173779452</c:v>
                </c:pt>
                <c:pt idx="45">
                  <c:v>6.20023501711909</c:v>
                </c:pt>
                <c:pt idx="46">
                  <c:v>5.38659992712551</c:v>
                </c:pt>
                <c:pt idx="47">
                  <c:v>5.58825642118849</c:v>
                </c:pt>
                <c:pt idx="48">
                  <c:v>5.45846970011113</c:v>
                </c:pt>
                <c:pt idx="49">
                  <c:v>5.77911864525282</c:v>
                </c:pt>
                <c:pt idx="50">
                  <c:v>5.94320822897792</c:v>
                </c:pt>
                <c:pt idx="51">
                  <c:v>5.69351934763318</c:v>
                </c:pt>
                <c:pt idx="52">
                  <c:v>5.99955513558011</c:v>
                </c:pt>
                <c:pt idx="53">
                  <c:v>5.4743541373917</c:v>
                </c:pt>
                <c:pt idx="54">
                  <c:v>5.89557695610579</c:v>
                </c:pt>
                <c:pt idx="55">
                  <c:v>5.35724962978059</c:v>
                </c:pt>
                <c:pt idx="56">
                  <c:v>5.28132936082345</c:v>
                </c:pt>
                <c:pt idx="57">
                  <c:v>5.54151598545573</c:v>
                </c:pt>
                <c:pt idx="58">
                  <c:v>5.30752717388928</c:v>
                </c:pt>
                <c:pt idx="59">
                  <c:v>5.38129511014291</c:v>
                </c:pt>
                <c:pt idx="60">
                  <c:v>5.54933302095321</c:v>
                </c:pt>
                <c:pt idx="61">
                  <c:v>5.87145630206287</c:v>
                </c:pt>
                <c:pt idx="62">
                  <c:v>5.41406879476501</c:v>
                </c:pt>
                <c:pt idx="63">
                  <c:v>5.57449776615537</c:v>
                </c:pt>
                <c:pt idx="64">
                  <c:v>5.46302053106854</c:v>
                </c:pt>
                <c:pt idx="65">
                  <c:v>5.63749227856054</c:v>
                </c:pt>
                <c:pt idx="66">
                  <c:v>5.83168292756874</c:v>
                </c:pt>
                <c:pt idx="67">
                  <c:v>5.59782311596836</c:v>
                </c:pt>
                <c:pt idx="68">
                  <c:v>5.40141836104285</c:v>
                </c:pt>
                <c:pt idx="69">
                  <c:v>5.47758036802065</c:v>
                </c:pt>
                <c:pt idx="70">
                  <c:v>5.76259444210201</c:v>
                </c:pt>
                <c:pt idx="71">
                  <c:v>5.42360766986582</c:v>
                </c:pt>
                <c:pt idx="72">
                  <c:v>5.53684934499631</c:v>
                </c:pt>
                <c:pt idx="73">
                  <c:v>5.44841836976993</c:v>
                </c:pt>
                <c:pt idx="74">
                  <c:v>5.80234621245547</c:v>
                </c:pt>
                <c:pt idx="75">
                  <c:v>5.6213668500558</c:v>
                </c:pt>
                <c:pt idx="76">
                  <c:v>5.62062829365869</c:v>
                </c:pt>
                <c:pt idx="77">
                  <c:v>5.78701669216643</c:v>
                </c:pt>
                <c:pt idx="78">
                  <c:v>6.06823338703229</c:v>
                </c:pt>
                <c:pt idx="79">
                  <c:v>5.54431273087061</c:v>
                </c:pt>
                <c:pt idx="80">
                  <c:v>5.65580524895341</c:v>
                </c:pt>
                <c:pt idx="81">
                  <c:v>5.84455121459159</c:v>
                </c:pt>
                <c:pt idx="82">
                  <c:v>6.16317311730185</c:v>
                </c:pt>
                <c:pt idx="83">
                  <c:v>5.55756730307483</c:v>
                </c:pt>
                <c:pt idx="84">
                  <c:v>5.31825188192557</c:v>
                </c:pt>
                <c:pt idx="85">
                  <c:v>5.55990996827336</c:v>
                </c:pt>
                <c:pt idx="86">
                  <c:v>5.74793041887602</c:v>
                </c:pt>
                <c:pt idx="87">
                  <c:v>5.81687726005742</c:v>
                </c:pt>
                <c:pt idx="88">
                  <c:v>6.09393422524425</c:v>
                </c:pt>
                <c:pt idx="89">
                  <c:v>5.88549322644542</c:v>
                </c:pt>
                <c:pt idx="90">
                  <c:v>5.61710946167788</c:v>
                </c:pt>
                <c:pt idx="91">
                  <c:v>5.48825872113393</c:v>
                </c:pt>
                <c:pt idx="92">
                  <c:v>5.99415623211558</c:v>
                </c:pt>
                <c:pt idx="93">
                  <c:v>5.54729569072958</c:v>
                </c:pt>
                <c:pt idx="94">
                  <c:v>5.74651320048859</c:v>
                </c:pt>
                <c:pt idx="95">
                  <c:v>5.57690099227344</c:v>
                </c:pt>
                <c:pt idx="96">
                  <c:v>5.95023257209336</c:v>
                </c:pt>
                <c:pt idx="97">
                  <c:v>6.45166116517341</c:v>
                </c:pt>
                <c:pt idx="98">
                  <c:v>5.91992135066028</c:v>
                </c:pt>
                <c:pt idx="99">
                  <c:v>6.0027769576179</c:v>
                </c:pt>
                <c:pt idx="100">
                  <c:v>5.42156092075908</c:v>
                </c:pt>
                <c:pt idx="101">
                  <c:v>5.83961751882045</c:v>
                </c:pt>
                <c:pt idx="102">
                  <c:v>5.33160475404149</c:v>
                </c:pt>
                <c:pt idx="103">
                  <c:v>5.32457738393009</c:v>
                </c:pt>
                <c:pt idx="104">
                  <c:v>5.51338671088038</c:v>
                </c:pt>
                <c:pt idx="105">
                  <c:v>5.31173030569652</c:v>
                </c:pt>
                <c:pt idx="106">
                  <c:v>5.42508456360926</c:v>
                </c:pt>
                <c:pt idx="107">
                  <c:v>5.67271162486344</c:v>
                </c:pt>
                <c:pt idx="108">
                  <c:v>6.09061261649043</c:v>
                </c:pt>
                <c:pt idx="109">
                  <c:v>5.76397207102867</c:v>
                </c:pt>
                <c:pt idx="110">
                  <c:v>5.71766479164297</c:v>
                </c:pt>
                <c:pt idx="111">
                  <c:v>5.63026725632017</c:v>
                </c:pt>
                <c:pt idx="112">
                  <c:v>6.11550842284013</c:v>
                </c:pt>
                <c:pt idx="113">
                  <c:v>5.88766848745198</c:v>
                </c:pt>
                <c:pt idx="114">
                  <c:v>5.53722849507288</c:v>
                </c:pt>
                <c:pt idx="115">
                  <c:v>5.4282814655417</c:v>
                </c:pt>
                <c:pt idx="116">
                  <c:v>5.52831189766994</c:v>
                </c:pt>
                <c:pt idx="117">
                  <c:v>5.6103806025751</c:v>
                </c:pt>
                <c:pt idx="118">
                  <c:v>5.6122858504055</c:v>
                </c:pt>
                <c:pt idx="119">
                  <c:v>5.50290010007109</c:v>
                </c:pt>
                <c:pt idx="120">
                  <c:v>5.55330886365514</c:v>
                </c:pt>
                <c:pt idx="121">
                  <c:v>5.89581344518878</c:v>
                </c:pt>
                <c:pt idx="122">
                  <c:v>5.67863628153707</c:v>
                </c:pt>
                <c:pt idx="123">
                  <c:v>5.71899967501227</c:v>
                </c:pt>
                <c:pt idx="124">
                  <c:v>5.72404077537128</c:v>
                </c:pt>
                <c:pt idx="125">
                  <c:v>6.3041594748095</c:v>
                </c:pt>
                <c:pt idx="126">
                  <c:v>5.62658128722251</c:v>
                </c:pt>
                <c:pt idx="127">
                  <c:v>5.65992298523366</c:v>
                </c:pt>
                <c:pt idx="128">
                  <c:v>6.09279577717427</c:v>
                </c:pt>
                <c:pt idx="129">
                  <c:v>6.42055790139258</c:v>
                </c:pt>
                <c:pt idx="130">
                  <c:v>5.56016065016356</c:v>
                </c:pt>
                <c:pt idx="131">
                  <c:v>5.36409014996017</c:v>
                </c:pt>
                <c:pt idx="132">
                  <c:v>5.48067114772376</c:v>
                </c:pt>
                <c:pt idx="133">
                  <c:v>5.65151211778766</c:v>
                </c:pt>
                <c:pt idx="134">
                  <c:v>6.02348282329103</c:v>
                </c:pt>
                <c:pt idx="135">
                  <c:v>6.10741879739579</c:v>
                </c:pt>
                <c:pt idx="136">
                  <c:v>5.9882765621633</c:v>
                </c:pt>
                <c:pt idx="137">
                  <c:v>5.50762550300715</c:v>
                </c:pt>
                <c:pt idx="138">
                  <c:v>5.61593568053883</c:v>
                </c:pt>
                <c:pt idx="139">
                  <c:v>6.04515217999473</c:v>
                </c:pt>
                <c:pt idx="140">
                  <c:v>5.34091626946662</c:v>
                </c:pt>
                <c:pt idx="141">
                  <c:v>5.61616486883681</c:v>
                </c:pt>
                <c:pt idx="142">
                  <c:v>5.61605283559719</c:v>
                </c:pt>
                <c:pt idx="143">
                  <c:v>5.68025996797079</c:v>
                </c:pt>
                <c:pt idx="144">
                  <c:v>6.144983957323</c:v>
                </c:pt>
                <c:pt idx="145">
                  <c:v>5.69391406832493</c:v>
                </c:pt>
                <c:pt idx="146">
                  <c:v>5.94986114994838</c:v>
                </c:pt>
                <c:pt idx="147">
                  <c:v>5.46113730097367</c:v>
                </c:pt>
                <c:pt idx="148">
                  <c:v>5.87572192713245</c:v>
                </c:pt>
                <c:pt idx="149">
                  <c:v>5.38196689944968</c:v>
                </c:pt>
                <c:pt idx="150">
                  <c:v>5.27149117339786</c:v>
                </c:pt>
                <c:pt idx="151">
                  <c:v>5.57062559217106</c:v>
                </c:pt>
                <c:pt idx="152">
                  <c:v>5.3373411473764</c:v>
                </c:pt>
                <c:pt idx="153">
                  <c:v>5.37717779623305</c:v>
                </c:pt>
                <c:pt idx="154">
                  <c:v>5.59841785981091</c:v>
                </c:pt>
                <c:pt idx="155">
                  <c:v>5.98872414702565</c:v>
                </c:pt>
                <c:pt idx="156">
                  <c:v>5.7304574629879</c:v>
                </c:pt>
                <c:pt idx="157">
                  <c:v>5.68195306584011</c:v>
                </c:pt>
                <c:pt idx="158">
                  <c:v>5.50239614246793</c:v>
                </c:pt>
                <c:pt idx="159">
                  <c:v>6.01955169564703</c:v>
                </c:pt>
                <c:pt idx="160">
                  <c:v>5.86462181177947</c:v>
                </c:pt>
                <c:pt idx="161">
                  <c:v>5.54644249422884</c:v>
                </c:pt>
                <c:pt idx="162">
                  <c:v>5.4391609211481</c:v>
                </c:pt>
                <c:pt idx="163">
                  <c:v>5.41577373828513</c:v>
                </c:pt>
                <c:pt idx="164">
                  <c:v>5.66556400592108</c:v>
                </c:pt>
                <c:pt idx="165">
                  <c:v>5.59524099620831</c:v>
                </c:pt>
                <c:pt idx="166">
                  <c:v>5.50319081707224</c:v>
                </c:pt>
                <c:pt idx="167">
                  <c:v>5.51256117213947</c:v>
                </c:pt>
                <c:pt idx="168">
                  <c:v>5.90105170163403</c:v>
                </c:pt>
                <c:pt idx="169">
                  <c:v>5.52674971278315</c:v>
                </c:pt>
                <c:pt idx="170">
                  <c:v>5.75252952446825</c:v>
                </c:pt>
                <c:pt idx="171">
                  <c:v>5.53076565379151</c:v>
                </c:pt>
                <c:pt idx="172">
                  <c:v>6.08388784713322</c:v>
                </c:pt>
                <c:pt idx="173">
                  <c:v>5.58503037849598</c:v>
                </c:pt>
                <c:pt idx="174">
                  <c:v>5.66328851578852</c:v>
                </c:pt>
                <c:pt idx="175">
                  <c:v>5.96768208117509</c:v>
                </c:pt>
                <c:pt idx="176">
                  <c:v>6.29048310505068</c:v>
                </c:pt>
                <c:pt idx="177">
                  <c:v>5.53939631591377</c:v>
                </c:pt>
                <c:pt idx="178">
                  <c:v>5.26697403342661</c:v>
                </c:pt>
                <c:pt idx="179">
                  <c:v>5.67472151512144</c:v>
                </c:pt>
                <c:pt idx="180">
                  <c:v>5.99916520069927</c:v>
                </c:pt>
                <c:pt idx="181">
                  <c:v>6.01374687427439</c:v>
                </c:pt>
                <c:pt idx="182">
                  <c:v>6.25564251196451</c:v>
                </c:pt>
                <c:pt idx="183">
                  <c:v>5.9784346944682</c:v>
                </c:pt>
                <c:pt idx="184">
                  <c:v>5.67560523198933</c:v>
                </c:pt>
                <c:pt idx="185">
                  <c:v>5.69445778255204</c:v>
                </c:pt>
                <c:pt idx="186">
                  <c:v>5.83543810360849</c:v>
                </c:pt>
                <c:pt idx="187">
                  <c:v>5.38986757520479</c:v>
                </c:pt>
                <c:pt idx="188">
                  <c:v>5.96656691360891</c:v>
                </c:pt>
                <c:pt idx="189">
                  <c:v>5.71373697282498</c:v>
                </c:pt>
                <c:pt idx="190">
                  <c:v>5.73457709832337</c:v>
                </c:pt>
                <c:pt idx="191">
                  <c:v>6.07913195172455</c:v>
                </c:pt>
                <c:pt idx="192">
                  <c:v>5.82088411531612</c:v>
                </c:pt>
                <c:pt idx="193">
                  <c:v>5.98515789374755</c:v>
                </c:pt>
                <c:pt idx="194">
                  <c:v>5.51238457840281</c:v>
                </c:pt>
                <c:pt idx="195">
                  <c:v>5.93421845082731</c:v>
                </c:pt>
                <c:pt idx="196">
                  <c:v>5.40758284163311</c:v>
                </c:pt>
                <c:pt idx="197">
                  <c:v>5.32772834613871</c:v>
                </c:pt>
                <c:pt idx="198">
                  <c:v>5.59951082403911</c:v>
                </c:pt>
                <c:pt idx="199">
                  <c:v>5.39187920815234</c:v>
                </c:pt>
                <c:pt idx="200">
                  <c:v>5.48826149426592</c:v>
                </c:pt>
                <c:pt idx="201">
                  <c:v>5.72064561772287</c:v>
                </c:pt>
                <c:pt idx="202">
                  <c:v>6.02343722510598</c:v>
                </c:pt>
                <c:pt idx="203">
                  <c:v>5.88296556502099</c:v>
                </c:pt>
                <c:pt idx="204">
                  <c:v>5.71366347029775</c:v>
                </c:pt>
                <c:pt idx="205">
                  <c:v>5.63651576365968</c:v>
                </c:pt>
                <c:pt idx="206">
                  <c:v>6.06393120349149</c:v>
                </c:pt>
                <c:pt idx="207">
                  <c:v>5.81282413301103</c:v>
                </c:pt>
                <c:pt idx="208">
                  <c:v>5.5701345333967</c:v>
                </c:pt>
                <c:pt idx="209">
                  <c:v>5.53072068180324</c:v>
                </c:pt>
                <c:pt idx="210">
                  <c:v>5.50151219530119</c:v>
                </c:pt>
                <c:pt idx="211">
                  <c:v>5.60436001868286</c:v>
                </c:pt>
                <c:pt idx="212">
                  <c:v>5.58139164010627</c:v>
                </c:pt>
                <c:pt idx="213">
                  <c:v>5.5111448629565</c:v>
                </c:pt>
                <c:pt idx="214">
                  <c:v>5.49236486483174</c:v>
                </c:pt>
                <c:pt idx="215">
                  <c:v>5.77657564053648</c:v>
                </c:pt>
                <c:pt idx="216">
                  <c:v>5.64773729940593</c:v>
                </c:pt>
                <c:pt idx="217">
                  <c:v>5.82197801586664</c:v>
                </c:pt>
                <c:pt idx="218">
                  <c:v>5.73946940482592</c:v>
                </c:pt>
                <c:pt idx="219">
                  <c:v>6.17242262121151</c:v>
                </c:pt>
                <c:pt idx="220">
                  <c:v>5.68596095278613</c:v>
                </c:pt>
                <c:pt idx="221">
                  <c:v>5.70740911162902</c:v>
                </c:pt>
                <c:pt idx="222">
                  <c:v>6.07234688652932</c:v>
                </c:pt>
                <c:pt idx="223">
                  <c:v>6.27932387295057</c:v>
                </c:pt>
                <c:pt idx="224">
                  <c:v>5.56080426864834</c:v>
                </c:pt>
                <c:pt idx="225">
                  <c:v>5.3506182448044</c:v>
                </c:pt>
                <c:pt idx="226">
                  <c:v>5.74348223449395</c:v>
                </c:pt>
                <c:pt idx="227">
                  <c:v>5.87975026648839</c:v>
                </c:pt>
                <c:pt idx="228">
                  <c:v>5.91311852738124</c:v>
                </c:pt>
                <c:pt idx="229">
                  <c:v>6.35265218875671</c:v>
                </c:pt>
                <c:pt idx="230">
                  <c:v>6.03449126773941</c:v>
                </c:pt>
                <c:pt idx="231">
                  <c:v>5.69887346920798</c:v>
                </c:pt>
                <c:pt idx="232">
                  <c:v>5.78286766043298</c:v>
                </c:pt>
                <c:pt idx="233">
                  <c:v>6.00784223494852</c:v>
                </c:pt>
              </c:numCache>
            </c:numRef>
          </c:xVal>
          <c:yVal>
            <c:numRef>
              <c:f>分析_5!$G$38:$G$271</c:f>
              <c:numCache>
                <c:formatCode>#,##0.0000</c:formatCode>
                <c:ptCount val="234"/>
                <c:pt idx="0">
                  <c:v>6.37</c:v>
                </c:pt>
                <c:pt idx="1">
                  <c:v>6.01</c:v>
                </c:pt>
                <c:pt idx="2">
                  <c:v>5.91</c:v>
                </c:pt>
                <c:pt idx="3">
                  <c:v>6.99</c:v>
                </c:pt>
                <c:pt idx="4">
                  <c:v>6.1</c:v>
                </c:pt>
                <c:pt idx="5">
                  <c:v>5.37</c:v>
                </c:pt>
                <c:pt idx="6">
                  <c:v>5.05</c:v>
                </c:pt>
                <c:pt idx="7">
                  <c:v>5.29</c:v>
                </c:pt>
                <c:pt idx="8">
                  <c:v>5.15</c:v>
                </c:pt>
                <c:pt idx="9">
                  <c:v>4.91</c:v>
                </c:pt>
                <c:pt idx="10">
                  <c:v>5.02</c:v>
                </c:pt>
                <c:pt idx="11">
                  <c:v>4.31</c:v>
                </c:pt>
                <c:pt idx="12">
                  <c:v>4.82</c:v>
                </c:pt>
                <c:pt idx="13">
                  <c:v>5.28</c:v>
                </c:pt>
                <c:pt idx="14">
                  <c:v>4.88</c:v>
                </c:pt>
                <c:pt idx="15">
                  <c:v>5.27</c:v>
                </c:pt>
                <c:pt idx="16">
                  <c:v>5.4</c:v>
                </c:pt>
                <c:pt idx="17">
                  <c:v>5.37</c:v>
                </c:pt>
                <c:pt idx="18">
                  <c:v>5.26</c:v>
                </c:pt>
                <c:pt idx="19">
                  <c:v>5.21</c:v>
                </c:pt>
                <c:pt idx="20">
                  <c:v>4.96</c:v>
                </c:pt>
                <c:pt idx="21">
                  <c:v>4.71</c:v>
                </c:pt>
                <c:pt idx="22">
                  <c:v>5.08</c:v>
                </c:pt>
                <c:pt idx="23">
                  <c:v>5.2</c:v>
                </c:pt>
                <c:pt idx="24">
                  <c:v>5.18</c:v>
                </c:pt>
                <c:pt idx="25">
                  <c:v>5.18</c:v>
                </c:pt>
                <c:pt idx="26">
                  <c:v>5.4</c:v>
                </c:pt>
                <c:pt idx="27">
                  <c:v>5.79</c:v>
                </c:pt>
                <c:pt idx="28">
                  <c:v>5.96</c:v>
                </c:pt>
                <c:pt idx="29">
                  <c:v>6.07</c:v>
                </c:pt>
                <c:pt idx="30">
                  <c:v>6.4</c:v>
                </c:pt>
                <c:pt idx="31">
                  <c:v>5.61</c:v>
                </c:pt>
                <c:pt idx="32">
                  <c:v>5.41</c:v>
                </c:pt>
                <c:pt idx="33">
                  <c:v>5.78</c:v>
                </c:pt>
                <c:pt idx="34">
                  <c:v>6.17</c:v>
                </c:pt>
                <c:pt idx="35">
                  <c:v>6</c:v>
                </c:pt>
                <c:pt idx="36">
                  <c:v>5.89</c:v>
                </c:pt>
                <c:pt idx="37">
                  <c:v>6.11</c:v>
                </c:pt>
                <c:pt idx="38">
                  <c:v>5.79</c:v>
                </c:pt>
                <c:pt idx="39">
                  <c:v>7.13</c:v>
                </c:pt>
                <c:pt idx="40">
                  <c:v>6.62</c:v>
                </c:pt>
                <c:pt idx="41">
                  <c:v>6.39</c:v>
                </c:pt>
                <c:pt idx="42">
                  <c:v>6.49</c:v>
                </c:pt>
                <c:pt idx="43">
                  <c:v>6.17</c:v>
                </c:pt>
                <c:pt idx="44">
                  <c:v>6.62</c:v>
                </c:pt>
                <c:pt idx="45">
                  <c:v>6.6</c:v>
                </c:pt>
                <c:pt idx="46">
                  <c:v>6.28</c:v>
                </c:pt>
                <c:pt idx="47">
                  <c:v>6.33</c:v>
                </c:pt>
                <c:pt idx="48">
                  <c:v>6</c:v>
                </c:pt>
                <c:pt idx="49">
                  <c:v>5.91</c:v>
                </c:pt>
                <c:pt idx="50">
                  <c:v>6.8</c:v>
                </c:pt>
                <c:pt idx="51">
                  <c:v>6.15</c:v>
                </c:pt>
                <c:pt idx="52">
                  <c:v>5.42</c:v>
                </c:pt>
                <c:pt idx="53">
                  <c:v>5.12</c:v>
                </c:pt>
                <c:pt idx="54">
                  <c:v>5.4</c:v>
                </c:pt>
                <c:pt idx="55">
                  <c:v>5.21</c:v>
                </c:pt>
                <c:pt idx="56">
                  <c:v>5.03</c:v>
                </c:pt>
                <c:pt idx="57">
                  <c:v>5.16</c:v>
                </c:pt>
                <c:pt idx="58">
                  <c:v>4.47</c:v>
                </c:pt>
                <c:pt idx="59">
                  <c:v>5</c:v>
                </c:pt>
                <c:pt idx="60">
                  <c:v>5.24</c:v>
                </c:pt>
                <c:pt idx="61">
                  <c:v>4.94</c:v>
                </c:pt>
                <c:pt idx="62">
                  <c:v>5.26</c:v>
                </c:pt>
                <c:pt idx="63">
                  <c:v>5.47</c:v>
                </c:pt>
                <c:pt idx="64">
                  <c:v>5.43</c:v>
                </c:pt>
                <c:pt idx="65">
                  <c:v>5.24</c:v>
                </c:pt>
                <c:pt idx="66">
                  <c:v>5.31</c:v>
                </c:pt>
                <c:pt idx="67">
                  <c:v>5.03</c:v>
                </c:pt>
                <c:pt idx="68">
                  <c:v>4.84</c:v>
                </c:pt>
                <c:pt idx="69">
                  <c:v>5.15</c:v>
                </c:pt>
                <c:pt idx="70">
                  <c:v>5.22</c:v>
                </c:pt>
                <c:pt idx="71">
                  <c:v>5.36</c:v>
                </c:pt>
                <c:pt idx="72">
                  <c:v>5.33</c:v>
                </c:pt>
                <c:pt idx="73">
                  <c:v>5.53</c:v>
                </c:pt>
                <c:pt idx="74">
                  <c:v>5.96</c:v>
                </c:pt>
                <c:pt idx="75">
                  <c:v>5.95</c:v>
                </c:pt>
                <c:pt idx="76">
                  <c:v>6.09</c:v>
                </c:pt>
                <c:pt idx="77">
                  <c:v>6.4</c:v>
                </c:pt>
                <c:pt idx="78">
                  <c:v>5.61</c:v>
                </c:pt>
                <c:pt idx="79">
                  <c:v>5.43</c:v>
                </c:pt>
                <c:pt idx="80">
                  <c:v>5.73</c:v>
                </c:pt>
                <c:pt idx="81">
                  <c:v>6.11</c:v>
                </c:pt>
                <c:pt idx="82">
                  <c:v>6.05</c:v>
                </c:pt>
                <c:pt idx="83">
                  <c:v>5.87</c:v>
                </c:pt>
                <c:pt idx="84">
                  <c:v>6.05</c:v>
                </c:pt>
                <c:pt idx="85">
                  <c:v>5.91</c:v>
                </c:pt>
                <c:pt idx="86">
                  <c:v>6.92</c:v>
                </c:pt>
                <c:pt idx="87">
                  <c:v>6.6</c:v>
                </c:pt>
                <c:pt idx="88">
                  <c:v>6.4</c:v>
                </c:pt>
                <c:pt idx="89">
                  <c:v>6.43</c:v>
                </c:pt>
                <c:pt idx="90">
                  <c:v>6.05</c:v>
                </c:pt>
                <c:pt idx="91">
                  <c:v>6.59</c:v>
                </c:pt>
                <c:pt idx="92">
                  <c:v>6.64</c:v>
                </c:pt>
                <c:pt idx="93">
                  <c:v>6.26</c:v>
                </c:pt>
                <c:pt idx="94">
                  <c:v>6.26</c:v>
                </c:pt>
                <c:pt idx="95">
                  <c:v>6.04</c:v>
                </c:pt>
                <c:pt idx="96">
                  <c:v>5.98</c:v>
                </c:pt>
                <c:pt idx="97">
                  <c:v>6.83</c:v>
                </c:pt>
                <c:pt idx="98">
                  <c:v>6.2</c:v>
                </c:pt>
                <c:pt idx="99">
                  <c:v>5.49</c:v>
                </c:pt>
                <c:pt idx="100">
                  <c:v>5.13</c:v>
                </c:pt>
                <c:pt idx="101">
                  <c:v>5.4</c:v>
                </c:pt>
                <c:pt idx="102">
                  <c:v>5.28</c:v>
                </c:pt>
                <c:pt idx="103">
                  <c:v>5.03</c:v>
                </c:pt>
                <c:pt idx="104">
                  <c:v>5.12</c:v>
                </c:pt>
                <c:pt idx="105">
                  <c:v>4.48</c:v>
                </c:pt>
                <c:pt idx="106">
                  <c:v>5.02</c:v>
                </c:pt>
                <c:pt idx="107">
                  <c:v>5.31</c:v>
                </c:pt>
                <c:pt idx="108">
                  <c:v>4.98</c:v>
                </c:pt>
                <c:pt idx="109">
                  <c:v>5.33</c:v>
                </c:pt>
                <c:pt idx="110">
                  <c:v>5.58</c:v>
                </c:pt>
                <c:pt idx="111">
                  <c:v>5.54</c:v>
                </c:pt>
                <c:pt idx="112">
                  <c:v>5.27</c:v>
                </c:pt>
                <c:pt idx="113">
                  <c:v>5.38</c:v>
                </c:pt>
                <c:pt idx="114">
                  <c:v>5.13</c:v>
                </c:pt>
                <c:pt idx="115">
                  <c:v>4.92</c:v>
                </c:pt>
                <c:pt idx="116">
                  <c:v>5.26</c:v>
                </c:pt>
                <c:pt idx="117">
                  <c:v>5.32</c:v>
                </c:pt>
                <c:pt idx="118">
                  <c:v>5.36</c:v>
                </c:pt>
                <c:pt idx="119">
                  <c:v>5.39</c:v>
                </c:pt>
                <c:pt idx="120">
                  <c:v>5.56</c:v>
                </c:pt>
                <c:pt idx="121">
                  <c:v>6</c:v>
                </c:pt>
                <c:pt idx="122">
                  <c:v>6.03</c:v>
                </c:pt>
                <c:pt idx="123">
                  <c:v>6.04</c:v>
                </c:pt>
                <c:pt idx="124">
                  <c:v>6.36</c:v>
                </c:pt>
                <c:pt idx="125">
                  <c:v>5.65</c:v>
                </c:pt>
                <c:pt idx="126">
                  <c:v>5.5</c:v>
                </c:pt>
                <c:pt idx="127">
                  <c:v>5.87</c:v>
                </c:pt>
                <c:pt idx="128">
                  <c:v>6.16</c:v>
                </c:pt>
                <c:pt idx="129">
                  <c:v>6.16</c:v>
                </c:pt>
                <c:pt idx="130">
                  <c:v>5.97</c:v>
                </c:pt>
                <c:pt idx="131">
                  <c:v>6.04</c:v>
                </c:pt>
                <c:pt idx="132">
                  <c:v>5.99</c:v>
                </c:pt>
                <c:pt idx="133">
                  <c:v>7.07</c:v>
                </c:pt>
                <c:pt idx="134">
                  <c:v>6.71</c:v>
                </c:pt>
                <c:pt idx="135">
                  <c:v>6.46</c:v>
                </c:pt>
                <c:pt idx="136">
                  <c:v>6.54</c:v>
                </c:pt>
                <c:pt idx="137">
                  <c:v>6.24</c:v>
                </c:pt>
                <c:pt idx="138">
                  <c:v>6.7</c:v>
                </c:pt>
                <c:pt idx="139">
                  <c:v>6.59</c:v>
                </c:pt>
                <c:pt idx="140">
                  <c:v>6.21</c:v>
                </c:pt>
                <c:pt idx="141">
                  <c:v>6.35</c:v>
                </c:pt>
                <c:pt idx="142">
                  <c:v>5.99</c:v>
                </c:pt>
                <c:pt idx="143">
                  <c:v>5.91</c:v>
                </c:pt>
                <c:pt idx="144">
                  <c:v>6.72</c:v>
                </c:pt>
                <c:pt idx="145">
                  <c:v>6.12</c:v>
                </c:pt>
                <c:pt idx="146">
                  <c:v>5.43</c:v>
                </c:pt>
                <c:pt idx="147">
                  <c:v>5.07</c:v>
                </c:pt>
                <c:pt idx="148">
                  <c:v>5.38</c:v>
                </c:pt>
                <c:pt idx="149">
                  <c:v>5.2</c:v>
                </c:pt>
                <c:pt idx="150">
                  <c:v>5.02</c:v>
                </c:pt>
                <c:pt idx="151">
                  <c:v>5.1</c:v>
                </c:pt>
                <c:pt idx="152">
                  <c:v>4.46</c:v>
                </c:pt>
                <c:pt idx="153">
                  <c:v>5</c:v>
                </c:pt>
                <c:pt idx="154">
                  <c:v>5.32</c:v>
                </c:pt>
                <c:pt idx="155">
                  <c:v>4.95</c:v>
                </c:pt>
                <c:pt idx="156">
                  <c:v>5.19</c:v>
                </c:pt>
                <c:pt idx="157">
                  <c:v>5.47</c:v>
                </c:pt>
                <c:pt idx="158">
                  <c:v>5.46</c:v>
                </c:pt>
                <c:pt idx="159">
                  <c:v>5.27</c:v>
                </c:pt>
                <c:pt idx="160">
                  <c:v>5.39</c:v>
                </c:pt>
                <c:pt idx="161">
                  <c:v>5.07</c:v>
                </c:pt>
                <c:pt idx="162">
                  <c:v>4.92</c:v>
                </c:pt>
                <c:pt idx="163">
                  <c:v>5.22</c:v>
                </c:pt>
                <c:pt idx="164">
                  <c:v>5.28</c:v>
                </c:pt>
                <c:pt idx="165">
                  <c:v>5.28</c:v>
                </c:pt>
                <c:pt idx="166">
                  <c:v>5.32</c:v>
                </c:pt>
                <c:pt idx="167">
                  <c:v>5.52</c:v>
                </c:pt>
                <c:pt idx="168">
                  <c:v>5.88</c:v>
                </c:pt>
                <c:pt idx="169">
                  <c:v>6.06</c:v>
                </c:pt>
                <c:pt idx="170">
                  <c:v>6.09</c:v>
                </c:pt>
                <c:pt idx="171">
                  <c:v>6.24</c:v>
                </c:pt>
                <c:pt idx="172">
                  <c:v>5.66</c:v>
                </c:pt>
                <c:pt idx="173">
                  <c:v>5.41</c:v>
                </c:pt>
                <c:pt idx="174">
                  <c:v>5.83</c:v>
                </c:pt>
                <c:pt idx="175">
                  <c:v>6.2</c:v>
                </c:pt>
                <c:pt idx="176">
                  <c:v>5.99</c:v>
                </c:pt>
                <c:pt idx="177">
                  <c:v>5.95</c:v>
                </c:pt>
                <c:pt idx="178">
                  <c:v>6.03</c:v>
                </c:pt>
                <c:pt idx="179">
                  <c:v>5.9</c:v>
                </c:pt>
                <c:pt idx="180">
                  <c:v>6.93</c:v>
                </c:pt>
                <c:pt idx="181">
                  <c:v>6.7</c:v>
                </c:pt>
                <c:pt idx="182">
                  <c:v>6.34</c:v>
                </c:pt>
                <c:pt idx="183">
                  <c:v>6.41</c:v>
                </c:pt>
                <c:pt idx="184">
                  <c:v>6.21</c:v>
                </c:pt>
                <c:pt idx="185">
                  <c:v>6.65</c:v>
                </c:pt>
                <c:pt idx="186">
                  <c:v>6.41</c:v>
                </c:pt>
                <c:pt idx="187">
                  <c:v>6.21</c:v>
                </c:pt>
                <c:pt idx="188">
                  <c:v>6.38</c:v>
                </c:pt>
                <c:pt idx="189">
                  <c:v>6.02</c:v>
                </c:pt>
                <c:pt idx="190">
                  <c:v>5.99</c:v>
                </c:pt>
                <c:pt idx="191">
                  <c:v>6.81</c:v>
                </c:pt>
                <c:pt idx="192">
                  <c:v>6.15</c:v>
                </c:pt>
                <c:pt idx="193">
                  <c:v>5.48</c:v>
                </c:pt>
                <c:pt idx="194">
                  <c:v>5.06</c:v>
                </c:pt>
                <c:pt idx="195">
                  <c:v>5.43</c:v>
                </c:pt>
                <c:pt idx="196">
                  <c:v>5.24</c:v>
                </c:pt>
                <c:pt idx="197">
                  <c:v>5.03</c:v>
                </c:pt>
                <c:pt idx="198">
                  <c:v>5.1</c:v>
                </c:pt>
                <c:pt idx="199">
                  <c:v>4.49</c:v>
                </c:pt>
                <c:pt idx="200">
                  <c:v>5.08</c:v>
                </c:pt>
                <c:pt idx="201">
                  <c:v>5.28</c:v>
                </c:pt>
                <c:pt idx="202">
                  <c:v>4.97</c:v>
                </c:pt>
                <c:pt idx="203">
                  <c:v>5.12</c:v>
                </c:pt>
                <c:pt idx="204">
                  <c:v>5.43</c:v>
                </c:pt>
                <c:pt idx="205">
                  <c:v>5.4</c:v>
                </c:pt>
                <c:pt idx="206">
                  <c:v>5.28</c:v>
                </c:pt>
                <c:pt idx="207">
                  <c:v>5.4</c:v>
                </c:pt>
                <c:pt idx="208">
                  <c:v>5.1</c:v>
                </c:pt>
                <c:pt idx="209">
                  <c:v>4.94</c:v>
                </c:pt>
                <c:pt idx="210">
                  <c:v>5.22</c:v>
                </c:pt>
                <c:pt idx="211">
                  <c:v>5.35</c:v>
                </c:pt>
                <c:pt idx="212">
                  <c:v>5.25</c:v>
                </c:pt>
                <c:pt idx="213">
                  <c:v>5.34</c:v>
                </c:pt>
                <c:pt idx="214">
                  <c:v>5.56</c:v>
                </c:pt>
                <c:pt idx="215">
                  <c:v>5.91</c:v>
                </c:pt>
                <c:pt idx="216">
                  <c:v>6.11</c:v>
                </c:pt>
                <c:pt idx="217">
                  <c:v>6.04</c:v>
                </c:pt>
                <c:pt idx="218">
                  <c:v>6.35</c:v>
                </c:pt>
                <c:pt idx="219">
                  <c:v>5.65</c:v>
                </c:pt>
                <c:pt idx="220">
                  <c:v>5.38</c:v>
                </c:pt>
                <c:pt idx="221">
                  <c:v>5.83</c:v>
                </c:pt>
                <c:pt idx="222">
                  <c:v>6.16</c:v>
                </c:pt>
                <c:pt idx="223">
                  <c:v>5.95</c:v>
                </c:pt>
                <c:pt idx="224">
                  <c:v>5.89</c:v>
                </c:pt>
                <c:pt idx="225">
                  <c:v>6.05</c:v>
                </c:pt>
                <c:pt idx="226">
                  <c:v>5.85</c:v>
                </c:pt>
                <c:pt idx="227">
                  <c:v>6.91</c:v>
                </c:pt>
                <c:pt idx="228">
                  <c:v>6.56</c:v>
                </c:pt>
                <c:pt idx="229">
                  <c:v>6.3</c:v>
                </c:pt>
                <c:pt idx="230">
                  <c:v>6.35</c:v>
                </c:pt>
                <c:pt idx="231">
                  <c:v>6.14</c:v>
                </c:pt>
                <c:pt idx="232">
                  <c:v>6.64</c:v>
                </c:pt>
                <c:pt idx="233">
                  <c:v>6.4</c:v>
                </c:pt>
              </c:numCache>
            </c:numRef>
          </c:yVal>
          <c:smooth val="0"/>
        </c:ser>
        <c:axId val="77982147"/>
        <c:axId val="19550724"/>
      </c:scatterChart>
      <c:valAx>
        <c:axId val="77982147"/>
        <c:scaling>
          <c:orientation val="minMax"/>
        </c:scaling>
        <c:delete val="0"/>
        <c:axPos val="b"/>
        <c:numFmt formatCode="#,##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9550724"/>
        <c:crosses val="autoZero"/>
        <c:crossBetween val="between"/>
      </c:valAx>
      <c:valAx>
        <c:axId val="195507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798214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-360</xdr:colOff>
      <xdr:row>37</xdr:row>
      <xdr:rowOff>108720</xdr:rowOff>
    </xdr:from>
    <xdr:to>
      <xdr:col>6</xdr:col>
      <xdr:colOff>1095840</xdr:colOff>
      <xdr:row>57</xdr:row>
      <xdr:rowOff>88920</xdr:rowOff>
    </xdr:to>
    <xdr:graphicFrame>
      <xdr:nvGraphicFramePr>
        <xdr:cNvPr id="0" name=""/>
        <xdr:cNvGraphicFramePr/>
      </xdr:nvGraphicFramePr>
      <xdr:xfrm>
        <a:off x="2332800" y="6635880"/>
        <a:ext cx="5762160" cy="323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1142280</xdr:colOff>
      <xdr:row>38</xdr:row>
      <xdr:rowOff>151200</xdr:rowOff>
    </xdr:from>
    <xdr:to>
      <xdr:col>5</xdr:col>
      <xdr:colOff>1015560</xdr:colOff>
      <xdr:row>58</xdr:row>
      <xdr:rowOff>131400</xdr:rowOff>
    </xdr:to>
    <xdr:graphicFrame>
      <xdr:nvGraphicFramePr>
        <xdr:cNvPr id="1" name=""/>
        <xdr:cNvGraphicFramePr/>
      </xdr:nvGraphicFramePr>
      <xdr:xfrm>
        <a:off x="1142280" y="6841080"/>
        <a:ext cx="5756400" cy="323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721800</xdr:colOff>
      <xdr:row>43</xdr:row>
      <xdr:rowOff>116280</xdr:rowOff>
    </xdr:from>
    <xdr:to>
      <xdr:col>9</xdr:col>
      <xdr:colOff>97200</xdr:colOff>
      <xdr:row>63</xdr:row>
      <xdr:rowOff>103680</xdr:rowOff>
    </xdr:to>
    <xdr:graphicFrame>
      <xdr:nvGraphicFramePr>
        <xdr:cNvPr id="2" name=""/>
        <xdr:cNvGraphicFramePr/>
      </xdr:nvGraphicFramePr>
      <xdr:xfrm>
        <a:off x="2662920" y="761868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740520</xdr:colOff>
      <xdr:row>41</xdr:row>
      <xdr:rowOff>90000</xdr:rowOff>
    </xdr:from>
    <xdr:to>
      <xdr:col>6</xdr:col>
      <xdr:colOff>324720</xdr:colOff>
      <xdr:row>61</xdr:row>
      <xdr:rowOff>78480</xdr:rowOff>
    </xdr:to>
    <xdr:graphicFrame>
      <xdr:nvGraphicFramePr>
        <xdr:cNvPr id="3" name=""/>
        <xdr:cNvGraphicFramePr/>
      </xdr:nvGraphicFramePr>
      <xdr:xfrm>
        <a:off x="1769760" y="71589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760320</xdr:colOff>
      <xdr:row>44</xdr:row>
      <xdr:rowOff>72360</xdr:rowOff>
    </xdr:from>
    <xdr:to>
      <xdr:col>6</xdr:col>
      <xdr:colOff>344520</xdr:colOff>
      <xdr:row>64</xdr:row>
      <xdr:rowOff>60840</xdr:rowOff>
    </xdr:to>
    <xdr:graphicFrame>
      <xdr:nvGraphicFramePr>
        <xdr:cNvPr id="4" name=""/>
        <xdr:cNvGraphicFramePr/>
      </xdr:nvGraphicFramePr>
      <xdr:xfrm>
        <a:off x="1789560" y="7628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12</xdr:col>
      <xdr:colOff>337320</xdr:colOff>
      <xdr:row>29</xdr:row>
      <xdr:rowOff>66600</xdr:rowOff>
    </xdr:from>
    <xdr:to>
      <xdr:col>13</xdr:col>
      <xdr:colOff>573840</xdr:colOff>
      <xdr:row>49</xdr:row>
      <xdr:rowOff>29520</xdr:rowOff>
    </xdr:to>
    <xdr:sp>
      <xdr:nvSpPr>
        <xdr:cNvPr id="5" name="シェイプ 1"/>
        <xdr:cNvSpPr/>
      </xdr:nvSpPr>
      <xdr:spPr>
        <a:xfrm>
          <a:off x="10090800" y="5357520"/>
          <a:ext cx="1049400" cy="3214080"/>
        </a:xfrm>
        <a:prstGeom prst="rightArrow">
          <a:avLst>
            <a:gd name="adj1" fmla="val 50000"/>
            <a:gd name="adj2" fmla="val 26412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b="0" lang="ja-JP" sz="1000" spc="-1" strike="noStrike">
              <a:solidFill>
                <a:srgbClr val="000000"/>
              </a:solidFill>
              <a:latin typeface="Noto Serif CJK JP"/>
              <a:ea typeface="DejaVu Sans"/>
            </a:rPr>
            <a:t>使いやすいように加工</a:t>
          </a:r>
          <a:endParaRPr b="0" lang="en-US" sz="1000" spc="-1" strike="noStrike">
            <a:latin typeface="Noto Serif CJK JP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kyoukaikenpo.or.jp/assets/2026012907.pdf" TargetMode="External"/><Relationship Id="rId2" Type="http://schemas.openxmlformats.org/officeDocument/2006/relationships/hyperlink" Target="https://www.kyoukaikenpo.or.jp/assets/2025012908.pdf" TargetMode="External"/><Relationship Id="rId3" Type="http://schemas.openxmlformats.org/officeDocument/2006/relationships/hyperlink" Target="https://www.kyoukaikenpo.or.jp/assets/2024012914.pdf" TargetMode="External"/><Relationship Id="rId4" Type="http://schemas.openxmlformats.org/officeDocument/2006/relationships/hyperlink" Target="https://www.kyoukaikenpo.or.jp/assets/20230130011_2.pdf" TargetMode="External"/><Relationship Id="rId5" Type="http://schemas.openxmlformats.org/officeDocument/2006/relationships/hyperlink" Target="https://www.kyoukaikenpo.or.jp/assets/2022012612.pdf" TargetMode="External"/><Relationship Id="rId6" Type="http://schemas.openxmlformats.org/officeDocument/2006/relationships/hyperlink" Target="https://www.kyoukaikenpo.or.jp/assets/2021012613.pdf" TargetMode="External"/><Relationship Id="rId7" Type="http://schemas.openxmlformats.org/officeDocument/2006/relationships/hyperlink" Target="https://www.kyoukaikenpo.or.jp/assets/2025112813.pdf" TargetMode="External"/><Relationship Id="rId8" Type="http://schemas.openxmlformats.org/officeDocument/2006/relationships/hyperlink" Target="https://www.kyoukaikenpo.or.jp/assets/2024122313.pdf" TargetMode="External"/><Relationship Id="rId9" Type="http://schemas.openxmlformats.org/officeDocument/2006/relationships/hyperlink" Target="https://www.kyoukaikenpo.or.jp/assets/2023120415.pdf" TargetMode="External"/><Relationship Id="rId10" Type="http://schemas.openxmlformats.org/officeDocument/2006/relationships/hyperlink" Target="https://www.kyoukaikenpo.or.jp/assets/2022112408.pdf" TargetMode="External"/><Relationship Id="rId11" Type="http://schemas.openxmlformats.org/officeDocument/2006/relationships/hyperlink" Target="https://www.kyoukaikenpo.or.jp/assets/2021112604_01.pdf" TargetMode="External"/><Relationship Id="rId12" Type="http://schemas.openxmlformats.org/officeDocument/2006/relationships/hyperlink" Target="https://www.kyoukaikenpo.or.jp/assets/201125_03.pdf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37"/>
    <col collapsed="false" customWidth="true" hidden="false" outlineLevel="0" max="2" min="2" style="1" width="45.35"/>
    <col collapsed="false" customWidth="true" hidden="false" outlineLevel="0" max="4" min="4" style="1" width="12.51"/>
    <col collapsed="false" customWidth="true" hidden="false" outlineLevel="0" max="5" min="5" style="1" width="14.74"/>
    <col collapsed="false" customWidth="true" hidden="false" outlineLevel="0" max="6" min="6" style="1" width="16.55"/>
    <col collapsed="false" customWidth="true" hidden="false" outlineLevel="0" max="7" min="7" style="1" width="38.53"/>
    <col collapsed="false" customWidth="true" hidden="false" outlineLevel="0" max="8" min="8" style="1" width="17.52"/>
    <col collapsed="false" customWidth="true" hidden="false" outlineLevel="0" max="9" min="9" style="1" width="68.03"/>
  </cols>
  <sheetData>
    <row r="1" customFormat="false" ht="29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72.35" hidden="false" customHeight="true" outlineLevel="0" collapsed="false">
      <c r="A2" s="3" t="n">
        <v>1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4" t="s">
        <v>15</v>
      </c>
      <c r="I2" s="6"/>
    </row>
    <row r="3" customFormat="false" ht="72.35" hidden="false" customHeight="true" outlineLevel="0" collapsed="false">
      <c r="A3" s="4" t="n">
        <v>2</v>
      </c>
      <c r="B3" s="4" t="s">
        <v>16</v>
      </c>
      <c r="C3" s="4" t="s">
        <v>10</v>
      </c>
      <c r="D3" s="4" t="s">
        <v>11</v>
      </c>
      <c r="E3" s="4" t="s">
        <v>12</v>
      </c>
      <c r="F3" s="4" t="s">
        <v>13</v>
      </c>
      <c r="G3" s="5" t="s">
        <v>17</v>
      </c>
      <c r="H3" s="4" t="s">
        <v>18</v>
      </c>
      <c r="I3" s="7" t="s">
        <v>19</v>
      </c>
    </row>
    <row r="4" customFormat="false" ht="72.35" hidden="false" customHeight="true" outlineLevel="0" collapsed="false">
      <c r="A4" s="4" t="n">
        <v>3</v>
      </c>
      <c r="B4" s="5" t="s">
        <v>20</v>
      </c>
      <c r="C4" s="4" t="s">
        <v>10</v>
      </c>
      <c r="D4" s="4" t="s">
        <v>11</v>
      </c>
      <c r="E4" s="4" t="s">
        <v>12</v>
      </c>
      <c r="F4" s="4" t="s">
        <v>13</v>
      </c>
      <c r="G4" s="5" t="s">
        <v>21</v>
      </c>
      <c r="H4" s="4" t="s">
        <v>22</v>
      </c>
      <c r="I4" s="6" t="s">
        <v>23</v>
      </c>
    </row>
    <row r="5" customFormat="false" ht="72.35" hidden="false" customHeight="true" outlineLevel="0" collapsed="false">
      <c r="A5" s="4" t="n">
        <v>4</v>
      </c>
      <c r="B5" s="5" t="s">
        <v>24</v>
      </c>
      <c r="C5" s="4" t="s">
        <v>10</v>
      </c>
      <c r="D5" s="4" t="s">
        <v>11</v>
      </c>
      <c r="E5" s="4" t="s">
        <v>12</v>
      </c>
      <c r="F5" s="4" t="s">
        <v>25</v>
      </c>
      <c r="G5" s="8" t="s">
        <v>26</v>
      </c>
      <c r="H5" s="8" t="s">
        <v>27</v>
      </c>
      <c r="I5" s="6" t="s">
        <v>28</v>
      </c>
    </row>
    <row r="6" customFormat="false" ht="72.35" hidden="false" customHeight="true" outlineLevel="0" collapsed="false">
      <c r="A6" s="4" t="n">
        <v>5</v>
      </c>
      <c r="B6" s="5" t="s">
        <v>29</v>
      </c>
      <c r="C6" s="4" t="s">
        <v>10</v>
      </c>
      <c r="D6" s="4" t="s">
        <v>11</v>
      </c>
      <c r="E6" s="4" t="s">
        <v>12</v>
      </c>
      <c r="F6" s="8" t="s">
        <v>30</v>
      </c>
      <c r="G6" s="8" t="s">
        <v>26</v>
      </c>
      <c r="H6" s="8" t="s">
        <v>31</v>
      </c>
      <c r="I6" s="6" t="s">
        <v>32</v>
      </c>
    </row>
    <row r="7" customFormat="false" ht="72.35" hidden="false" customHeight="true" outlineLevel="0" collapsed="false">
      <c r="A7" s="4" t="n">
        <v>6</v>
      </c>
      <c r="B7" s="4"/>
      <c r="C7" s="4"/>
      <c r="D7" s="4"/>
      <c r="E7" s="4"/>
      <c r="F7" s="4"/>
      <c r="G7" s="4"/>
      <c r="H7" s="4"/>
      <c r="I7" s="6"/>
    </row>
    <row r="8" customFormat="false" ht="72.35" hidden="false" customHeight="true" outlineLevel="0" collapsed="false">
      <c r="A8" s="4" t="n">
        <v>7</v>
      </c>
      <c r="B8" s="4"/>
      <c r="C8" s="4"/>
      <c r="D8" s="4"/>
      <c r="E8" s="4"/>
      <c r="F8" s="4"/>
      <c r="G8" s="4"/>
      <c r="H8" s="4"/>
      <c r="I8" s="6"/>
    </row>
    <row r="9" customFormat="false" ht="72.35" hidden="false" customHeight="true" outlineLevel="0" collapsed="false">
      <c r="A9" s="4" t="n">
        <v>8</v>
      </c>
      <c r="B9" s="4"/>
      <c r="C9" s="4"/>
      <c r="D9" s="4"/>
      <c r="E9" s="4"/>
      <c r="F9" s="4"/>
      <c r="G9" s="4"/>
      <c r="H9" s="4"/>
      <c r="I9" s="6"/>
    </row>
    <row r="10" customFormat="false" ht="72.35" hidden="false" customHeight="true" outlineLevel="0" collapsed="false">
      <c r="A10" s="4" t="n">
        <v>9</v>
      </c>
      <c r="B10" s="4"/>
      <c r="C10" s="4"/>
      <c r="D10" s="4"/>
      <c r="E10" s="4"/>
      <c r="F10" s="4"/>
      <c r="G10" s="4"/>
      <c r="H10" s="4"/>
      <c r="I10" s="6"/>
    </row>
    <row r="11" customFormat="false" ht="72.35" hidden="false" customHeight="true" outlineLevel="0" collapsed="false">
      <c r="A11" s="4" t="n">
        <v>10</v>
      </c>
      <c r="B11" s="4"/>
      <c r="C11" s="4"/>
      <c r="D11" s="4"/>
      <c r="E11" s="4"/>
      <c r="F11" s="4"/>
      <c r="G11" s="4"/>
      <c r="H11" s="4"/>
      <c r="I11" s="6"/>
    </row>
    <row r="12" customFormat="false" ht="72.35" hidden="false" customHeight="true" outlineLevel="0" collapsed="false">
      <c r="A12" s="4" t="n">
        <v>11</v>
      </c>
      <c r="B12" s="4"/>
      <c r="C12" s="4"/>
      <c r="D12" s="4"/>
      <c r="E12" s="4"/>
      <c r="F12" s="4"/>
      <c r="G12" s="4"/>
      <c r="H12" s="4"/>
      <c r="I12" s="6"/>
    </row>
    <row r="13" customFormat="false" ht="72.35" hidden="false" customHeight="true" outlineLevel="0" collapsed="false">
      <c r="A13" s="4" t="n">
        <v>12</v>
      </c>
      <c r="B13" s="4"/>
      <c r="C13" s="4"/>
      <c r="D13" s="4"/>
      <c r="E13" s="4"/>
      <c r="F13" s="4"/>
      <c r="G13" s="4"/>
      <c r="H13" s="4"/>
      <c r="I13" s="6"/>
    </row>
    <row r="14" customFormat="false" ht="72.35" hidden="false" customHeight="true" outlineLevel="0" collapsed="false">
      <c r="A14" s="4" t="n">
        <v>13</v>
      </c>
      <c r="B14" s="4"/>
      <c r="C14" s="4"/>
      <c r="D14" s="4"/>
      <c r="E14" s="4"/>
      <c r="F14" s="4"/>
      <c r="G14" s="4"/>
      <c r="H14" s="4"/>
      <c r="I14" s="6"/>
    </row>
    <row r="15" customFormat="false" ht="72.35" hidden="false" customHeight="true" outlineLevel="0" collapsed="false">
      <c r="A15" s="4" t="n">
        <v>14</v>
      </c>
      <c r="B15" s="4"/>
      <c r="C15" s="4"/>
      <c r="D15" s="4"/>
      <c r="E15" s="4"/>
      <c r="F15" s="4"/>
      <c r="G15" s="4"/>
      <c r="H15" s="4"/>
      <c r="I15" s="6"/>
    </row>
    <row r="16" customFormat="false" ht="72.35" hidden="false" customHeight="true" outlineLevel="0" collapsed="false">
      <c r="A16" s="4" t="n">
        <v>15</v>
      </c>
      <c r="B16" s="4"/>
      <c r="C16" s="4"/>
      <c r="D16" s="4"/>
      <c r="E16" s="4"/>
      <c r="F16" s="4"/>
      <c r="G16" s="4"/>
      <c r="H16" s="4"/>
      <c r="I16" s="6"/>
    </row>
    <row r="17" customFormat="false" ht="72.35" hidden="false" customHeight="true" outlineLevel="0" collapsed="false">
      <c r="A17" s="4" t="n">
        <v>16</v>
      </c>
      <c r="B17" s="4"/>
      <c r="C17" s="4"/>
      <c r="D17" s="4"/>
      <c r="E17" s="4"/>
      <c r="F17" s="4"/>
      <c r="G17" s="4"/>
      <c r="H17" s="4"/>
      <c r="I17" s="6"/>
    </row>
    <row r="18" customFormat="false" ht="72.35" hidden="false" customHeight="true" outlineLevel="0" collapsed="false">
      <c r="A18" s="4" t="n">
        <v>17</v>
      </c>
      <c r="B18" s="4"/>
      <c r="C18" s="4"/>
      <c r="D18" s="4"/>
      <c r="E18" s="4"/>
      <c r="F18" s="4"/>
      <c r="G18" s="4"/>
      <c r="H18" s="4"/>
      <c r="I18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3515625" defaultRowHeight="12.8" zeroHeight="false" outlineLevelRow="0" outlineLevelCol="0"/>
  <cols>
    <col collapsed="false" customWidth="true" hidden="false" outlineLevel="0" max="8" min="1" style="1" width="16.55"/>
    <col collapsed="false" customWidth="true" hidden="false" outlineLevel="0" max="17" min="9" style="1" width="8.76"/>
  </cols>
  <sheetData>
    <row r="1" customFormat="false" ht="15.65" hidden="false" customHeight="false" outlineLevel="0" collapsed="false">
      <c r="J1" s="9" t="s">
        <v>33</v>
      </c>
      <c r="K1" s="9"/>
      <c r="L1" s="9" t="n">
        <v>1</v>
      </c>
      <c r="M1" s="9" t="n">
        <v>2</v>
      </c>
      <c r="N1" s="9" t="n">
        <v>2</v>
      </c>
      <c r="O1" s="9" t="n">
        <v>2</v>
      </c>
      <c r="P1" s="9" t="n">
        <v>2</v>
      </c>
      <c r="Q1" s="9" t="n">
        <v>2</v>
      </c>
    </row>
    <row r="2" customFormat="false" ht="41.75" hidden="false" customHeight="true" outlineLevel="0" collapsed="false">
      <c r="J2" s="10" t="s">
        <v>34</v>
      </c>
      <c r="K2" s="10" t="s">
        <v>35</v>
      </c>
      <c r="L2" s="11" t="s">
        <v>13</v>
      </c>
      <c r="M2" s="10" t="s">
        <v>36</v>
      </c>
      <c r="N2" s="10" t="s">
        <v>37</v>
      </c>
      <c r="O2" s="10" t="s">
        <v>38</v>
      </c>
      <c r="P2" s="10" t="s">
        <v>39</v>
      </c>
      <c r="Q2" s="10" t="s">
        <v>40</v>
      </c>
    </row>
    <row r="3" customFormat="false" ht="12.8" hidden="false" customHeight="false" outlineLevel="0" collapsed="false">
      <c r="A3" s="1" t="s">
        <v>41</v>
      </c>
      <c r="J3" s="12" t="n">
        <v>3</v>
      </c>
      <c r="K3" s="13" t="s">
        <v>42</v>
      </c>
      <c r="L3" s="13" t="n">
        <v>10.45</v>
      </c>
      <c r="M3" s="14" t="n">
        <v>48</v>
      </c>
      <c r="N3" s="14" t="n">
        <v>9.9</v>
      </c>
      <c r="O3" s="14" t="n">
        <v>32.5</v>
      </c>
      <c r="P3" s="14" t="n">
        <v>10.6</v>
      </c>
      <c r="Q3" s="14" t="n">
        <v>79.6</v>
      </c>
    </row>
    <row r="4" customFormat="false" ht="12.8" hidden="false" customHeight="false" outlineLevel="0" collapsed="false">
      <c r="A4" s="1" t="s">
        <v>43</v>
      </c>
      <c r="B4" s="1" t="s">
        <v>44</v>
      </c>
      <c r="J4" s="12" t="n">
        <v>3</v>
      </c>
      <c r="K4" s="13" t="s">
        <v>45</v>
      </c>
      <c r="L4" s="13" t="n">
        <v>9.96</v>
      </c>
      <c r="M4" s="14" t="n">
        <v>55.1</v>
      </c>
      <c r="N4" s="14" t="n">
        <v>17.8</v>
      </c>
      <c r="O4" s="14" t="n">
        <v>32.3</v>
      </c>
      <c r="P4" s="14" t="n">
        <v>10.6</v>
      </c>
      <c r="Q4" s="14" t="n">
        <v>80.3</v>
      </c>
    </row>
    <row r="5" customFormat="false" ht="12.8" hidden="false" customHeight="false" outlineLevel="0" collapsed="false">
      <c r="J5" s="12" t="n">
        <v>3</v>
      </c>
      <c r="K5" s="13" t="s">
        <v>46</v>
      </c>
      <c r="L5" s="13" t="n">
        <v>9.74</v>
      </c>
      <c r="M5" s="14" t="n">
        <v>57.9</v>
      </c>
      <c r="N5" s="14" t="n">
        <v>14.6</v>
      </c>
      <c r="O5" s="14" t="n">
        <v>32.3</v>
      </c>
      <c r="P5" s="14" t="n">
        <v>11.8</v>
      </c>
      <c r="Q5" s="14" t="n">
        <v>83.2</v>
      </c>
    </row>
    <row r="6" customFormat="false" ht="12.8" hidden="false" customHeight="false" outlineLevel="0" collapsed="false">
      <c r="A6" s="15" t="s">
        <v>47</v>
      </c>
      <c r="J6" s="12" t="n">
        <v>3</v>
      </c>
      <c r="K6" s="13" t="s">
        <v>48</v>
      </c>
      <c r="L6" s="13" t="n">
        <v>10.01</v>
      </c>
      <c r="M6" s="14" t="n">
        <v>60</v>
      </c>
      <c r="N6" s="14" t="n">
        <v>27.4</v>
      </c>
      <c r="O6" s="14" t="n">
        <v>32.7</v>
      </c>
      <c r="P6" s="14" t="n">
        <v>9.9</v>
      </c>
      <c r="Q6" s="14" t="n">
        <v>81.1</v>
      </c>
    </row>
    <row r="7" customFormat="false" ht="12.8" hidden="false" customHeight="false" outlineLevel="0" collapsed="false">
      <c r="A7" s="16" t="n">
        <f aca="false" t="array" ref="A7:F11">LINEST($L$3:$L$284 , $M$3:$Q$284 , 1 , 1)</f>
        <v>3.58615398515168E-005</v>
      </c>
      <c r="B7" s="16" t="n">
        <v>-0.0022051479287401</v>
      </c>
      <c r="C7" s="16" t="n">
        <v>0.0246652874188523</v>
      </c>
      <c r="D7" s="16" t="n">
        <v>0.00846766372413231</v>
      </c>
      <c r="E7" s="16" t="n">
        <v>-0.0148501172211918</v>
      </c>
      <c r="F7" s="16" t="n">
        <v>9.89680600793327</v>
      </c>
      <c r="J7" s="12" t="n">
        <v>3</v>
      </c>
      <c r="K7" s="13" t="s">
        <v>49</v>
      </c>
      <c r="L7" s="13" t="n">
        <v>10.16</v>
      </c>
      <c r="M7" s="14" t="n">
        <v>53.8</v>
      </c>
      <c r="N7" s="14" t="n">
        <v>28.7</v>
      </c>
      <c r="O7" s="14" t="n">
        <v>32.3</v>
      </c>
      <c r="P7" s="14" t="n">
        <v>9.2</v>
      </c>
      <c r="Q7" s="14" t="n">
        <v>79.3</v>
      </c>
    </row>
    <row r="8" customFormat="false" ht="12.8" hidden="false" customHeight="false" outlineLevel="0" collapsed="false">
      <c r="A8" s="16" t="n">
        <v>0.000866900625513765</v>
      </c>
      <c r="B8" s="16" t="n">
        <v>0.00137898571006205</v>
      </c>
      <c r="C8" s="16" t="n">
        <v>0.0146762369179941</v>
      </c>
      <c r="D8" s="16" t="n">
        <v>0.00271882610062485</v>
      </c>
      <c r="E8" s="16" t="n">
        <v>0.00284959908960013</v>
      </c>
      <c r="F8" s="16" t="n">
        <v>0.520610727873429</v>
      </c>
      <c r="J8" s="12" t="n">
        <v>3</v>
      </c>
      <c r="K8" s="13" t="s">
        <v>50</v>
      </c>
      <c r="L8" s="13" t="n">
        <v>10.03</v>
      </c>
      <c r="M8" s="14" t="n">
        <v>73.8</v>
      </c>
      <c r="N8" s="14" t="n">
        <v>24</v>
      </c>
      <c r="O8" s="14" t="n">
        <v>33.6</v>
      </c>
      <c r="P8" s="14" t="n">
        <v>11.5</v>
      </c>
      <c r="Q8" s="14" t="n">
        <v>81.2</v>
      </c>
    </row>
    <row r="9" customFormat="false" ht="12.8" hidden="false" customHeight="false" outlineLevel="0" collapsed="false">
      <c r="A9" s="16" t="n">
        <v>0.135278934156747</v>
      </c>
      <c r="B9" s="16" t="n">
        <v>0.251814769945375</v>
      </c>
      <c r="C9" s="16" t="e">
        <v>#N/A</v>
      </c>
      <c r="D9" s="16" t="e">
        <v>#N/A</v>
      </c>
      <c r="E9" s="16" t="e">
        <v>#N/A</v>
      </c>
      <c r="F9" s="16" t="e">
        <v>#N/A</v>
      </c>
      <c r="J9" s="12" t="n">
        <v>3</v>
      </c>
      <c r="K9" s="13" t="s">
        <v>51</v>
      </c>
      <c r="L9" s="13" t="n">
        <v>9.64</v>
      </c>
      <c r="M9" s="14" t="n">
        <v>55</v>
      </c>
      <c r="N9" s="14" t="n">
        <v>23.9</v>
      </c>
      <c r="O9" s="14" t="n">
        <v>33.9</v>
      </c>
      <c r="P9" s="14" t="n">
        <v>10.6</v>
      </c>
      <c r="Q9" s="14" t="n">
        <v>79.5</v>
      </c>
    </row>
    <row r="10" customFormat="false" ht="12.8" hidden="false" customHeight="false" outlineLevel="0" collapsed="false">
      <c r="A10" s="16" t="n">
        <v>8.63561379549652</v>
      </c>
      <c r="B10" s="16" t="n">
        <v>276</v>
      </c>
      <c r="C10" s="16" t="e">
        <v>#N/A</v>
      </c>
      <c r="D10" s="16" t="e">
        <v>#N/A</v>
      </c>
      <c r="E10" s="16" t="e">
        <v>#N/A</v>
      </c>
      <c r="F10" s="16" t="e">
        <v>#N/A</v>
      </c>
      <c r="J10" s="12" t="n">
        <v>3</v>
      </c>
      <c r="K10" s="13" t="s">
        <v>52</v>
      </c>
      <c r="L10" s="13" t="n">
        <v>9.74</v>
      </c>
      <c r="M10" s="14" t="n">
        <v>52.8</v>
      </c>
      <c r="N10" s="14" t="n">
        <v>20.2</v>
      </c>
      <c r="O10" s="14" t="n">
        <v>32.4</v>
      </c>
      <c r="P10" s="14" t="n">
        <v>11.4</v>
      </c>
      <c r="Q10" s="14" t="n">
        <v>76.6</v>
      </c>
    </row>
    <row r="11" customFormat="false" ht="12.8" hidden="false" customHeight="false" outlineLevel="0" collapsed="false">
      <c r="A11" s="16" t="n">
        <v>2.73795064425113</v>
      </c>
      <c r="B11" s="16" t="n">
        <v>17.5013472280893</v>
      </c>
      <c r="C11" s="16" t="e">
        <v>#N/A</v>
      </c>
      <c r="D11" s="16" t="e">
        <v>#N/A</v>
      </c>
      <c r="E11" s="16" t="e">
        <v>#N/A</v>
      </c>
      <c r="F11" s="16" t="e">
        <v>#N/A</v>
      </c>
      <c r="J11" s="12" t="n">
        <v>3</v>
      </c>
      <c r="K11" s="13" t="s">
        <v>53</v>
      </c>
      <c r="L11" s="13" t="n">
        <v>9.87</v>
      </c>
      <c r="M11" s="14" t="n">
        <v>53.3</v>
      </c>
      <c r="N11" s="14" t="n">
        <v>22.7</v>
      </c>
      <c r="O11" s="14" t="n">
        <v>33.9</v>
      </c>
      <c r="P11" s="14" t="n">
        <v>10</v>
      </c>
      <c r="Q11" s="14" t="n">
        <v>76.7</v>
      </c>
    </row>
    <row r="12" customFormat="false" ht="12.8" hidden="false" customHeight="false" outlineLevel="0" collapsed="false">
      <c r="J12" s="12" t="n">
        <v>3</v>
      </c>
      <c r="K12" s="13" t="s">
        <v>54</v>
      </c>
      <c r="L12" s="13" t="n">
        <v>9.66</v>
      </c>
      <c r="M12" s="14" t="n">
        <v>51.2</v>
      </c>
      <c r="N12" s="14" t="n">
        <v>13.5</v>
      </c>
      <c r="O12" s="14" t="n">
        <v>33</v>
      </c>
      <c r="P12" s="14" t="n">
        <v>10.3</v>
      </c>
      <c r="Q12" s="14" t="n">
        <v>77.8</v>
      </c>
    </row>
    <row r="13" customFormat="false" ht="12.8" hidden="false" customHeight="false" outlineLevel="0" collapsed="false">
      <c r="A13" s="15" t="s">
        <v>55</v>
      </c>
      <c r="J13" s="12" t="n">
        <v>3</v>
      </c>
      <c r="K13" s="13" t="s">
        <v>56</v>
      </c>
      <c r="L13" s="13" t="n">
        <v>9.8</v>
      </c>
      <c r="M13" s="14" t="n">
        <v>47</v>
      </c>
      <c r="N13" s="14" t="n">
        <v>8.4</v>
      </c>
      <c r="O13" s="14" t="n">
        <v>31.7</v>
      </c>
      <c r="P13" s="14" t="n">
        <v>10.5</v>
      </c>
      <c r="Q13" s="14" t="n">
        <v>77.6</v>
      </c>
    </row>
    <row r="14" customFormat="false" ht="12.8" hidden="false" customHeight="false" outlineLevel="0" collapsed="false">
      <c r="A14" s="15" t="s">
        <v>57</v>
      </c>
      <c r="B14" s="16" t="n">
        <f aca="false">$A$9</f>
        <v>0.135278934156747</v>
      </c>
      <c r="J14" s="12" t="n">
        <v>3</v>
      </c>
      <c r="K14" s="13" t="s">
        <v>58</v>
      </c>
      <c r="L14" s="13" t="n">
        <v>9.79</v>
      </c>
      <c r="M14" s="14" t="n">
        <v>43.8</v>
      </c>
      <c r="N14" s="14" t="n">
        <v>12.9</v>
      </c>
      <c r="O14" s="14" t="n">
        <v>32.4</v>
      </c>
      <c r="P14" s="14" t="n">
        <v>10.2</v>
      </c>
      <c r="Q14" s="14" t="n">
        <v>78</v>
      </c>
    </row>
    <row r="15" customFormat="false" ht="12.8" hidden="false" customHeight="false" outlineLevel="0" collapsed="false">
      <c r="A15" s="1" t="s">
        <v>59</v>
      </c>
      <c r="B15" s="16" t="n">
        <f aca="false">$B$9</f>
        <v>0.251814769945375</v>
      </c>
      <c r="J15" s="12" t="n">
        <v>3</v>
      </c>
      <c r="K15" s="13" t="s">
        <v>60</v>
      </c>
      <c r="L15" s="13" t="n">
        <v>9.84</v>
      </c>
      <c r="M15" s="14" t="n">
        <v>50.5</v>
      </c>
      <c r="N15" s="14" t="n">
        <v>7.5</v>
      </c>
      <c r="O15" s="14" t="n">
        <v>32.9</v>
      </c>
      <c r="P15" s="14" t="n">
        <v>9.9</v>
      </c>
      <c r="Q15" s="14" t="n">
        <v>76.3</v>
      </c>
    </row>
    <row r="16" customFormat="false" ht="15.65" hidden="false" customHeight="false" outlineLevel="0" collapsed="false">
      <c r="A16" s="15" t="s">
        <v>61</v>
      </c>
      <c r="B16" s="16" t="n">
        <f aca="false">5</f>
        <v>5</v>
      </c>
      <c r="J16" s="12" t="n">
        <v>3</v>
      </c>
      <c r="K16" s="13" t="s">
        <v>62</v>
      </c>
      <c r="L16" s="13" t="n">
        <v>9.99</v>
      </c>
      <c r="M16" s="14" t="n">
        <v>46.1</v>
      </c>
      <c r="N16" s="14" t="n">
        <v>8.9</v>
      </c>
      <c r="O16" s="14" t="n">
        <v>32.1</v>
      </c>
      <c r="P16" s="14" t="n">
        <v>10.4</v>
      </c>
      <c r="Q16" s="14" t="n">
        <v>76.8</v>
      </c>
    </row>
    <row r="17" customFormat="false" ht="12.8" hidden="false" customHeight="false" outlineLevel="0" collapsed="false">
      <c r="A17" s="1" t="s">
        <v>63</v>
      </c>
      <c r="B17" s="16" t="n">
        <f aca="false">282</f>
        <v>282</v>
      </c>
      <c r="J17" s="12" t="n">
        <v>3</v>
      </c>
      <c r="K17" s="13" t="s">
        <v>64</v>
      </c>
      <c r="L17" s="13" t="n">
        <v>9.5</v>
      </c>
      <c r="M17" s="14" t="n">
        <v>66.4</v>
      </c>
      <c r="N17" s="14" t="n">
        <v>17.7</v>
      </c>
      <c r="O17" s="14" t="n">
        <v>33.4</v>
      </c>
      <c r="P17" s="14" t="n">
        <v>10.6</v>
      </c>
      <c r="Q17" s="14" t="n">
        <v>79.3</v>
      </c>
    </row>
    <row r="18" customFormat="false" ht="12.8" hidden="false" customHeight="false" outlineLevel="0" collapsed="false">
      <c r="A18" s="15" t="s">
        <v>65</v>
      </c>
      <c r="B18" s="16" t="n">
        <f aca="false">1 - (1 - $A$9)*($B$17 - 1)/($B$17 - $B$16 - 1)</f>
        <v>0.119613697456688</v>
      </c>
      <c r="J18" s="12" t="n">
        <v>3</v>
      </c>
      <c r="K18" s="13" t="s">
        <v>66</v>
      </c>
      <c r="L18" s="13" t="n">
        <v>9.59</v>
      </c>
      <c r="M18" s="14" t="n">
        <v>66.3</v>
      </c>
      <c r="N18" s="14" t="n">
        <v>29.3</v>
      </c>
      <c r="O18" s="14" t="n">
        <v>31.4</v>
      </c>
      <c r="P18" s="14" t="n">
        <v>14.4</v>
      </c>
      <c r="Q18" s="14" t="n">
        <v>78.8</v>
      </c>
    </row>
    <row r="19" customFormat="false" ht="12.8" hidden="false" customHeight="false" outlineLevel="0" collapsed="false">
      <c r="J19" s="12" t="n">
        <v>3</v>
      </c>
      <c r="K19" s="13" t="s">
        <v>67</v>
      </c>
      <c r="L19" s="13" t="n">
        <v>10.11</v>
      </c>
      <c r="M19" s="14" t="n">
        <v>63.7</v>
      </c>
      <c r="N19" s="14" t="n">
        <v>21.1</v>
      </c>
      <c r="O19" s="14" t="n">
        <v>31.5</v>
      </c>
      <c r="P19" s="14" t="n">
        <v>12.1</v>
      </c>
      <c r="Q19" s="14" t="n">
        <v>77.8</v>
      </c>
    </row>
    <row r="20" customFormat="false" ht="15.65" hidden="false" customHeight="false" outlineLevel="0" collapsed="false">
      <c r="A20" s="1" t="s">
        <v>68</v>
      </c>
      <c r="J20" s="12" t="n">
        <v>3</v>
      </c>
      <c r="K20" s="13" t="s">
        <v>69</v>
      </c>
      <c r="L20" s="13" t="n">
        <v>9.98</v>
      </c>
      <c r="M20" s="14" t="n">
        <v>61.2</v>
      </c>
      <c r="N20" s="14" t="n">
        <v>19.6</v>
      </c>
      <c r="O20" s="14" t="n">
        <v>33.7</v>
      </c>
      <c r="P20" s="14" t="n">
        <v>17.3</v>
      </c>
      <c r="Q20" s="14" t="n">
        <v>77.5</v>
      </c>
    </row>
    <row r="21" customFormat="false" ht="12.8" hidden="false" customHeight="false" outlineLevel="0" collapsed="false">
      <c r="B21" s="1" t="s">
        <v>70</v>
      </c>
      <c r="C21" s="1" t="s">
        <v>71</v>
      </c>
      <c r="D21" s="1" t="s">
        <v>72</v>
      </c>
      <c r="E21" s="15" t="s">
        <v>73</v>
      </c>
      <c r="F21" s="15" t="s">
        <v>74</v>
      </c>
      <c r="J21" s="12" t="n">
        <v>3</v>
      </c>
      <c r="K21" s="13" t="s">
        <v>75</v>
      </c>
      <c r="L21" s="13" t="n">
        <v>9.79</v>
      </c>
      <c r="M21" s="14" t="n">
        <v>65.1</v>
      </c>
      <c r="N21" s="14" t="n">
        <v>18.9</v>
      </c>
      <c r="O21" s="14" t="n">
        <v>31.7</v>
      </c>
      <c r="P21" s="14" t="n">
        <v>9.2</v>
      </c>
      <c r="Q21" s="14" t="n">
        <v>74.8</v>
      </c>
    </row>
    <row r="22" customFormat="false" ht="12.8" hidden="false" customHeight="false" outlineLevel="0" collapsed="false">
      <c r="A22" s="1" t="s">
        <v>41</v>
      </c>
      <c r="B22" s="16" t="n">
        <f aca="false">$B$16</f>
        <v>5</v>
      </c>
      <c r="C22" s="16" t="n">
        <f aca="false">$A$11</f>
        <v>2.73795064425113</v>
      </c>
      <c r="D22" s="16" t="n">
        <f aca="false">$A$11 / $B$22</f>
        <v>0.547590128850227</v>
      </c>
      <c r="E22" s="16" t="n">
        <f aca="false">$A$10</f>
        <v>8.63561379549652</v>
      </c>
      <c r="F22" s="16" t="n">
        <f aca="false">FDIST($A$10 , $B$22 , $B$10)</f>
        <v>1.28052701108877E-007</v>
      </c>
      <c r="J22" s="12" t="n">
        <v>3</v>
      </c>
      <c r="K22" s="13" t="s">
        <v>76</v>
      </c>
      <c r="L22" s="13" t="n">
        <v>9.71</v>
      </c>
      <c r="M22" s="14" t="n">
        <v>58.7</v>
      </c>
      <c r="N22" s="14" t="n">
        <v>22.5</v>
      </c>
      <c r="O22" s="14" t="n">
        <v>33.1</v>
      </c>
      <c r="P22" s="14" t="n">
        <v>9.9</v>
      </c>
      <c r="Q22" s="14" t="n">
        <v>79.1</v>
      </c>
    </row>
    <row r="23" customFormat="false" ht="12.8" hidden="false" customHeight="false" outlineLevel="0" collapsed="false">
      <c r="A23" s="1" t="s">
        <v>77</v>
      </c>
      <c r="B23" s="16" t="n">
        <f aca="false">$B$10</f>
        <v>276</v>
      </c>
      <c r="C23" s="16" t="n">
        <f aca="false">$B$11</f>
        <v>17.5013472280893</v>
      </c>
      <c r="D23" s="16" t="n">
        <f aca="false">$B$11 / $B$10</f>
        <v>0.0634106783626424</v>
      </c>
      <c r="E23" s="16"/>
      <c r="F23" s="16"/>
      <c r="J23" s="12" t="n">
        <v>3</v>
      </c>
      <c r="K23" s="13" t="s">
        <v>78</v>
      </c>
      <c r="L23" s="13" t="n">
        <v>9.83</v>
      </c>
      <c r="M23" s="14" t="n">
        <v>57</v>
      </c>
      <c r="N23" s="14" t="n">
        <v>27.4</v>
      </c>
      <c r="O23" s="14" t="n">
        <v>33.6</v>
      </c>
      <c r="P23" s="14" t="n">
        <v>9.6</v>
      </c>
      <c r="Q23" s="14" t="n">
        <v>75.5</v>
      </c>
    </row>
    <row r="24" customFormat="false" ht="12.8" hidden="false" customHeight="false" outlineLevel="0" collapsed="false">
      <c r="A24" s="1" t="s">
        <v>79</v>
      </c>
      <c r="B24" s="1" t="n">
        <f aca="false">$B$22 + $B$10</f>
        <v>281</v>
      </c>
      <c r="C24" s="16" t="n">
        <f aca="false">$A$11 + $B$11</f>
        <v>20.2392978723404</v>
      </c>
      <c r="D24" s="16"/>
      <c r="E24" s="16"/>
      <c r="F24" s="16"/>
      <c r="J24" s="12" t="n">
        <v>3</v>
      </c>
      <c r="K24" s="13" t="s">
        <v>80</v>
      </c>
      <c r="L24" s="13" t="n">
        <v>9.72</v>
      </c>
      <c r="M24" s="14" t="n">
        <v>55.1</v>
      </c>
      <c r="N24" s="14" t="n">
        <v>14.7</v>
      </c>
      <c r="O24" s="14" t="n">
        <v>33.7</v>
      </c>
      <c r="P24" s="14" t="n">
        <v>10.3</v>
      </c>
      <c r="Q24" s="14" t="n">
        <v>78.2</v>
      </c>
    </row>
    <row r="25" customFormat="false" ht="12.8" hidden="false" customHeight="false" outlineLevel="0" collapsed="false">
      <c r="J25" s="12" t="n">
        <v>3</v>
      </c>
      <c r="K25" s="13" t="s">
        <v>81</v>
      </c>
      <c r="L25" s="13" t="n">
        <v>9.91</v>
      </c>
      <c r="M25" s="14" t="n">
        <v>50.3</v>
      </c>
      <c r="N25" s="14" t="n">
        <v>11.8</v>
      </c>
      <c r="O25" s="14" t="n">
        <v>33.3</v>
      </c>
      <c r="P25" s="14" t="n">
        <v>10.2</v>
      </c>
      <c r="Q25" s="14" t="n">
        <v>76.2</v>
      </c>
    </row>
    <row r="26" customFormat="false" ht="12.8" hidden="false" customHeight="false" outlineLevel="0" collapsed="false">
      <c r="A26" s="1" t="s">
        <v>82</v>
      </c>
      <c r="B26" s="1" t="n">
        <v>0.95</v>
      </c>
      <c r="J26" s="12" t="n">
        <v>3</v>
      </c>
      <c r="K26" s="13" t="s">
        <v>83</v>
      </c>
      <c r="L26" s="13" t="n">
        <v>9.81</v>
      </c>
      <c r="M26" s="14" t="n">
        <v>58.1</v>
      </c>
      <c r="N26" s="14" t="n">
        <v>15.2</v>
      </c>
      <c r="O26" s="14" t="n">
        <v>32.8</v>
      </c>
      <c r="P26" s="14" t="n">
        <v>12.7</v>
      </c>
      <c r="Q26" s="14" t="n">
        <v>76.4</v>
      </c>
    </row>
    <row r="27" customFormat="false" ht="12.8" hidden="false" customHeight="false" outlineLevel="0" collapsed="false">
      <c r="J27" s="12" t="n">
        <v>3</v>
      </c>
      <c r="K27" s="13" t="s">
        <v>84</v>
      </c>
      <c r="L27" s="13" t="n">
        <v>9.78</v>
      </c>
      <c r="M27" s="14" t="n">
        <v>57.8</v>
      </c>
      <c r="N27" s="14" t="n">
        <v>23.5</v>
      </c>
      <c r="O27" s="14" t="n">
        <v>35.5</v>
      </c>
      <c r="P27" s="14" t="n">
        <v>10.7</v>
      </c>
      <c r="Q27" s="14" t="n">
        <v>78.3</v>
      </c>
    </row>
    <row r="28" customFormat="false" ht="15.65" hidden="false" customHeight="false" outlineLevel="0" collapsed="false">
      <c r="B28" s="1" t="s">
        <v>85</v>
      </c>
      <c r="C28" s="1" t="s">
        <v>59</v>
      </c>
      <c r="D28" s="15" t="s">
        <v>86</v>
      </c>
      <c r="E28" s="15" t="s">
        <v>87</v>
      </c>
      <c r="F28" s="1" t="str">
        <f aca="false">_xlfn.CONCAT("Lower " , INT($B$26 * 100) , "%")</f>
        <v>Lower 95%</v>
      </c>
      <c r="G28" s="1" t="str">
        <f aca="false">_xlfn.CONCAT("Upper " , INT($B$26 * 100) , "%")</f>
        <v>Upper 95%</v>
      </c>
      <c r="J28" s="12" t="n">
        <v>3</v>
      </c>
      <c r="K28" s="13" t="s">
        <v>88</v>
      </c>
      <c r="L28" s="13" t="n">
        <v>10.06</v>
      </c>
      <c r="M28" s="14" t="n">
        <v>55.6</v>
      </c>
      <c r="N28" s="14" t="n">
        <v>15.6</v>
      </c>
      <c r="O28" s="14" t="n">
        <v>34.3</v>
      </c>
      <c r="P28" s="14" t="n">
        <v>10.7</v>
      </c>
      <c r="Q28" s="14" t="n">
        <v>74</v>
      </c>
    </row>
    <row r="29" customFormat="false" ht="12.8" hidden="false" customHeight="false" outlineLevel="0" collapsed="false">
      <c r="A29" s="1" t="str">
        <f aca="false">"切片"</f>
        <v>切片</v>
      </c>
      <c r="B29" s="16" t="n">
        <f aca="false" t="array" ref="B29:B34">INDEX($A$7:$F$7, 1 , ROW($B$34)+1 - ROW())</f>
        <v>9.89680600793327</v>
      </c>
      <c r="C29" s="16" t="n">
        <f aca="false" t="array" ref="C29:C34">INDEX($A$8:$F$8, 1 , ROW($C$34)+1 - ROW())</f>
        <v>0.520610727873429</v>
      </c>
      <c r="D29" s="16" t="n">
        <f aca="false" t="array" ref="D29:D34">$B$29:$B$34 / $C$29:$C$34</f>
        <v>19.0099924532085</v>
      </c>
      <c r="E29" s="16" t="n">
        <f aca="false" t="array" ref="E29:E34">TDIST(ABS($D$29:$D$34) , $B$10 , 2 )</f>
        <v>4.38138631857099E-052</v>
      </c>
      <c r="F29" s="16" t="n">
        <f aca="false" t="array" ref="F29:F34">$B$29:$B$34 - $C$29:$C$34 * TINV(1 - $B$26 , $B$10)</f>
        <v>8.87193363222235</v>
      </c>
      <c r="G29" s="16" t="n">
        <f aca="false" t="array" ref="G29:G34">$B$29:$B$34 + $C$29:$C$34 * TINV(1 - $B$26 , $B$10)</f>
        <v>10.9216783836442</v>
      </c>
      <c r="J29" s="12" t="n">
        <v>3</v>
      </c>
      <c r="K29" s="13" t="s">
        <v>89</v>
      </c>
      <c r="L29" s="13" t="n">
        <v>10.29</v>
      </c>
      <c r="M29" s="14" t="n">
        <v>45.2</v>
      </c>
      <c r="N29" s="14" t="n">
        <v>12.5</v>
      </c>
      <c r="O29" s="14" t="n">
        <v>33.5</v>
      </c>
      <c r="P29" s="14" t="n">
        <v>10.9</v>
      </c>
      <c r="Q29" s="14" t="n">
        <v>74.3</v>
      </c>
    </row>
    <row r="30" customFormat="false" ht="12.8" hidden="false" customHeight="false" outlineLevel="0" collapsed="false">
      <c r="A30" s="1" t="str">
        <f aca="false">"X1"</f>
        <v>X1</v>
      </c>
      <c r="B30" s="16" t="n">
        <v>-0.0148501172211918</v>
      </c>
      <c r="C30" s="16" t="n">
        <v>0.00284959908960013</v>
      </c>
      <c r="D30" s="16" t="n">
        <v>-5.21130052132198</v>
      </c>
      <c r="E30" s="16" t="n">
        <v>3.67732480589029E-007</v>
      </c>
      <c r="F30" s="16" t="n">
        <v>-0.0204598275717864</v>
      </c>
      <c r="G30" s="16" t="n">
        <v>-0.00924040687059716</v>
      </c>
      <c r="J30" s="12" t="n">
        <v>3</v>
      </c>
      <c r="K30" s="13" t="s">
        <v>90</v>
      </c>
      <c r="L30" s="13" t="n">
        <v>10.24</v>
      </c>
      <c r="M30" s="14" t="n">
        <v>50.9</v>
      </c>
      <c r="N30" s="14" t="n">
        <v>14.3</v>
      </c>
      <c r="O30" s="14" t="n">
        <v>33.2</v>
      </c>
      <c r="P30" s="14" t="n">
        <v>10.9</v>
      </c>
      <c r="Q30" s="14" t="n">
        <v>76.9</v>
      </c>
    </row>
    <row r="31" customFormat="false" ht="12.8" hidden="false" customHeight="false" outlineLevel="0" collapsed="false">
      <c r="A31" s="1" t="str">
        <f aca="false">"X2"</f>
        <v>X2</v>
      </c>
      <c r="B31" s="16" t="n">
        <v>0.00846766372413231</v>
      </c>
      <c r="C31" s="16" t="n">
        <v>0.00271882610062485</v>
      </c>
      <c r="D31" s="16" t="n">
        <v>3.11445580215161</v>
      </c>
      <c r="E31" s="16" t="n">
        <v>0.00203679874638378</v>
      </c>
      <c r="F31" s="16" t="n">
        <v>0.0031153926015716</v>
      </c>
      <c r="G31" s="16" t="n">
        <v>0.013819934846693</v>
      </c>
      <c r="J31" s="12" t="n">
        <v>3</v>
      </c>
      <c r="K31" s="13" t="s">
        <v>91</v>
      </c>
      <c r="L31" s="13" t="n">
        <v>10</v>
      </c>
      <c r="M31" s="14" t="n">
        <v>49.6</v>
      </c>
      <c r="N31" s="14" t="n">
        <v>23.5</v>
      </c>
      <c r="O31" s="14" t="n">
        <v>35.4</v>
      </c>
      <c r="P31" s="14" t="n">
        <v>10.8</v>
      </c>
      <c r="Q31" s="14" t="n">
        <v>71.7</v>
      </c>
    </row>
    <row r="32" customFormat="false" ht="12.8" hidden="false" customHeight="false" outlineLevel="0" collapsed="false">
      <c r="A32" s="1" t="str">
        <f aca="false">"X3"</f>
        <v>X3</v>
      </c>
      <c r="B32" s="16" t="n">
        <v>0.0246652874188523</v>
      </c>
      <c r="C32" s="16" t="n">
        <v>0.0146762369179941</v>
      </c>
      <c r="D32" s="16" t="n">
        <v>1.68062750394898</v>
      </c>
      <c r="E32" s="16" t="n">
        <v>0.0939666193221914</v>
      </c>
      <c r="F32" s="16" t="n">
        <v>-0.00422629892644069</v>
      </c>
      <c r="G32" s="16" t="n">
        <v>0.0535568737641452</v>
      </c>
      <c r="J32" s="12" t="n">
        <v>3</v>
      </c>
      <c r="K32" s="13" t="s">
        <v>92</v>
      </c>
      <c r="L32" s="13" t="n">
        <v>10.11</v>
      </c>
      <c r="M32" s="14" t="n">
        <v>49.4</v>
      </c>
      <c r="N32" s="14" t="n">
        <v>19.6</v>
      </c>
      <c r="O32" s="14" t="n">
        <v>34</v>
      </c>
      <c r="P32" s="14" t="n">
        <v>12.5</v>
      </c>
      <c r="Q32" s="14" t="n">
        <v>72.7</v>
      </c>
    </row>
    <row r="33" customFormat="false" ht="12.8" hidden="false" customHeight="false" outlineLevel="0" collapsed="false">
      <c r="A33" s="1" t="str">
        <f aca="false">"X4"</f>
        <v>X4</v>
      </c>
      <c r="B33" s="16" t="n">
        <v>-0.0022051479287401</v>
      </c>
      <c r="C33" s="16" t="n">
        <v>0.00137898571006205</v>
      </c>
      <c r="D33" s="16" t="n">
        <v>-1.59910861486801</v>
      </c>
      <c r="E33" s="16" t="n">
        <v>0.110940563759191</v>
      </c>
      <c r="F33" s="16" t="n">
        <v>-0.00491981415645239</v>
      </c>
      <c r="G33" s="16" t="n">
        <v>0.000509518298972193</v>
      </c>
      <c r="J33" s="12" t="n">
        <v>3</v>
      </c>
      <c r="K33" s="13" t="s">
        <v>93</v>
      </c>
      <c r="L33" s="13" t="n">
        <v>9.97</v>
      </c>
      <c r="M33" s="14" t="n">
        <v>53.1</v>
      </c>
      <c r="N33" s="14" t="n">
        <v>16.1</v>
      </c>
      <c r="O33" s="14" t="n">
        <v>32.8</v>
      </c>
      <c r="P33" s="14" t="n">
        <v>10.4</v>
      </c>
      <c r="Q33" s="14" t="n">
        <v>79.1</v>
      </c>
    </row>
    <row r="34" customFormat="false" ht="12.8" hidden="false" customHeight="false" outlineLevel="0" collapsed="false">
      <c r="A34" s="1" t="str">
        <f aca="false">"X5"</f>
        <v>X5</v>
      </c>
      <c r="B34" s="16" t="n">
        <v>3.58615398515168E-005</v>
      </c>
      <c r="C34" s="16" t="n">
        <v>0.000866900625513765</v>
      </c>
      <c r="D34" s="16" t="n">
        <v>0.0413675325591831</v>
      </c>
      <c r="E34" s="16" t="n">
        <v>0.967032805020916</v>
      </c>
      <c r="F34" s="16" t="n">
        <v>-0.00167071586243279</v>
      </c>
      <c r="G34" s="16" t="n">
        <v>0.00174243894213583</v>
      </c>
      <c r="J34" s="12" t="n">
        <v>3</v>
      </c>
      <c r="K34" s="13" t="s">
        <v>94</v>
      </c>
      <c r="L34" s="13" t="n">
        <v>10.03</v>
      </c>
      <c r="M34" s="14" t="n">
        <v>65.3</v>
      </c>
      <c r="N34" s="14" t="n">
        <v>25.8</v>
      </c>
      <c r="O34" s="14" t="n">
        <v>34.2</v>
      </c>
      <c r="P34" s="14" t="n">
        <v>11.2</v>
      </c>
      <c r="Q34" s="14" t="n">
        <v>80.6</v>
      </c>
    </row>
    <row r="35" customFormat="false" ht="12.8" hidden="false" customHeight="false" outlineLevel="0" collapsed="false">
      <c r="J35" s="12" t="n">
        <v>3</v>
      </c>
      <c r="K35" s="13" t="s">
        <v>95</v>
      </c>
      <c r="L35" s="13" t="n">
        <v>10.18</v>
      </c>
      <c r="M35" s="14" t="n">
        <v>56.8</v>
      </c>
      <c r="N35" s="14" t="n">
        <v>31.6</v>
      </c>
      <c r="O35" s="14" t="n">
        <v>32.4</v>
      </c>
      <c r="P35" s="14" t="n">
        <v>11.7</v>
      </c>
      <c r="Q35" s="14" t="n">
        <v>76.2</v>
      </c>
    </row>
    <row r="36" customFormat="false" ht="12.8" hidden="false" customHeight="false" outlineLevel="0" collapsed="false">
      <c r="A36" s="1" t="str">
        <f aca="false">"X1"</f>
        <v>X1</v>
      </c>
      <c r="B36" s="1" t="str">
        <f aca="false">"X2"</f>
        <v>X2</v>
      </c>
      <c r="C36" s="1" t="str">
        <f aca="false">"X3"</f>
        <v>X3</v>
      </c>
      <c r="D36" s="1" t="str">
        <f aca="false">"X4"</f>
        <v>X4</v>
      </c>
      <c r="E36" s="1" t="str">
        <f aca="false">"X5"</f>
        <v>X5</v>
      </c>
      <c r="F36" s="15" t="s">
        <v>96</v>
      </c>
      <c r="G36" s="1" t="str">
        <f aca="false">"Y"</f>
        <v>Y</v>
      </c>
      <c r="H36" s="1" t="s">
        <v>77</v>
      </c>
      <c r="J36" s="12" t="n">
        <v>3</v>
      </c>
      <c r="K36" s="13" t="s">
        <v>97</v>
      </c>
      <c r="L36" s="13" t="n">
        <v>10.04</v>
      </c>
      <c r="M36" s="14" t="n">
        <v>54.7</v>
      </c>
      <c r="N36" s="14" t="n">
        <v>19.7</v>
      </c>
      <c r="O36" s="14" t="n">
        <v>32.9</v>
      </c>
      <c r="P36" s="14" t="n">
        <v>10.9</v>
      </c>
      <c r="Q36" s="14" t="n">
        <v>75.7</v>
      </c>
    </row>
    <row r="37" customFormat="false" ht="12.8" hidden="false" customHeight="false" outlineLevel="0" collapsed="false">
      <c r="A37" s="1" t="n">
        <f aca="false" t="array" ref="A37:E318">$M$3:$Q$284</f>
        <v>48</v>
      </c>
      <c r="B37" s="1" t="n">
        <v>9.9</v>
      </c>
      <c r="C37" s="1" t="n">
        <v>32.5</v>
      </c>
      <c r="D37" s="1" t="n">
        <v>10.6</v>
      </c>
      <c r="E37" s="1" t="n">
        <v>79.6</v>
      </c>
      <c r="F37" s="17" t="n">
        <f aca="false" t="array" ref="F37:F318">MMULT($A$37:$E$318 , $B$30:$B$34) + $B$29</f>
        <v>10.0489321038252</v>
      </c>
      <c r="G37" s="1" t="n">
        <f aca="false" t="array" ref="G37:G318">$L$3:$L$284</f>
        <v>10.45</v>
      </c>
      <c r="H37" s="17" t="n">
        <f aca="false" t="array" ref="H37:H318">$G$37:$G$318 - $F$37:$F$318</f>
        <v>0.401067896174787</v>
      </c>
      <c r="J37" s="12" t="n">
        <v>3</v>
      </c>
      <c r="K37" s="13" t="s">
        <v>98</v>
      </c>
      <c r="L37" s="13" t="n">
        <v>10.22</v>
      </c>
      <c r="M37" s="14" t="n">
        <v>51.2</v>
      </c>
      <c r="N37" s="14" t="n">
        <v>18.8</v>
      </c>
      <c r="O37" s="14" t="n">
        <v>33.1</v>
      </c>
      <c r="P37" s="14" t="n">
        <v>10.4</v>
      </c>
      <c r="Q37" s="14" t="n">
        <v>78.2</v>
      </c>
    </row>
    <row r="38" customFormat="false" ht="12.8" hidden="false" customHeight="false" outlineLevel="0" collapsed="false">
      <c r="A38" s="1" t="n">
        <v>55.1</v>
      </c>
      <c r="B38" s="1" t="n">
        <v>17.8</v>
      </c>
      <c r="C38" s="1" t="n">
        <v>32.3</v>
      </c>
      <c r="D38" s="1" t="n">
        <v>10.6</v>
      </c>
      <c r="E38" s="1" t="n">
        <v>80.3</v>
      </c>
      <c r="F38" s="17" t="n">
        <v>10.0054828605695</v>
      </c>
      <c r="G38" s="1" t="n">
        <v>9.96</v>
      </c>
      <c r="H38" s="17" t="n">
        <v>-0.0454828605695194</v>
      </c>
      <c r="J38" s="12" t="n">
        <v>3</v>
      </c>
      <c r="K38" s="13" t="s">
        <v>99</v>
      </c>
      <c r="L38" s="13" t="n">
        <v>10.29</v>
      </c>
      <c r="M38" s="14" t="n">
        <v>54.7</v>
      </c>
      <c r="N38" s="14" t="n">
        <v>24.2</v>
      </c>
      <c r="O38" s="14" t="n">
        <v>34</v>
      </c>
      <c r="P38" s="14" t="n">
        <v>10.4</v>
      </c>
      <c r="Q38" s="14" t="n">
        <v>68</v>
      </c>
    </row>
    <row r="39" customFormat="false" ht="12.8" hidden="false" customHeight="false" outlineLevel="0" collapsed="false">
      <c r="A39" s="1" t="n">
        <v>57.9</v>
      </c>
      <c r="B39" s="1" t="n">
        <v>14.6</v>
      </c>
      <c r="C39" s="1" t="n">
        <v>32.3</v>
      </c>
      <c r="D39" s="1" t="n">
        <v>11.8</v>
      </c>
      <c r="E39" s="1" t="n">
        <v>83.2</v>
      </c>
      <c r="F39" s="17" t="n">
        <v>9.93426382938404</v>
      </c>
      <c r="G39" s="1" t="n">
        <v>9.74</v>
      </c>
      <c r="H39" s="17" t="n">
        <v>-0.194263829384042</v>
      </c>
      <c r="J39" s="12" t="n">
        <v>3</v>
      </c>
      <c r="K39" s="13" t="s">
        <v>100</v>
      </c>
      <c r="L39" s="13" t="n">
        <v>10.28</v>
      </c>
      <c r="M39" s="14" t="n">
        <v>52.3</v>
      </c>
      <c r="N39" s="14" t="n">
        <v>36.1</v>
      </c>
      <c r="O39" s="14" t="n">
        <v>32.5</v>
      </c>
      <c r="P39" s="14" t="n">
        <v>11.6</v>
      </c>
      <c r="Q39" s="14" t="n">
        <v>73.8</v>
      </c>
    </row>
    <row r="40" customFormat="false" ht="12.8" hidden="false" customHeight="false" outlineLevel="0" collapsed="false">
      <c r="A40" s="1" t="n">
        <v>60</v>
      </c>
      <c r="B40" s="1" t="n">
        <v>27.4</v>
      </c>
      <c r="C40" s="1" t="n">
        <v>32.7</v>
      </c>
      <c r="D40" s="1" t="n">
        <v>9.9</v>
      </c>
      <c r="E40" s="1" t="n">
        <v>81.1</v>
      </c>
      <c r="F40" s="17" t="n">
        <v>10.0254452656869</v>
      </c>
      <c r="G40" s="1" t="n">
        <v>10.01</v>
      </c>
      <c r="H40" s="17" t="n">
        <v>-0.0154452656868926</v>
      </c>
      <c r="J40" s="12" t="n">
        <v>3</v>
      </c>
      <c r="K40" s="13" t="s">
        <v>101</v>
      </c>
      <c r="L40" s="13" t="n">
        <v>10.22</v>
      </c>
      <c r="M40" s="14" t="n">
        <v>58.3</v>
      </c>
      <c r="N40" s="14" t="n">
        <v>22.1</v>
      </c>
      <c r="O40" s="14" t="n">
        <v>32.2</v>
      </c>
      <c r="P40" s="14" t="n">
        <v>10.6</v>
      </c>
      <c r="Q40" s="14" t="n">
        <v>74.1</v>
      </c>
    </row>
    <row r="41" customFormat="false" ht="12.8" hidden="false" customHeight="false" outlineLevel="0" collapsed="false">
      <c r="A41" s="1" t="n">
        <v>53.8</v>
      </c>
      <c r="B41" s="1" t="n">
        <v>28.7</v>
      </c>
      <c r="C41" s="1" t="n">
        <v>32.3</v>
      </c>
      <c r="D41" s="1" t="n">
        <v>9.2</v>
      </c>
      <c r="E41" s="1" t="n">
        <v>79.3</v>
      </c>
      <c r="F41" s="17" t="n">
        <v>10.1201368931105</v>
      </c>
      <c r="G41" s="1" t="n">
        <v>10.16</v>
      </c>
      <c r="H41" s="17" t="n">
        <v>0.0398631068895039</v>
      </c>
      <c r="J41" s="12" t="n">
        <v>3</v>
      </c>
      <c r="K41" s="13" t="s">
        <v>102</v>
      </c>
      <c r="L41" s="13" t="n">
        <v>10.17</v>
      </c>
      <c r="M41" s="14" t="n">
        <v>61.2</v>
      </c>
      <c r="N41" s="14" t="n">
        <v>17.7</v>
      </c>
      <c r="O41" s="14" t="n">
        <v>30.6</v>
      </c>
      <c r="P41" s="14" t="n">
        <v>9.4</v>
      </c>
      <c r="Q41" s="14" t="n">
        <v>71.7</v>
      </c>
    </row>
    <row r="42" customFormat="false" ht="12.8" hidden="false" customHeight="false" outlineLevel="0" collapsed="false">
      <c r="A42" s="1" t="n">
        <v>73.8</v>
      </c>
      <c r="B42" s="1" t="n">
        <v>24</v>
      </c>
      <c r="C42" s="1" t="n">
        <v>33.6</v>
      </c>
      <c r="D42" s="1" t="n">
        <v>11.5</v>
      </c>
      <c r="E42" s="1" t="n">
        <v>81.2</v>
      </c>
      <c r="F42" s="17" t="n">
        <v>9.81039769951736</v>
      </c>
      <c r="G42" s="1" t="n">
        <v>10.03</v>
      </c>
      <c r="H42" s="17" t="n">
        <v>0.219602300482636</v>
      </c>
      <c r="J42" s="12" t="n">
        <v>3</v>
      </c>
      <c r="K42" s="13" t="s">
        <v>103</v>
      </c>
      <c r="L42" s="13" t="n">
        <v>10.22</v>
      </c>
      <c r="M42" s="14" t="n">
        <v>51.5</v>
      </c>
      <c r="N42" s="14" t="n">
        <v>17.3</v>
      </c>
      <c r="O42" s="14" t="n">
        <v>33</v>
      </c>
      <c r="P42" s="14" t="n">
        <v>13.5</v>
      </c>
      <c r="Q42" s="14" t="n">
        <v>78.6</v>
      </c>
    </row>
    <row r="43" customFormat="false" ht="12.8" hidden="false" customHeight="false" outlineLevel="0" collapsed="false">
      <c r="A43" s="1" t="n">
        <v>55</v>
      </c>
      <c r="B43" s="1" t="n">
        <v>23.9</v>
      </c>
      <c r="C43" s="1" t="n">
        <v>33.9</v>
      </c>
      <c r="D43" s="1" t="n">
        <v>10.6</v>
      </c>
      <c r="E43" s="1" t="n">
        <v>79.5</v>
      </c>
      <c r="F43" s="17" t="n">
        <v>10.0980563916471</v>
      </c>
      <c r="G43" s="1" t="n">
        <v>9.64</v>
      </c>
      <c r="H43" s="17" t="n">
        <v>-0.45805639164713</v>
      </c>
      <c r="J43" s="12" t="n">
        <v>3</v>
      </c>
      <c r="K43" s="13" t="s">
        <v>104</v>
      </c>
      <c r="L43" s="13" t="n">
        <v>10.68</v>
      </c>
      <c r="M43" s="14" t="n">
        <v>53.4</v>
      </c>
      <c r="N43" s="14" t="n">
        <v>19.9</v>
      </c>
      <c r="O43" s="14" t="n">
        <v>35.3</v>
      </c>
      <c r="P43" s="14" t="n">
        <v>13.2</v>
      </c>
      <c r="Q43" s="14" t="n">
        <v>80.4</v>
      </c>
    </row>
    <row r="44" customFormat="false" ht="12.8" hidden="false" customHeight="false" outlineLevel="0" collapsed="false">
      <c r="A44" s="1" t="n">
        <v>52.8</v>
      </c>
      <c r="B44" s="1" t="n">
        <v>20.2</v>
      </c>
      <c r="C44" s="1" t="n">
        <v>32.4</v>
      </c>
      <c r="D44" s="1" t="n">
        <v>11.4</v>
      </c>
      <c r="E44" s="1" t="n">
        <v>76.6</v>
      </c>
      <c r="F44" s="17" t="n">
        <v>10.0605302458176</v>
      </c>
      <c r="G44" s="1" t="n">
        <v>9.74</v>
      </c>
      <c r="H44" s="17" t="n">
        <v>-0.320530245817622</v>
      </c>
      <c r="J44" s="12" t="n">
        <v>3</v>
      </c>
      <c r="K44" s="13" t="s">
        <v>105</v>
      </c>
      <c r="L44" s="13" t="n">
        <v>10.26</v>
      </c>
      <c r="M44" s="14" t="n">
        <v>55.3</v>
      </c>
      <c r="N44" s="14" t="n">
        <v>22.5</v>
      </c>
      <c r="O44" s="14" t="n">
        <v>33.3</v>
      </c>
      <c r="P44" s="14" t="n">
        <v>10.7</v>
      </c>
      <c r="Q44" s="14" t="n">
        <v>79.7</v>
      </c>
    </row>
    <row r="45" customFormat="false" ht="12.8" hidden="false" customHeight="false" outlineLevel="0" collapsed="false">
      <c r="A45" s="1" t="n">
        <v>53.3</v>
      </c>
      <c r="B45" s="1" t="n">
        <v>22.7</v>
      </c>
      <c r="C45" s="1" t="n">
        <v>33.9</v>
      </c>
      <c r="D45" s="1" t="n">
        <v>10</v>
      </c>
      <c r="E45" s="1" t="n">
        <v>76.7</v>
      </c>
      <c r="F45" s="17" t="n">
        <v>10.1143630708999</v>
      </c>
      <c r="G45" s="1" t="n">
        <v>9.87</v>
      </c>
      <c r="H45" s="17" t="n">
        <v>-0.244363070899858</v>
      </c>
      <c r="J45" s="12" t="n">
        <v>3</v>
      </c>
      <c r="K45" s="13" t="s">
        <v>106</v>
      </c>
      <c r="L45" s="13" t="n">
        <v>10.29</v>
      </c>
      <c r="M45" s="14" t="n">
        <v>58.5</v>
      </c>
      <c r="N45" s="14" t="n">
        <v>30.1</v>
      </c>
      <c r="O45" s="14" t="n">
        <v>33.2</v>
      </c>
      <c r="P45" s="14" t="n">
        <v>11.1</v>
      </c>
      <c r="Q45" s="14" t="n">
        <v>79.6</v>
      </c>
    </row>
    <row r="46" customFormat="false" ht="12.8" hidden="false" customHeight="false" outlineLevel="0" collapsed="false">
      <c r="A46" s="1" t="n">
        <v>51.2</v>
      </c>
      <c r="B46" s="1" t="n">
        <v>13.5</v>
      </c>
      <c r="C46" s="1" t="n">
        <v>33</v>
      </c>
      <c r="D46" s="1" t="n">
        <v>10.3</v>
      </c>
      <c r="E46" s="1" t="n">
        <v>77.8</v>
      </c>
      <c r="F46" s="17" t="n">
        <v>10.0448249554406</v>
      </c>
      <c r="G46" s="1" t="n">
        <v>9.66</v>
      </c>
      <c r="H46" s="17" t="n">
        <v>-0.384824955440589</v>
      </c>
      <c r="J46" s="12" t="n">
        <v>3</v>
      </c>
      <c r="K46" s="13" t="s">
        <v>107</v>
      </c>
      <c r="L46" s="13" t="n">
        <v>10.3</v>
      </c>
      <c r="M46" s="14" t="n">
        <v>63.8</v>
      </c>
      <c r="N46" s="14" t="n">
        <v>26.5</v>
      </c>
      <c r="O46" s="14" t="n">
        <v>33.7</v>
      </c>
      <c r="P46" s="14" t="n">
        <v>8.5</v>
      </c>
      <c r="Q46" s="14" t="n">
        <v>76.9</v>
      </c>
    </row>
    <row r="47" customFormat="false" ht="12.8" hidden="false" customHeight="false" outlineLevel="0" collapsed="false">
      <c r="A47" s="1" t="n">
        <v>47</v>
      </c>
      <c r="B47" s="1" t="n">
        <v>8.4</v>
      </c>
      <c r="C47" s="1" t="n">
        <v>31.7</v>
      </c>
      <c r="D47" s="1" t="n">
        <v>10.5</v>
      </c>
      <c r="E47" s="1" t="n">
        <v>77.6</v>
      </c>
      <c r="F47" s="17" t="n">
        <v>10.0314972872383</v>
      </c>
      <c r="G47" s="1" t="n">
        <v>9.8</v>
      </c>
      <c r="H47" s="17" t="n">
        <v>-0.231497287238293</v>
      </c>
      <c r="J47" s="12" t="n">
        <v>3</v>
      </c>
      <c r="K47" s="13" t="s">
        <v>108</v>
      </c>
      <c r="L47" s="13" t="n">
        <v>9.83</v>
      </c>
      <c r="M47" s="14" t="n">
        <v>51.9</v>
      </c>
      <c r="N47" s="14" t="n">
        <v>21.7</v>
      </c>
      <c r="O47" s="14" t="n">
        <v>34.2</v>
      </c>
      <c r="P47" s="14" t="n">
        <v>11.3</v>
      </c>
      <c r="Q47" s="14" t="n">
        <v>80.5</v>
      </c>
    </row>
    <row r="48" customFormat="false" ht="12.8" hidden="false" customHeight="false" outlineLevel="0" collapsed="false">
      <c r="A48" s="1" t="n">
        <v>43.8</v>
      </c>
      <c r="B48" s="1" t="n">
        <v>12.9</v>
      </c>
      <c r="C48" s="1" t="n">
        <v>32.4</v>
      </c>
      <c r="D48" s="1" t="n">
        <v>10.2</v>
      </c>
      <c r="E48" s="1" t="n">
        <v>78</v>
      </c>
      <c r="F48" s="17" t="n">
        <v>10.1350637392925</v>
      </c>
      <c r="G48" s="1" t="n">
        <v>9.79</v>
      </c>
      <c r="H48" s="17" t="n">
        <v>-0.345063739292463</v>
      </c>
      <c r="J48" s="12" t="n">
        <v>3</v>
      </c>
      <c r="K48" s="13" t="s">
        <v>109</v>
      </c>
      <c r="L48" s="13" t="n">
        <v>10.36</v>
      </c>
      <c r="M48" s="14" t="n">
        <v>50.5</v>
      </c>
      <c r="N48" s="14" t="n">
        <v>16.9</v>
      </c>
      <c r="O48" s="14" t="n">
        <v>33.1</v>
      </c>
      <c r="P48" s="14" t="n">
        <v>10.5</v>
      </c>
      <c r="Q48" s="14" t="n">
        <v>83</v>
      </c>
    </row>
    <row r="49" customFormat="false" ht="12.8" hidden="false" customHeight="false" outlineLevel="0" collapsed="false">
      <c r="A49" s="1" t="n">
        <v>50.5</v>
      </c>
      <c r="B49" s="1" t="n">
        <v>7.5</v>
      </c>
      <c r="C49" s="1" t="n">
        <v>32.9</v>
      </c>
      <c r="D49" s="1" t="n">
        <v>9.9</v>
      </c>
      <c r="E49" s="1" t="n">
        <v>76.3</v>
      </c>
      <c r="F49" s="17" t="n">
        <v>10.0027757932705</v>
      </c>
      <c r="G49" s="1" t="n">
        <v>9.84</v>
      </c>
      <c r="H49" s="17" t="n">
        <v>-0.162775793270464</v>
      </c>
      <c r="J49" s="12" t="n">
        <v>3</v>
      </c>
      <c r="K49" s="13" t="s">
        <v>110</v>
      </c>
      <c r="L49" s="13" t="n">
        <v>9.95</v>
      </c>
      <c r="M49" s="14" t="n">
        <v>55.8</v>
      </c>
      <c r="N49" s="14" t="n">
        <v>30.8</v>
      </c>
      <c r="O49" s="14" t="n">
        <v>33.2</v>
      </c>
      <c r="P49" s="14" t="n">
        <v>10.3</v>
      </c>
      <c r="Q49" s="14" t="n">
        <v>87.6</v>
      </c>
    </row>
    <row r="50" customFormat="false" ht="12.8" hidden="false" customHeight="false" outlineLevel="0" collapsed="false">
      <c r="A50" s="1" t="n">
        <v>46.1</v>
      </c>
      <c r="B50" s="1" t="n">
        <v>8.9</v>
      </c>
      <c r="C50" s="1" t="n">
        <v>32.1</v>
      </c>
      <c r="D50" s="1" t="n">
        <v>10.4</v>
      </c>
      <c r="E50" s="1" t="n">
        <v>76.8</v>
      </c>
      <c r="F50" s="17" t="n">
        <v>10.059154165128</v>
      </c>
      <c r="G50" s="1" t="n">
        <v>9.99</v>
      </c>
      <c r="H50" s="17" t="n">
        <v>-0.0691541651279657</v>
      </c>
      <c r="J50" s="12" t="n">
        <v>4</v>
      </c>
      <c r="K50" s="13" t="s">
        <v>42</v>
      </c>
      <c r="L50" s="13" t="n">
        <v>10.39</v>
      </c>
      <c r="M50" s="13" t="n">
        <v>45</v>
      </c>
      <c r="N50" s="13" t="n">
        <v>9.8</v>
      </c>
      <c r="O50" s="13" t="n">
        <v>31.7</v>
      </c>
      <c r="P50" s="13" t="n">
        <v>9.2</v>
      </c>
      <c r="Q50" s="13" t="n">
        <v>81.5</v>
      </c>
    </row>
    <row r="51" customFormat="false" ht="12.8" hidden="false" customHeight="false" outlineLevel="0" collapsed="false">
      <c r="A51" s="1" t="n">
        <v>66.4</v>
      </c>
      <c r="B51" s="1" t="n">
        <v>17.7</v>
      </c>
      <c r="C51" s="1" t="n">
        <v>33.4</v>
      </c>
      <c r="D51" s="1" t="n">
        <v>10.6</v>
      </c>
      <c r="E51" s="1" t="n">
        <v>79.3</v>
      </c>
      <c r="F51" s="17" t="n">
        <v>9.86392572421853</v>
      </c>
      <c r="G51" s="1" t="n">
        <v>9.5</v>
      </c>
      <c r="H51" s="17" t="n">
        <v>-0.363925724218527</v>
      </c>
      <c r="J51" s="18" t="n">
        <v>4</v>
      </c>
      <c r="K51" s="13" t="s">
        <v>45</v>
      </c>
      <c r="L51" s="13" t="n">
        <v>10.03</v>
      </c>
      <c r="M51" s="13" t="n">
        <v>55.8</v>
      </c>
      <c r="N51" s="13" t="n">
        <v>17.6</v>
      </c>
      <c r="O51" s="13" t="n">
        <v>31.4</v>
      </c>
      <c r="P51" s="13" t="n">
        <v>9.2</v>
      </c>
      <c r="Q51" s="13" t="n">
        <v>82.1</v>
      </c>
    </row>
    <row r="52" customFormat="false" ht="12.8" hidden="false" customHeight="false" outlineLevel="0" collapsed="false">
      <c r="A52" s="1" t="n">
        <v>66.3</v>
      </c>
      <c r="B52" s="1" t="n">
        <v>29.3</v>
      </c>
      <c r="C52" s="1" t="n">
        <v>31.4</v>
      </c>
      <c r="D52" s="1" t="n">
        <v>14.4</v>
      </c>
      <c r="E52" s="1" t="n">
        <v>78.8</v>
      </c>
      <c r="F52" s="17" t="n">
        <v>9.90590756740374</v>
      </c>
      <c r="G52" s="1" t="n">
        <v>9.59</v>
      </c>
      <c r="H52" s="17" t="n">
        <v>-0.315907567403738</v>
      </c>
      <c r="J52" s="12" t="n">
        <v>4</v>
      </c>
      <c r="K52" s="13" t="s">
        <v>46</v>
      </c>
      <c r="L52" s="13" t="n">
        <v>9.91</v>
      </c>
      <c r="M52" s="13" t="n">
        <v>55.7</v>
      </c>
      <c r="N52" s="13" t="n">
        <v>14.5</v>
      </c>
      <c r="O52" s="13" t="n">
        <v>31.4</v>
      </c>
      <c r="P52" s="13" t="n">
        <v>9</v>
      </c>
      <c r="Q52" s="13" t="n">
        <v>85</v>
      </c>
    </row>
    <row r="53" customFormat="false" ht="12.8" hidden="false" customHeight="false" outlineLevel="0" collapsed="false">
      <c r="A53" s="1" t="n">
        <v>63.7</v>
      </c>
      <c r="B53" s="1" t="n">
        <v>21.1</v>
      </c>
      <c r="C53" s="1" t="n">
        <v>31.5</v>
      </c>
      <c r="D53" s="1" t="n">
        <v>12.1</v>
      </c>
      <c r="E53" s="1" t="n">
        <v>77.8</v>
      </c>
      <c r="F53" s="17" t="n">
        <v>9.88258553707909</v>
      </c>
      <c r="G53" s="1" t="n">
        <v>10.11</v>
      </c>
      <c r="H53" s="17" t="n">
        <v>0.227414462920912</v>
      </c>
      <c r="J53" s="18" t="n">
        <v>4</v>
      </c>
      <c r="K53" s="13" t="s">
        <v>48</v>
      </c>
      <c r="L53" s="13" t="n">
        <v>10.18</v>
      </c>
      <c r="M53" s="13" t="n">
        <v>58.5</v>
      </c>
      <c r="N53" s="13" t="n">
        <v>22.9</v>
      </c>
      <c r="O53" s="13" t="n">
        <v>31.6</v>
      </c>
      <c r="P53" s="13" t="n">
        <v>11.6</v>
      </c>
      <c r="Q53" s="13" t="n">
        <v>83.1</v>
      </c>
    </row>
    <row r="54" customFormat="false" ht="12.8" hidden="false" customHeight="false" outlineLevel="0" collapsed="false">
      <c r="A54" s="1" t="n">
        <v>61.2</v>
      </c>
      <c r="B54" s="1" t="n">
        <v>19.6</v>
      </c>
      <c r="C54" s="1" t="n">
        <v>33.7</v>
      </c>
      <c r="D54" s="1" t="n">
        <v>17.3</v>
      </c>
      <c r="E54" s="1" t="n">
        <v>77.5</v>
      </c>
      <c r="F54" s="17" t="n">
        <v>9.94979543917594</v>
      </c>
      <c r="G54" s="1" t="n">
        <v>9.98</v>
      </c>
      <c r="H54" s="17" t="n">
        <v>0.0302045608240604</v>
      </c>
      <c r="J54" s="12" t="n">
        <v>4</v>
      </c>
      <c r="K54" s="13" t="s">
        <v>49</v>
      </c>
      <c r="L54" s="13" t="n">
        <v>10.27</v>
      </c>
      <c r="M54" s="13" t="n">
        <v>55.9</v>
      </c>
      <c r="N54" s="13" t="n">
        <v>24.4</v>
      </c>
      <c r="O54" s="13" t="n">
        <v>33.2</v>
      </c>
      <c r="P54" s="13" t="n">
        <v>9</v>
      </c>
      <c r="Q54" s="13" t="n">
        <v>81.7</v>
      </c>
    </row>
    <row r="55" customFormat="false" ht="12.8" hidden="false" customHeight="false" outlineLevel="0" collapsed="false">
      <c r="A55" s="1" t="n">
        <v>65.1</v>
      </c>
      <c r="B55" s="1" t="n">
        <v>18.9</v>
      </c>
      <c r="C55" s="1" t="n">
        <v>31.7</v>
      </c>
      <c r="D55" s="1" t="n">
        <v>9.2</v>
      </c>
      <c r="E55" s="1" t="n">
        <v>74.8</v>
      </c>
      <c r="F55" s="17" t="n">
        <v>9.85438691463389</v>
      </c>
      <c r="G55" s="1" t="n">
        <v>9.79</v>
      </c>
      <c r="H55" s="17" t="n">
        <v>-0.0643869146338911</v>
      </c>
      <c r="J55" s="18" t="n">
        <v>4</v>
      </c>
      <c r="K55" s="13" t="s">
        <v>50</v>
      </c>
      <c r="L55" s="13" t="n">
        <v>9.99</v>
      </c>
      <c r="M55" s="13" t="n">
        <v>73</v>
      </c>
      <c r="N55" s="13" t="n">
        <v>22.7</v>
      </c>
      <c r="O55" s="13" t="n">
        <v>33.3</v>
      </c>
      <c r="P55" s="13" t="n">
        <v>10.8</v>
      </c>
      <c r="Q55" s="13" t="n">
        <v>83.3</v>
      </c>
    </row>
    <row r="56" customFormat="false" ht="12.8" hidden="false" customHeight="false" outlineLevel="0" collapsed="false">
      <c r="A56" s="1" t="n">
        <v>58.7</v>
      </c>
      <c r="B56" s="1" t="n">
        <v>22.5</v>
      </c>
      <c r="C56" s="1" t="n">
        <v>33.1</v>
      </c>
      <c r="D56" s="1" t="n">
        <v>9.9</v>
      </c>
      <c r="E56" s="1" t="n">
        <v>79.1</v>
      </c>
      <c r="F56" s="17" t="n">
        <v>10.013053257714</v>
      </c>
      <c r="G56" s="1" t="n">
        <v>9.71</v>
      </c>
      <c r="H56" s="17" t="n">
        <v>-0.30305325771403</v>
      </c>
      <c r="J56" s="12" t="n">
        <v>4</v>
      </c>
      <c r="K56" s="13" t="s">
        <v>51</v>
      </c>
      <c r="L56" s="13" t="n">
        <v>9.65</v>
      </c>
      <c r="M56" s="13" t="n">
        <v>53.1</v>
      </c>
      <c r="N56" s="13" t="n">
        <v>24.9</v>
      </c>
      <c r="O56" s="13" t="n">
        <v>33.5</v>
      </c>
      <c r="P56" s="13" t="n">
        <v>10.3</v>
      </c>
      <c r="Q56" s="13" t="n">
        <v>81.8</v>
      </c>
    </row>
    <row r="57" customFormat="false" ht="12.8" hidden="false" customHeight="false" outlineLevel="0" collapsed="false">
      <c r="A57" s="1" t="n">
        <v>57</v>
      </c>
      <c r="B57" s="1" t="n">
        <v>27.4</v>
      </c>
      <c r="C57" s="1" t="n">
        <v>33.6</v>
      </c>
      <c r="D57" s="1" t="n">
        <v>9.6</v>
      </c>
      <c r="E57" s="1" t="n">
        <v>75.5</v>
      </c>
      <c r="F57" s="17" t="n">
        <v>10.0926550957829</v>
      </c>
      <c r="G57" s="1" t="n">
        <v>9.83</v>
      </c>
      <c r="H57" s="17" t="n">
        <v>-0.262655095782888</v>
      </c>
      <c r="J57" s="18" t="n">
        <v>4</v>
      </c>
      <c r="K57" s="13" t="s">
        <v>52</v>
      </c>
      <c r="L57" s="13" t="n">
        <v>9.77</v>
      </c>
      <c r="M57" s="13" t="n">
        <v>52.3</v>
      </c>
      <c r="N57" s="13" t="n">
        <v>13.9</v>
      </c>
      <c r="O57" s="13" t="n">
        <v>31.7</v>
      </c>
      <c r="P57" s="13" t="n">
        <v>12</v>
      </c>
      <c r="Q57" s="13" t="n">
        <v>78.8</v>
      </c>
    </row>
    <row r="58" customFormat="false" ht="12.8" hidden="false" customHeight="false" outlineLevel="0" collapsed="false">
      <c r="A58" s="1" t="n">
        <v>55.1</v>
      </c>
      <c r="B58" s="1" t="n">
        <v>14.7</v>
      </c>
      <c r="C58" s="1" t="n">
        <v>33.7</v>
      </c>
      <c r="D58" s="1" t="n">
        <v>10.3</v>
      </c>
      <c r="E58" s="1" t="n">
        <v>78.2</v>
      </c>
      <c r="F58" s="17" t="n">
        <v>10.014350740556</v>
      </c>
      <c r="G58" s="1" t="n">
        <v>9.72</v>
      </c>
      <c r="H58" s="17" t="n">
        <v>-0.294350740556038</v>
      </c>
      <c r="J58" s="12" t="n">
        <v>4</v>
      </c>
      <c r="K58" s="13" t="s">
        <v>53</v>
      </c>
      <c r="L58" s="13" t="n">
        <v>9.9</v>
      </c>
      <c r="M58" s="13" t="n">
        <v>53.4</v>
      </c>
      <c r="N58" s="13" t="n">
        <v>23.5</v>
      </c>
      <c r="O58" s="13" t="n">
        <v>32.4</v>
      </c>
      <c r="P58" s="13" t="n">
        <v>10.5</v>
      </c>
      <c r="Q58" s="13" t="n">
        <v>79.5</v>
      </c>
    </row>
    <row r="59" customFormat="false" ht="12.8" hidden="false" customHeight="false" outlineLevel="0" collapsed="false">
      <c r="A59" s="1" t="n">
        <v>50.3</v>
      </c>
      <c r="B59" s="1" t="n">
        <v>11.8</v>
      </c>
      <c r="C59" s="1" t="n">
        <v>33.3</v>
      </c>
      <c r="D59" s="1" t="n">
        <v>10.2</v>
      </c>
      <c r="E59" s="1" t="n">
        <v>76.2</v>
      </c>
      <c r="F59" s="17" t="n">
        <v>10.0513577551634</v>
      </c>
      <c r="G59" s="1" t="n">
        <v>9.91</v>
      </c>
      <c r="H59" s="17" t="n">
        <v>-0.141357755163405</v>
      </c>
      <c r="J59" s="18" t="n">
        <v>4</v>
      </c>
      <c r="K59" s="13" t="s">
        <v>54</v>
      </c>
      <c r="L59" s="13" t="n">
        <v>9.73</v>
      </c>
      <c r="M59" s="13" t="n">
        <v>51.2</v>
      </c>
      <c r="N59" s="13" t="n">
        <v>10.6</v>
      </c>
      <c r="O59" s="13" t="n">
        <v>31.7</v>
      </c>
      <c r="P59" s="13" t="n">
        <v>9.3</v>
      </c>
      <c r="Q59" s="13" t="n">
        <v>80.3</v>
      </c>
    </row>
    <row r="60" customFormat="false" ht="12.8" hidden="false" customHeight="false" outlineLevel="0" collapsed="false">
      <c r="A60" s="1" t="n">
        <v>58.1</v>
      </c>
      <c r="B60" s="1" t="n">
        <v>15.2</v>
      </c>
      <c r="C60" s="1" t="n">
        <v>32.8</v>
      </c>
      <c r="D60" s="1" t="n">
        <v>12.7</v>
      </c>
      <c r="E60" s="1" t="n">
        <v>76.4</v>
      </c>
      <c r="F60" s="17" t="n">
        <v>9.94647855627685</v>
      </c>
      <c r="G60" s="1" t="n">
        <v>9.81</v>
      </c>
      <c r="H60" s="17" t="n">
        <v>-0.136478556276852</v>
      </c>
      <c r="J60" s="12" t="n">
        <v>4</v>
      </c>
      <c r="K60" s="13" t="s">
        <v>56</v>
      </c>
      <c r="L60" s="13" t="n">
        <v>9.71</v>
      </c>
      <c r="M60" s="13" t="n">
        <v>43</v>
      </c>
      <c r="N60" s="13" t="n">
        <v>6.6</v>
      </c>
      <c r="O60" s="13" t="n">
        <v>31.8</v>
      </c>
      <c r="P60" s="13" t="n">
        <v>8.7</v>
      </c>
      <c r="Q60" s="13" t="n">
        <v>79.8</v>
      </c>
    </row>
    <row r="61" customFormat="false" ht="12.8" hidden="false" customHeight="false" outlineLevel="0" collapsed="false">
      <c r="A61" s="1" t="n">
        <v>57.8</v>
      </c>
      <c r="B61" s="1" t="n">
        <v>23.5</v>
      </c>
      <c r="C61" s="1" t="n">
        <v>35.5</v>
      </c>
      <c r="D61" s="1" t="n">
        <v>10.7</v>
      </c>
      <c r="E61" s="1" t="n">
        <v>78.3</v>
      </c>
      <c r="F61" s="17" t="n">
        <v>10.0922899091676</v>
      </c>
      <c r="G61" s="1" t="n">
        <v>9.78</v>
      </c>
      <c r="H61" s="17" t="n">
        <v>-0.312289909167609</v>
      </c>
      <c r="J61" s="18" t="n">
        <v>4</v>
      </c>
      <c r="K61" s="13" t="s">
        <v>58</v>
      </c>
      <c r="L61" s="13" t="n">
        <v>9.76</v>
      </c>
      <c r="M61" s="13" t="n">
        <v>40</v>
      </c>
      <c r="N61" s="13" t="n">
        <v>12.6</v>
      </c>
      <c r="O61" s="13" t="n">
        <v>31.4</v>
      </c>
      <c r="P61" s="13" t="n">
        <v>9.7</v>
      </c>
      <c r="Q61" s="13" t="n">
        <v>80.1</v>
      </c>
    </row>
    <row r="62" customFormat="false" ht="12.8" hidden="false" customHeight="false" outlineLevel="0" collapsed="false">
      <c r="A62" s="1" t="n">
        <v>55.6</v>
      </c>
      <c r="B62" s="1" t="n">
        <v>15.6</v>
      </c>
      <c r="C62" s="1" t="n">
        <v>34.3</v>
      </c>
      <c r="D62" s="1" t="n">
        <v>10.7</v>
      </c>
      <c r="E62" s="1" t="n">
        <v>74</v>
      </c>
      <c r="F62" s="17" t="n">
        <v>10.0283130741096</v>
      </c>
      <c r="G62" s="1" t="n">
        <v>10.06</v>
      </c>
      <c r="H62" s="17" t="n">
        <v>0.0316869258904013</v>
      </c>
      <c r="J62" s="12" t="n">
        <v>4</v>
      </c>
      <c r="K62" s="13" t="s">
        <v>60</v>
      </c>
      <c r="L62" s="13" t="n">
        <v>9.81</v>
      </c>
      <c r="M62" s="13" t="n">
        <v>47.2</v>
      </c>
      <c r="N62" s="13" t="n">
        <v>7.7</v>
      </c>
      <c r="O62" s="13" t="n">
        <v>32.4</v>
      </c>
      <c r="P62" s="13" t="n">
        <v>9.2</v>
      </c>
      <c r="Q62" s="13" t="n">
        <v>78.4</v>
      </c>
    </row>
    <row r="63" customFormat="false" ht="12.8" hidden="false" customHeight="false" outlineLevel="0" collapsed="false">
      <c r="A63" s="1" t="n">
        <v>45.2</v>
      </c>
      <c r="B63" s="1" t="n">
        <v>12.5</v>
      </c>
      <c r="C63" s="1" t="n">
        <v>33.5</v>
      </c>
      <c r="D63" s="1" t="n">
        <v>10.9</v>
      </c>
      <c r="E63" s="1" t="n">
        <v>74.3</v>
      </c>
      <c r="F63" s="17" t="n">
        <v>10.1363420346063</v>
      </c>
      <c r="G63" s="1" t="n">
        <v>10.29</v>
      </c>
      <c r="H63" s="17" t="n">
        <v>0.153657965393689</v>
      </c>
      <c r="J63" s="18" t="n">
        <v>4</v>
      </c>
      <c r="K63" s="13" t="s">
        <v>62</v>
      </c>
      <c r="L63" s="13" t="n">
        <v>9.85</v>
      </c>
      <c r="M63" s="13" t="n">
        <v>41.7</v>
      </c>
      <c r="N63" s="13" t="n">
        <v>8.9</v>
      </c>
      <c r="O63" s="13" t="n">
        <v>31.7</v>
      </c>
      <c r="P63" s="13" t="n">
        <v>10.2</v>
      </c>
      <c r="Q63" s="13" t="n">
        <v>79</v>
      </c>
    </row>
    <row r="64" customFormat="false" ht="12.8" hidden="false" customHeight="false" outlineLevel="0" collapsed="false">
      <c r="A64" s="1" t="n">
        <v>50.9</v>
      </c>
      <c r="B64" s="1" t="n">
        <v>14.3</v>
      </c>
      <c r="C64" s="1" t="n">
        <v>33.2</v>
      </c>
      <c r="D64" s="1" t="n">
        <v>10.9</v>
      </c>
      <c r="E64" s="1" t="n">
        <v>76.9</v>
      </c>
      <c r="F64" s="17" t="n">
        <v>10.0596318149269</v>
      </c>
      <c r="G64" s="1" t="n">
        <v>10.24</v>
      </c>
      <c r="H64" s="17" t="n">
        <v>0.180368185073087</v>
      </c>
      <c r="J64" s="12" t="n">
        <v>4</v>
      </c>
      <c r="K64" s="13" t="s">
        <v>64</v>
      </c>
      <c r="L64" s="13" t="n">
        <v>9.51</v>
      </c>
      <c r="M64" s="13" t="n">
        <v>65.2</v>
      </c>
      <c r="N64" s="13" t="n">
        <v>17.5</v>
      </c>
      <c r="O64" s="13" t="n">
        <v>33.1</v>
      </c>
      <c r="P64" s="13" t="n">
        <v>11.1</v>
      </c>
      <c r="Q64" s="13" t="n">
        <v>81.5</v>
      </c>
    </row>
    <row r="65" customFormat="false" ht="12.8" hidden="false" customHeight="false" outlineLevel="0" collapsed="false">
      <c r="A65" s="1" t="n">
        <v>49.6</v>
      </c>
      <c r="B65" s="1" t="n">
        <v>23.5</v>
      </c>
      <c r="C65" s="1" t="n">
        <v>35.4</v>
      </c>
      <c r="D65" s="1" t="n">
        <v>10.8</v>
      </c>
      <c r="E65" s="1" t="n">
        <v>71.7</v>
      </c>
      <c r="F65" s="17" t="n">
        <v>10.2111371406836</v>
      </c>
      <c r="G65" s="1" t="n">
        <v>10</v>
      </c>
      <c r="H65" s="17" t="n">
        <v>-0.211137140683601</v>
      </c>
      <c r="J65" s="18" t="n">
        <v>4</v>
      </c>
      <c r="K65" s="13" t="s">
        <v>66</v>
      </c>
      <c r="L65" s="13" t="n">
        <v>9.61</v>
      </c>
      <c r="M65" s="13" t="n">
        <v>67.2</v>
      </c>
      <c r="N65" s="13" t="n">
        <v>27.6</v>
      </c>
      <c r="O65" s="13" t="n">
        <v>31.6</v>
      </c>
      <c r="P65" s="13" t="n">
        <v>15.9</v>
      </c>
      <c r="Q65" s="13" t="n">
        <v>80.8</v>
      </c>
    </row>
    <row r="66" customFormat="false" ht="12.8" hidden="false" customHeight="false" outlineLevel="0" collapsed="false">
      <c r="A66" s="1" t="n">
        <v>49.4</v>
      </c>
      <c r="B66" s="1" t="n">
        <v>19.6</v>
      </c>
      <c r="C66" s="1" t="n">
        <v>34</v>
      </c>
      <c r="D66" s="1" t="n">
        <v>12.5</v>
      </c>
      <c r="E66" s="1" t="n">
        <v>72.7</v>
      </c>
      <c r="F66" s="17" t="n">
        <v>10.1428389832783</v>
      </c>
      <c r="G66" s="1" t="n">
        <v>10.11</v>
      </c>
      <c r="H66" s="17" t="n">
        <v>-0.0328389832783245</v>
      </c>
      <c r="J66" s="12" t="n">
        <v>4</v>
      </c>
      <c r="K66" s="13" t="s">
        <v>67</v>
      </c>
      <c r="L66" s="13" t="n">
        <v>9.89</v>
      </c>
      <c r="M66" s="13" t="n">
        <v>61.1</v>
      </c>
      <c r="N66" s="13" t="n">
        <v>15.4</v>
      </c>
      <c r="O66" s="13" t="n">
        <v>31</v>
      </c>
      <c r="P66" s="13" t="n">
        <v>13.1</v>
      </c>
      <c r="Q66" s="13" t="n">
        <v>79.5</v>
      </c>
    </row>
    <row r="67" customFormat="false" ht="12.8" hidden="false" customHeight="false" outlineLevel="0" collapsed="false">
      <c r="A67" s="1" t="n">
        <v>53.1</v>
      </c>
      <c r="B67" s="1" t="n">
        <v>16.1</v>
      </c>
      <c r="C67" s="1" t="n">
        <v>32.8</v>
      </c>
      <c r="D67" s="1" t="n">
        <v>10.4</v>
      </c>
      <c r="E67" s="1" t="n">
        <v>79.1</v>
      </c>
      <c r="F67" s="17" t="n">
        <v>10.0335187061282</v>
      </c>
      <c r="G67" s="1" t="n">
        <v>9.97</v>
      </c>
      <c r="H67" s="17" t="n">
        <v>-0.0635187061282316</v>
      </c>
      <c r="J67" s="18" t="n">
        <v>4</v>
      </c>
      <c r="K67" s="13" t="s">
        <v>69</v>
      </c>
      <c r="L67" s="13" t="n">
        <v>9.96</v>
      </c>
      <c r="M67" s="13" t="n">
        <v>58.3</v>
      </c>
      <c r="N67" s="13" t="n">
        <v>17</v>
      </c>
      <c r="O67" s="13" t="n">
        <v>32.7</v>
      </c>
      <c r="P67" s="13" t="n">
        <v>13.9</v>
      </c>
      <c r="Q67" s="13" t="n">
        <v>79.1</v>
      </c>
    </row>
    <row r="68" customFormat="false" ht="12.8" hidden="false" customHeight="false" outlineLevel="0" collapsed="false">
      <c r="A68" s="1" t="n">
        <v>65.3</v>
      </c>
      <c r="B68" s="1" t="n">
        <v>25.8</v>
      </c>
      <c r="C68" s="1" t="n">
        <v>34.2</v>
      </c>
      <c r="D68" s="1" t="n">
        <v>11.2</v>
      </c>
      <c r="E68" s="1" t="n">
        <v>80.6</v>
      </c>
      <c r="F68" s="17" t="n">
        <v>9.96730469050695</v>
      </c>
      <c r="G68" s="1" t="n">
        <v>10.03</v>
      </c>
      <c r="H68" s="17" t="n">
        <v>0.062695309493046</v>
      </c>
      <c r="J68" s="12" t="n">
        <v>4</v>
      </c>
      <c r="K68" s="13" t="s">
        <v>75</v>
      </c>
      <c r="L68" s="13" t="n">
        <v>9.66</v>
      </c>
      <c r="M68" s="13" t="n">
        <v>62.9</v>
      </c>
      <c r="N68" s="13" t="n">
        <v>16.2</v>
      </c>
      <c r="O68" s="13" t="n">
        <v>31.6</v>
      </c>
      <c r="P68" s="13" t="n">
        <v>10.6</v>
      </c>
      <c r="Q68" s="13" t="n">
        <v>78.9</v>
      </c>
    </row>
    <row r="69" customFormat="false" ht="12.8" hidden="false" customHeight="false" outlineLevel="0" collapsed="false">
      <c r="A69" s="1" t="n">
        <v>56.8</v>
      </c>
      <c r="B69" s="1" t="n">
        <v>31.6</v>
      </c>
      <c r="C69" s="1" t="n">
        <v>32.4</v>
      </c>
      <c r="D69" s="1" t="n">
        <v>11.7</v>
      </c>
      <c r="E69" s="1" t="n">
        <v>76.2</v>
      </c>
      <c r="F69" s="17" t="n">
        <v>10.0969852543934</v>
      </c>
      <c r="G69" s="1" t="n">
        <v>10.18</v>
      </c>
      <c r="H69" s="17" t="n">
        <v>0.0830147456065991</v>
      </c>
      <c r="J69" s="18" t="n">
        <v>4</v>
      </c>
      <c r="K69" s="13" t="s">
        <v>76</v>
      </c>
      <c r="L69" s="13" t="n">
        <v>9.67</v>
      </c>
      <c r="M69" s="13" t="n">
        <v>58.8</v>
      </c>
      <c r="N69" s="13" t="n">
        <v>18.7</v>
      </c>
      <c r="O69" s="13" t="n">
        <v>32.3</v>
      </c>
      <c r="P69" s="13" t="n">
        <v>9.9</v>
      </c>
      <c r="Q69" s="13" t="n">
        <v>81.2</v>
      </c>
    </row>
    <row r="70" customFormat="false" ht="12.8" hidden="false" customHeight="false" outlineLevel="0" collapsed="false">
      <c r="A70" s="1" t="n">
        <v>54.7</v>
      </c>
      <c r="B70" s="1" t="n">
        <v>19.7</v>
      </c>
      <c r="C70" s="1" t="n">
        <v>32.9</v>
      </c>
      <c r="D70" s="1" t="n">
        <v>10.9</v>
      </c>
      <c r="E70" s="1" t="n">
        <v>75.7</v>
      </c>
      <c r="F70" s="17" t="n">
        <v>10.0414841335232</v>
      </c>
      <c r="G70" s="1" t="n">
        <v>10.04</v>
      </c>
      <c r="H70" s="17" t="n">
        <v>-0.0014841335232223</v>
      </c>
      <c r="J70" s="12" t="n">
        <v>4</v>
      </c>
      <c r="K70" s="13" t="s">
        <v>78</v>
      </c>
      <c r="L70" s="13" t="n">
        <v>9.82</v>
      </c>
      <c r="M70" s="13" t="n">
        <v>56.6</v>
      </c>
      <c r="N70" s="13" t="n">
        <v>21.8</v>
      </c>
      <c r="O70" s="13" t="n">
        <v>33.2</v>
      </c>
      <c r="P70" s="13" t="n">
        <v>8.9</v>
      </c>
      <c r="Q70" s="13" t="n">
        <v>77.9</v>
      </c>
    </row>
    <row r="71" customFormat="false" ht="12.8" hidden="false" customHeight="false" outlineLevel="0" collapsed="false">
      <c r="A71" s="1" t="n">
        <v>51.2</v>
      </c>
      <c r="B71" s="1" t="n">
        <v>18.8</v>
      </c>
      <c r="C71" s="1" t="n">
        <v>33.1</v>
      </c>
      <c r="D71" s="1" t="n">
        <v>10.4</v>
      </c>
      <c r="E71" s="1" t="n">
        <v>78.2</v>
      </c>
      <c r="F71" s="17" t="n">
        <v>10.0919639317434</v>
      </c>
      <c r="G71" s="1" t="n">
        <v>10.22</v>
      </c>
      <c r="H71" s="17" t="n">
        <v>0.128036068256558</v>
      </c>
      <c r="J71" s="18" t="n">
        <v>4</v>
      </c>
      <c r="K71" s="13" t="s">
        <v>80</v>
      </c>
      <c r="L71" s="13" t="n">
        <v>9.75</v>
      </c>
      <c r="M71" s="13" t="n">
        <v>54.6</v>
      </c>
      <c r="N71" s="13" t="n">
        <v>15.6</v>
      </c>
      <c r="O71" s="13" t="n">
        <v>33.5</v>
      </c>
      <c r="P71" s="13" t="n">
        <v>10.5</v>
      </c>
      <c r="Q71" s="13" t="n">
        <v>80.4</v>
      </c>
    </row>
    <row r="72" customFormat="false" ht="12.8" hidden="false" customHeight="false" outlineLevel="0" collapsed="false">
      <c r="A72" s="1" t="n">
        <v>54.7</v>
      </c>
      <c r="B72" s="1" t="n">
        <v>24.2</v>
      </c>
      <c r="C72" s="1" t="n">
        <v>34</v>
      </c>
      <c r="D72" s="1" t="n">
        <v>10.4</v>
      </c>
      <c r="E72" s="1" t="n">
        <v>68</v>
      </c>
      <c r="F72" s="17" t="n">
        <v>10.1075468765501</v>
      </c>
      <c r="G72" s="1" t="n">
        <v>10.29</v>
      </c>
      <c r="H72" s="17" t="n">
        <v>0.182453123449932</v>
      </c>
      <c r="J72" s="12" t="n">
        <v>4</v>
      </c>
      <c r="K72" s="13" t="s">
        <v>81</v>
      </c>
      <c r="L72" s="13" t="n">
        <v>9.93</v>
      </c>
      <c r="M72" s="13" t="n">
        <v>49.7</v>
      </c>
      <c r="N72" s="13" t="n">
        <v>11.2</v>
      </c>
      <c r="O72" s="13" t="n">
        <v>31.8</v>
      </c>
      <c r="P72" s="13" t="n">
        <v>9.8</v>
      </c>
      <c r="Q72" s="13" t="n">
        <v>78.3</v>
      </c>
    </row>
    <row r="73" customFormat="false" ht="12.8" hidden="false" customHeight="false" outlineLevel="0" collapsed="false">
      <c r="A73" s="1" t="n">
        <v>52.3</v>
      </c>
      <c r="B73" s="1" t="n">
        <v>36.1</v>
      </c>
      <c r="C73" s="1" t="n">
        <v>32.5</v>
      </c>
      <c r="D73" s="1" t="n">
        <v>11.6</v>
      </c>
      <c r="E73" s="1" t="n">
        <v>73.8</v>
      </c>
      <c r="F73" s="17" t="n">
        <v>10.2045162444865</v>
      </c>
      <c r="G73" s="1" t="n">
        <v>10.28</v>
      </c>
      <c r="H73" s="17" t="n">
        <v>0.0754837555135239</v>
      </c>
      <c r="J73" s="18" t="n">
        <v>4</v>
      </c>
      <c r="K73" s="13" t="s">
        <v>83</v>
      </c>
      <c r="L73" s="13" t="n">
        <v>9.91</v>
      </c>
      <c r="M73" s="13" t="n">
        <v>57.7</v>
      </c>
      <c r="N73" s="13" t="n">
        <v>14.4</v>
      </c>
      <c r="O73" s="13" t="n">
        <v>32.4</v>
      </c>
      <c r="P73" s="13" t="n">
        <v>9.6</v>
      </c>
      <c r="Q73" s="13" t="n">
        <v>78.3</v>
      </c>
    </row>
    <row r="74" customFormat="false" ht="12.8" hidden="false" customHeight="false" outlineLevel="0" collapsed="false">
      <c r="A74" s="1" t="n">
        <v>58.3</v>
      </c>
      <c r="B74" s="1" t="n">
        <v>22.1</v>
      </c>
      <c r="C74" s="1" t="n">
        <v>32.2</v>
      </c>
      <c r="D74" s="1" t="n">
        <v>10.6</v>
      </c>
      <c r="E74" s="1" t="n">
        <v>74.1</v>
      </c>
      <c r="F74" s="17" t="n">
        <v>9.99168456918651</v>
      </c>
      <c r="G74" s="1" t="n">
        <v>10.22</v>
      </c>
      <c r="H74" s="17" t="n">
        <v>0.228315430813488</v>
      </c>
      <c r="J74" s="12" t="n">
        <v>4</v>
      </c>
      <c r="K74" s="13" t="s">
        <v>84</v>
      </c>
      <c r="L74" s="13" t="n">
        <v>9.83</v>
      </c>
      <c r="M74" s="13" t="n">
        <v>57</v>
      </c>
      <c r="N74" s="13" t="n">
        <v>19.8</v>
      </c>
      <c r="O74" s="13" t="n">
        <v>33.9</v>
      </c>
      <c r="P74" s="13" t="n">
        <v>10.9</v>
      </c>
      <c r="Q74" s="13" t="n">
        <v>80.3</v>
      </c>
    </row>
    <row r="75" customFormat="false" ht="12.8" hidden="false" customHeight="false" outlineLevel="0" collapsed="false">
      <c r="A75" s="1" t="n">
        <v>61.2</v>
      </c>
      <c r="B75" s="1" t="n">
        <v>17.7</v>
      </c>
      <c r="C75" s="1" t="n">
        <v>30.6</v>
      </c>
      <c r="D75" s="1" t="n">
        <v>9.4</v>
      </c>
      <c r="E75" s="1" t="n">
        <v>71.7</v>
      </c>
      <c r="F75" s="17" t="n">
        <v>9.87445715880755</v>
      </c>
      <c r="G75" s="1" t="n">
        <v>10.17</v>
      </c>
      <c r="H75" s="17" t="n">
        <v>0.295542841192447</v>
      </c>
      <c r="J75" s="18" t="n">
        <v>4</v>
      </c>
      <c r="K75" s="13" t="s">
        <v>88</v>
      </c>
      <c r="L75" s="13" t="n">
        <v>9.95</v>
      </c>
      <c r="M75" s="13" t="n">
        <v>55.9</v>
      </c>
      <c r="N75" s="13" t="n">
        <v>11.3</v>
      </c>
      <c r="O75" s="13" t="n">
        <v>33.7</v>
      </c>
      <c r="P75" s="13" t="n">
        <v>8.9</v>
      </c>
      <c r="Q75" s="13" t="n">
        <v>76.1</v>
      </c>
    </row>
    <row r="76" customFormat="false" ht="12.8" hidden="false" customHeight="false" outlineLevel="0" collapsed="false">
      <c r="A76" s="1" t="n">
        <v>51.5</v>
      </c>
      <c r="B76" s="1" t="n">
        <v>17.3</v>
      </c>
      <c r="C76" s="1" t="n">
        <v>33</v>
      </c>
      <c r="D76" s="1" t="n">
        <v>13.5</v>
      </c>
      <c r="E76" s="1" t="n">
        <v>78.6</v>
      </c>
      <c r="F76" s="17" t="n">
        <v>10.0655192582858</v>
      </c>
      <c r="G76" s="1" t="n">
        <v>10.22</v>
      </c>
      <c r="H76" s="17" t="n">
        <v>0.154480741714153</v>
      </c>
      <c r="J76" s="12" t="n">
        <v>4</v>
      </c>
      <c r="K76" s="13" t="s">
        <v>89</v>
      </c>
      <c r="L76" s="13" t="n">
        <v>10.22</v>
      </c>
      <c r="M76" s="13" t="n">
        <v>42.8</v>
      </c>
      <c r="N76" s="13" t="n">
        <v>11.7</v>
      </c>
      <c r="O76" s="13" t="n">
        <v>32.9</v>
      </c>
      <c r="P76" s="13" t="n">
        <v>10.2</v>
      </c>
      <c r="Q76" s="13" t="n">
        <v>76.4</v>
      </c>
    </row>
    <row r="77" customFormat="false" ht="12.8" hidden="false" customHeight="false" outlineLevel="0" collapsed="false">
      <c r="A77" s="1" t="n">
        <v>53.4</v>
      </c>
      <c r="B77" s="1" t="n">
        <v>19.9</v>
      </c>
      <c r="C77" s="1" t="n">
        <v>35.3</v>
      </c>
      <c r="D77" s="1" t="n">
        <v>13.2</v>
      </c>
      <c r="E77" s="1" t="n">
        <v>80.4</v>
      </c>
      <c r="F77" s="17" t="n">
        <v>10.116776217462</v>
      </c>
      <c r="G77" s="1" t="n">
        <v>10.68</v>
      </c>
      <c r="H77" s="17" t="n">
        <v>0.563223782537957</v>
      </c>
      <c r="J77" s="18" t="n">
        <v>4</v>
      </c>
      <c r="K77" s="13" t="s">
        <v>90</v>
      </c>
      <c r="L77" s="13" t="n">
        <v>10.13</v>
      </c>
      <c r="M77" s="13" t="n">
        <v>49.1</v>
      </c>
      <c r="N77" s="13" t="n">
        <v>11.5</v>
      </c>
      <c r="O77" s="13" t="n">
        <v>32.6</v>
      </c>
      <c r="P77" s="13" t="n">
        <v>10.6</v>
      </c>
      <c r="Q77" s="13" t="n">
        <v>78.9</v>
      </c>
    </row>
    <row r="78" customFormat="false" ht="12.8" hidden="false" customHeight="false" outlineLevel="0" collapsed="false">
      <c r="A78" s="1" t="n">
        <v>55.3</v>
      </c>
      <c r="B78" s="1" t="n">
        <v>22.5</v>
      </c>
      <c r="C78" s="1" t="n">
        <v>33.3</v>
      </c>
      <c r="D78" s="1" t="n">
        <v>10.7</v>
      </c>
      <c r="E78" s="1" t="n">
        <v>79.7</v>
      </c>
      <c r="F78" s="17" t="n">
        <v>10.0667341123308</v>
      </c>
      <c r="G78" s="1" t="n">
        <v>10.26</v>
      </c>
      <c r="H78" s="17" t="n">
        <v>0.193265887669227</v>
      </c>
      <c r="J78" s="12" t="n">
        <v>4</v>
      </c>
      <c r="K78" s="13" t="s">
        <v>91</v>
      </c>
      <c r="L78" s="13" t="n">
        <v>9.96</v>
      </c>
      <c r="M78" s="13" t="n">
        <v>50.1</v>
      </c>
      <c r="N78" s="13" t="n">
        <v>17.8</v>
      </c>
      <c r="O78" s="13" t="n">
        <v>35.1</v>
      </c>
      <c r="P78" s="13" t="n">
        <v>11.2</v>
      </c>
      <c r="Q78" s="13" t="n">
        <v>74</v>
      </c>
    </row>
    <row r="79" customFormat="false" ht="12.8" hidden="false" customHeight="false" outlineLevel="0" collapsed="false">
      <c r="A79" s="1" t="n">
        <v>58.5</v>
      </c>
      <c r="B79" s="1" t="n">
        <v>30.1</v>
      </c>
      <c r="C79" s="1" t="n">
        <v>33.2</v>
      </c>
      <c r="D79" s="1" t="n">
        <v>11.1</v>
      </c>
      <c r="E79" s="1" t="n">
        <v>79.6</v>
      </c>
      <c r="F79" s="17" t="n">
        <v>10.080215807459</v>
      </c>
      <c r="G79" s="1" t="n">
        <v>10.29</v>
      </c>
      <c r="H79" s="17" t="n">
        <v>0.209784192541003</v>
      </c>
      <c r="J79" s="18" t="n">
        <v>4</v>
      </c>
      <c r="K79" s="13" t="s">
        <v>92</v>
      </c>
      <c r="L79" s="13" t="n">
        <v>10.18</v>
      </c>
      <c r="M79" s="13" t="n">
        <v>49.8</v>
      </c>
      <c r="N79" s="13" t="n">
        <v>13.7</v>
      </c>
      <c r="O79" s="13" t="n">
        <v>34.8</v>
      </c>
      <c r="P79" s="13" t="n">
        <v>11.4</v>
      </c>
      <c r="Q79" s="13" t="n">
        <v>74.8</v>
      </c>
    </row>
    <row r="80" customFormat="false" ht="12.8" hidden="false" customHeight="false" outlineLevel="0" collapsed="false">
      <c r="A80" s="1" t="n">
        <v>63.8</v>
      </c>
      <c r="B80" s="1" t="n">
        <v>26.5</v>
      </c>
      <c r="C80" s="1" t="n">
        <v>33.7</v>
      </c>
      <c r="D80" s="1" t="n">
        <v>8.5</v>
      </c>
      <c r="E80" s="1" t="n">
        <v>76.9</v>
      </c>
      <c r="F80" s="17" t="n">
        <v>9.98899579894636</v>
      </c>
      <c r="G80" s="1" t="n">
        <v>10.3</v>
      </c>
      <c r="H80" s="17" t="n">
        <v>0.311004201053645</v>
      </c>
      <c r="J80" s="12" t="n">
        <v>4</v>
      </c>
      <c r="K80" s="13" t="s">
        <v>93</v>
      </c>
      <c r="L80" s="13" t="n">
        <v>9.94</v>
      </c>
      <c r="M80" s="13" t="n">
        <v>50</v>
      </c>
      <c r="N80" s="13" t="n">
        <v>15.8</v>
      </c>
      <c r="O80" s="13" t="n">
        <v>32.6</v>
      </c>
      <c r="P80" s="13" t="n">
        <v>9.4</v>
      </c>
      <c r="Q80" s="13" t="n">
        <v>81.2</v>
      </c>
    </row>
    <row r="81" customFormat="false" ht="12.8" hidden="false" customHeight="false" outlineLevel="0" collapsed="false">
      <c r="A81" s="1" t="n">
        <v>51.9</v>
      </c>
      <c r="B81" s="1" t="n">
        <v>21.7</v>
      </c>
      <c r="C81" s="1" t="n">
        <v>34.2</v>
      </c>
      <c r="D81" s="1" t="n">
        <v>11.3</v>
      </c>
      <c r="E81" s="1" t="n">
        <v>80.5</v>
      </c>
      <c r="F81" s="17" t="n">
        <v>10.1313547390551</v>
      </c>
      <c r="G81" s="1" t="n">
        <v>9.83</v>
      </c>
      <c r="H81" s="17" t="n">
        <v>-0.301354739055123</v>
      </c>
      <c r="J81" s="18" t="n">
        <v>4</v>
      </c>
      <c r="K81" s="13" t="s">
        <v>94</v>
      </c>
      <c r="L81" s="13" t="n">
        <v>10.35</v>
      </c>
      <c r="M81" s="13" t="n">
        <v>64.8</v>
      </c>
      <c r="N81" s="13" t="n">
        <v>23.2</v>
      </c>
      <c r="O81" s="13" t="n">
        <v>32.8</v>
      </c>
      <c r="P81" s="13" t="n">
        <v>8.6</v>
      </c>
      <c r="Q81" s="13" t="n">
        <v>82.7</v>
      </c>
    </row>
    <row r="82" customFormat="false" ht="12.8" hidden="false" customHeight="false" outlineLevel="0" collapsed="false">
      <c r="A82" s="1" t="n">
        <v>50.5</v>
      </c>
      <c r="B82" s="1" t="n">
        <v>16.9</v>
      </c>
      <c r="C82" s="1" t="n">
        <v>33.1</v>
      </c>
      <c r="D82" s="1" t="n">
        <v>10.5</v>
      </c>
      <c r="E82" s="1" t="n">
        <v>83</v>
      </c>
      <c r="F82" s="17" t="n">
        <v>10.0862220733208</v>
      </c>
      <c r="G82" s="1" t="n">
        <v>10.36</v>
      </c>
      <c r="H82" s="17" t="n">
        <v>0.273777926679161</v>
      </c>
      <c r="J82" s="12" t="n">
        <v>4</v>
      </c>
      <c r="K82" s="13" t="s">
        <v>95</v>
      </c>
      <c r="L82" s="13" t="n">
        <v>10.25</v>
      </c>
      <c r="M82" s="13" t="n">
        <v>56</v>
      </c>
      <c r="N82" s="13" t="n">
        <v>28.8</v>
      </c>
      <c r="O82" s="13" t="n">
        <v>31.6</v>
      </c>
      <c r="P82" s="13" t="n">
        <v>8</v>
      </c>
      <c r="Q82" s="13" t="n">
        <v>78.2</v>
      </c>
    </row>
    <row r="83" customFormat="false" ht="12.8" hidden="false" customHeight="false" outlineLevel="0" collapsed="false">
      <c r="A83" s="1" t="n">
        <v>55.8</v>
      </c>
      <c r="B83" s="1" t="n">
        <v>30.8</v>
      </c>
      <c r="C83" s="1" t="n">
        <v>33.2</v>
      </c>
      <c r="D83" s="1" t="n">
        <v>10.3</v>
      </c>
      <c r="E83" s="1" t="n">
        <v>87.6</v>
      </c>
      <c r="F83" s="17" t="n">
        <v>10.1282894992249</v>
      </c>
      <c r="G83" s="1" t="n">
        <v>9.95</v>
      </c>
      <c r="H83" s="17" t="n">
        <v>-0.178289499224913</v>
      </c>
      <c r="J83" s="18" t="n">
        <v>4</v>
      </c>
      <c r="K83" s="13" t="s">
        <v>97</v>
      </c>
      <c r="L83" s="13" t="n">
        <v>10.09</v>
      </c>
      <c r="M83" s="13" t="n">
        <v>53.3</v>
      </c>
      <c r="N83" s="13" t="n">
        <v>15.4</v>
      </c>
      <c r="O83" s="13" t="n">
        <v>31.8</v>
      </c>
      <c r="P83" s="13" t="n">
        <v>8.6</v>
      </c>
      <c r="Q83" s="13" t="n">
        <v>77.9</v>
      </c>
    </row>
    <row r="84" customFormat="false" ht="12.8" hidden="false" customHeight="false" outlineLevel="0" collapsed="false">
      <c r="A84" s="1" t="n">
        <v>45</v>
      </c>
      <c r="B84" s="1" t="n">
        <v>9.8</v>
      </c>
      <c r="C84" s="1" t="n">
        <v>31.7</v>
      </c>
      <c r="D84" s="1" t="n">
        <v>9.2</v>
      </c>
      <c r="E84" s="1" t="n">
        <v>81.5</v>
      </c>
      <c r="F84" s="17" t="n">
        <v>10.0760588032072</v>
      </c>
      <c r="G84" s="1" t="n">
        <v>10.39</v>
      </c>
      <c r="H84" s="17" t="n">
        <v>0.313941196792754</v>
      </c>
      <c r="J84" s="12" t="n">
        <v>4</v>
      </c>
      <c r="K84" s="13" t="s">
        <v>98</v>
      </c>
      <c r="L84" s="13" t="n">
        <v>10.15</v>
      </c>
      <c r="M84" s="13" t="n">
        <v>53.4</v>
      </c>
      <c r="N84" s="13" t="n">
        <v>17</v>
      </c>
      <c r="O84" s="13" t="n">
        <v>33</v>
      </c>
      <c r="P84" s="13" t="n">
        <v>8.4</v>
      </c>
      <c r="Q84" s="13" t="n">
        <v>81</v>
      </c>
    </row>
    <row r="85" customFormat="false" ht="12.8" hidden="false" customHeight="false" outlineLevel="0" collapsed="false">
      <c r="A85" s="1" t="n">
        <v>55.8</v>
      </c>
      <c r="B85" s="1" t="n">
        <v>17.6</v>
      </c>
      <c r="C85" s="1" t="n">
        <v>31.4</v>
      </c>
      <c r="D85" s="1" t="n">
        <v>9.2</v>
      </c>
      <c r="E85" s="1" t="n">
        <v>82.1</v>
      </c>
      <c r="F85" s="17" t="n">
        <v>9.97434724496486</v>
      </c>
      <c r="G85" s="1" t="n">
        <v>10.03</v>
      </c>
      <c r="H85" s="17" t="n">
        <v>0.0556527550351369</v>
      </c>
      <c r="J85" s="18" t="n">
        <v>4</v>
      </c>
      <c r="K85" s="13" t="s">
        <v>99</v>
      </c>
      <c r="L85" s="13" t="n">
        <v>10.43</v>
      </c>
      <c r="M85" s="13" t="n">
        <v>55.2</v>
      </c>
      <c r="N85" s="13" t="n">
        <v>20.3</v>
      </c>
      <c r="O85" s="13" t="n">
        <v>34.7</v>
      </c>
      <c r="P85" s="13" t="n">
        <v>10</v>
      </c>
      <c r="Q85" s="13" t="n">
        <v>72.1</v>
      </c>
    </row>
    <row r="86" customFormat="false" ht="12.8" hidden="false" customHeight="false" outlineLevel="0" collapsed="false">
      <c r="A86" s="1" t="n">
        <v>55.7</v>
      </c>
      <c r="B86" s="1" t="n">
        <v>14.5</v>
      </c>
      <c r="C86" s="1" t="n">
        <v>31.4</v>
      </c>
      <c r="D86" s="1" t="n">
        <v>9</v>
      </c>
      <c r="E86" s="1" t="n">
        <v>85</v>
      </c>
      <c r="F86" s="17" t="n">
        <v>9.95012752719349</v>
      </c>
      <c r="G86" s="1" t="n">
        <v>9.91</v>
      </c>
      <c r="H86" s="17" t="n">
        <v>-0.0401275271934889</v>
      </c>
      <c r="J86" s="12" t="n">
        <v>4</v>
      </c>
      <c r="K86" s="13" t="s">
        <v>100</v>
      </c>
      <c r="L86" s="13" t="n">
        <v>10.34</v>
      </c>
      <c r="M86" s="13" t="n">
        <v>51.3</v>
      </c>
      <c r="N86" s="13" t="n">
        <v>29.1</v>
      </c>
      <c r="O86" s="13" t="n">
        <v>32.5</v>
      </c>
      <c r="P86" s="13" t="n">
        <v>8.8</v>
      </c>
      <c r="Q86" s="13" t="n">
        <v>76.5</v>
      </c>
    </row>
    <row r="87" customFormat="false" ht="12.8" hidden="false" customHeight="false" outlineLevel="0" collapsed="false">
      <c r="A87" s="1" t="n">
        <v>58.5</v>
      </c>
      <c r="B87" s="1" t="n">
        <v>22.9</v>
      </c>
      <c r="C87" s="1" t="n">
        <v>31.6</v>
      </c>
      <c r="D87" s="1" t="n">
        <v>11.6</v>
      </c>
      <c r="E87" s="1" t="n">
        <v>83.1</v>
      </c>
      <c r="F87" s="17" t="n">
        <v>9.97880711020019</v>
      </c>
      <c r="G87" s="1" t="n">
        <v>10.18</v>
      </c>
      <c r="H87" s="17" t="n">
        <v>0.201192889799808</v>
      </c>
      <c r="J87" s="18" t="n">
        <v>4</v>
      </c>
      <c r="K87" s="13" t="s">
        <v>101</v>
      </c>
      <c r="L87" s="13" t="n">
        <v>10.26</v>
      </c>
      <c r="M87" s="13" t="n">
        <v>56.7</v>
      </c>
      <c r="N87" s="13" t="n">
        <v>16.1</v>
      </c>
      <c r="O87" s="13" t="n">
        <v>32.2</v>
      </c>
      <c r="P87" s="13" t="n">
        <v>8.2</v>
      </c>
      <c r="Q87" s="13" t="n">
        <v>76.4</v>
      </c>
    </row>
    <row r="88" customFormat="false" ht="12.8" hidden="false" customHeight="false" outlineLevel="0" collapsed="false">
      <c r="A88" s="1" t="n">
        <v>55.9</v>
      </c>
      <c r="B88" s="1" t="n">
        <v>24.4</v>
      </c>
      <c r="C88" s="1" t="n">
        <v>33.2</v>
      </c>
      <c r="D88" s="1" t="n">
        <v>9</v>
      </c>
      <c r="E88" s="1" t="n">
        <v>81.7</v>
      </c>
      <c r="F88" s="17" t="n">
        <v>10.0752665488906</v>
      </c>
      <c r="G88" s="1" t="n">
        <v>10.27</v>
      </c>
      <c r="H88" s="17" t="n">
        <v>0.194733451109416</v>
      </c>
      <c r="J88" s="12" t="n">
        <v>4</v>
      </c>
      <c r="K88" s="13" t="s">
        <v>102</v>
      </c>
      <c r="L88" s="13" t="n">
        <v>10.3</v>
      </c>
      <c r="M88" s="13" t="n">
        <v>60.8</v>
      </c>
      <c r="N88" s="13" t="n">
        <v>14.2</v>
      </c>
      <c r="O88" s="13" t="n">
        <v>29.3</v>
      </c>
      <c r="P88" s="13" t="n">
        <v>9.2</v>
      </c>
      <c r="Q88" s="13" t="n">
        <v>74.9</v>
      </c>
    </row>
    <row r="89" customFormat="false" ht="12.8" hidden="false" customHeight="false" outlineLevel="0" collapsed="false">
      <c r="A89" s="1" t="n">
        <v>73</v>
      </c>
      <c r="B89" s="1" t="n">
        <v>22.7</v>
      </c>
      <c r="C89" s="1" t="n">
        <v>33.3</v>
      </c>
      <c r="D89" s="1" t="n">
        <v>10.8</v>
      </c>
      <c r="E89" s="1" t="n">
        <v>83.3</v>
      </c>
      <c r="F89" s="17" t="n">
        <v>9.8054891570111</v>
      </c>
      <c r="G89" s="1" t="n">
        <v>9.99</v>
      </c>
      <c r="H89" s="17" t="n">
        <v>0.184510842988905</v>
      </c>
      <c r="J89" s="18" t="n">
        <v>4</v>
      </c>
      <c r="K89" s="13" t="s">
        <v>103</v>
      </c>
      <c r="L89" s="13" t="n">
        <v>10.21</v>
      </c>
      <c r="M89" s="13" t="n">
        <v>50.1</v>
      </c>
      <c r="N89" s="13" t="n">
        <v>14.3</v>
      </c>
      <c r="O89" s="13" t="n">
        <v>32.9</v>
      </c>
      <c r="P89" s="13" t="n">
        <v>12</v>
      </c>
      <c r="Q89" s="13" t="n">
        <v>80.5</v>
      </c>
    </row>
    <row r="90" customFormat="false" ht="12.8" hidden="false" customHeight="false" outlineLevel="0" collapsed="false">
      <c r="A90" s="1" t="n">
        <v>53.1</v>
      </c>
      <c r="B90" s="1" t="n">
        <v>24.9</v>
      </c>
      <c r="C90" s="1" t="n">
        <v>33.5</v>
      </c>
      <c r="D90" s="1" t="n">
        <v>10.3</v>
      </c>
      <c r="E90" s="1" t="n">
        <v>81.8</v>
      </c>
      <c r="F90" s="17" t="n">
        <v>10.1256171890443</v>
      </c>
      <c r="G90" s="1" t="n">
        <v>9.65</v>
      </c>
      <c r="H90" s="17" t="n">
        <v>-0.475617189044266</v>
      </c>
      <c r="J90" s="12" t="n">
        <v>4</v>
      </c>
      <c r="K90" s="13" t="s">
        <v>104</v>
      </c>
      <c r="L90" s="13" t="n">
        <v>11</v>
      </c>
      <c r="M90" s="13" t="n">
        <v>49.3</v>
      </c>
      <c r="N90" s="13" t="n">
        <v>17.9</v>
      </c>
      <c r="O90" s="13" t="n">
        <v>33.4</v>
      </c>
      <c r="P90" s="13" t="n">
        <v>9</v>
      </c>
      <c r="Q90" s="13" t="n">
        <v>82</v>
      </c>
    </row>
    <row r="91" customFormat="false" ht="12.8" hidden="false" customHeight="false" outlineLevel="0" collapsed="false">
      <c r="A91" s="1" t="n">
        <v>52.3</v>
      </c>
      <c r="B91" s="1" t="n">
        <v>13.9</v>
      </c>
      <c r="C91" s="1" t="n">
        <v>31.7</v>
      </c>
      <c r="D91" s="1" t="n">
        <v>12</v>
      </c>
      <c r="E91" s="1" t="n">
        <v>78.8</v>
      </c>
      <c r="F91" s="17" t="n">
        <v>9.99609912840342</v>
      </c>
      <c r="G91" s="1" t="n">
        <v>9.77</v>
      </c>
      <c r="H91" s="17" t="n">
        <v>-0.226099128403417</v>
      </c>
      <c r="J91" s="18" t="n">
        <v>4</v>
      </c>
      <c r="K91" s="13" t="s">
        <v>105</v>
      </c>
      <c r="L91" s="13" t="n">
        <v>10.47</v>
      </c>
      <c r="M91" s="13" t="n">
        <v>54</v>
      </c>
      <c r="N91" s="13" t="n">
        <v>21</v>
      </c>
      <c r="O91" s="13" t="n">
        <v>33.1</v>
      </c>
      <c r="P91" s="13" t="n">
        <v>9.1</v>
      </c>
      <c r="Q91" s="13" t="n">
        <v>81.6</v>
      </c>
    </row>
    <row r="92" customFormat="false" ht="12.8" hidden="false" customHeight="false" outlineLevel="0" collapsed="false">
      <c r="A92" s="1" t="n">
        <v>53.4</v>
      </c>
      <c r="B92" s="1" t="n">
        <v>23.5</v>
      </c>
      <c r="C92" s="1" t="n">
        <v>32.4</v>
      </c>
      <c r="D92" s="1" t="n">
        <v>10.5</v>
      </c>
      <c r="E92" s="1" t="n">
        <v>79.5</v>
      </c>
      <c r="F92" s="17" t="n">
        <v>10.081652097376</v>
      </c>
      <c r="G92" s="1" t="n">
        <v>9.9</v>
      </c>
      <c r="H92" s="17" t="n">
        <v>-0.181652097375979</v>
      </c>
      <c r="J92" s="12" t="n">
        <v>4</v>
      </c>
      <c r="K92" s="13" t="s">
        <v>106</v>
      </c>
      <c r="L92" s="13" t="n">
        <v>10.45</v>
      </c>
      <c r="M92" s="13" t="n">
        <v>57.9</v>
      </c>
      <c r="N92" s="13" t="n">
        <v>29.1</v>
      </c>
      <c r="O92" s="13" t="n">
        <v>32.8</v>
      </c>
      <c r="P92" s="13" t="n">
        <v>11.2</v>
      </c>
      <c r="Q92" s="13" t="n">
        <v>81.7</v>
      </c>
    </row>
    <row r="93" customFormat="false" ht="12.8" hidden="false" customHeight="false" outlineLevel="0" collapsed="false">
      <c r="A93" s="1" t="n">
        <v>51.2</v>
      </c>
      <c r="B93" s="1" t="n">
        <v>10.6</v>
      </c>
      <c r="C93" s="1" t="n">
        <v>31.7</v>
      </c>
      <c r="D93" s="1" t="n">
        <v>9.3</v>
      </c>
      <c r="E93" s="1" t="n">
        <v>80.3</v>
      </c>
      <c r="F93" s="17" t="n">
        <v>9.99049865877447</v>
      </c>
      <c r="G93" s="1" t="n">
        <v>9.73</v>
      </c>
      <c r="H93" s="17" t="n">
        <v>-0.260498658774466</v>
      </c>
      <c r="J93" s="18" t="n">
        <v>4</v>
      </c>
      <c r="K93" s="13" t="s">
        <v>107</v>
      </c>
      <c r="L93" s="13" t="n">
        <v>10.52</v>
      </c>
      <c r="M93" s="13" t="n">
        <v>61</v>
      </c>
      <c r="N93" s="13" t="n">
        <v>24.3</v>
      </c>
      <c r="O93" s="13" t="n">
        <v>33.1</v>
      </c>
      <c r="P93" s="13" t="n">
        <v>8.9</v>
      </c>
      <c r="Q93" s="13" t="n">
        <v>79.3</v>
      </c>
    </row>
    <row r="94" customFormat="false" ht="12.8" hidden="false" customHeight="false" outlineLevel="0" collapsed="false">
      <c r="A94" s="1" t="n">
        <v>43</v>
      </c>
      <c r="B94" s="1" t="n">
        <v>6.6</v>
      </c>
      <c r="C94" s="1" t="n">
        <v>31.8</v>
      </c>
      <c r="D94" s="1" t="n">
        <v>8.7</v>
      </c>
      <c r="E94" s="1" t="n">
        <v>79.8</v>
      </c>
      <c r="F94" s="17" t="n">
        <v>10.0821706518209</v>
      </c>
      <c r="G94" s="1" t="n">
        <v>9.71</v>
      </c>
      <c r="H94" s="17" t="n">
        <v>-0.372170651820912</v>
      </c>
      <c r="J94" s="12" t="n">
        <v>4</v>
      </c>
      <c r="K94" s="13" t="s">
        <v>108</v>
      </c>
      <c r="L94" s="13" t="n">
        <v>10.14</v>
      </c>
      <c r="M94" s="13" t="n">
        <v>52.2</v>
      </c>
      <c r="N94" s="13" t="n">
        <v>14.6</v>
      </c>
      <c r="O94" s="13" t="n">
        <v>34.3</v>
      </c>
      <c r="P94" s="13" t="n">
        <v>8.9</v>
      </c>
      <c r="Q94" s="13" t="n">
        <v>82.3</v>
      </c>
    </row>
    <row r="95" customFormat="false" ht="12.8" hidden="false" customHeight="false" outlineLevel="0" collapsed="false">
      <c r="A95" s="1" t="n">
        <v>40</v>
      </c>
      <c r="B95" s="1" t="n">
        <v>12.6</v>
      </c>
      <c r="C95" s="1" t="n">
        <v>31.4</v>
      </c>
      <c r="D95" s="1" t="n">
        <v>9.7</v>
      </c>
      <c r="E95" s="1" t="n">
        <v>80.1</v>
      </c>
      <c r="F95" s="17" t="n">
        <v>10.165466481395</v>
      </c>
      <c r="G95" s="1" t="n">
        <v>9.76</v>
      </c>
      <c r="H95" s="17" t="n">
        <v>-0.405466481394958</v>
      </c>
      <c r="J95" s="18" t="n">
        <v>4</v>
      </c>
      <c r="K95" s="13" t="s">
        <v>109</v>
      </c>
      <c r="L95" s="13" t="n">
        <v>10.65</v>
      </c>
      <c r="M95" s="13" t="n">
        <v>49.2</v>
      </c>
      <c r="N95" s="13" t="n">
        <v>12.9</v>
      </c>
      <c r="O95" s="13" t="n">
        <v>32.2</v>
      </c>
      <c r="P95" s="13" t="n">
        <v>9.6</v>
      </c>
      <c r="Q95" s="13" t="n">
        <v>84.7</v>
      </c>
    </row>
    <row r="96" customFormat="false" ht="12.8" hidden="false" customHeight="false" outlineLevel="0" collapsed="false">
      <c r="A96" s="1" t="n">
        <v>47.2</v>
      </c>
      <c r="B96" s="1" t="n">
        <v>7.7</v>
      </c>
      <c r="C96" s="1" t="n">
        <v>32.4</v>
      </c>
      <c r="D96" s="1" t="n">
        <v>9.2</v>
      </c>
      <c r="E96" s="1" t="n">
        <v>78.4</v>
      </c>
      <c r="F96" s="17" t="n">
        <v>10.0427609819196</v>
      </c>
      <c r="G96" s="1" t="n">
        <v>9.81</v>
      </c>
      <c r="H96" s="17" t="n">
        <v>-0.232760981919602</v>
      </c>
      <c r="J96" s="12" t="n">
        <v>4</v>
      </c>
      <c r="K96" s="13" t="s">
        <v>110</v>
      </c>
      <c r="L96" s="13" t="n">
        <v>10.09</v>
      </c>
      <c r="M96" s="13" t="n">
        <v>55.8</v>
      </c>
      <c r="N96" s="13" t="n">
        <v>25.9</v>
      </c>
      <c r="O96" s="13" t="n">
        <v>33.1</v>
      </c>
      <c r="P96" s="13" t="n">
        <v>9.6</v>
      </c>
      <c r="Q96" s="13" t="n">
        <v>88.6</v>
      </c>
    </row>
    <row r="97" customFormat="false" ht="12.8" hidden="false" customHeight="false" outlineLevel="0" collapsed="false">
      <c r="A97" s="1" t="n">
        <v>41.7</v>
      </c>
      <c r="B97" s="1" t="n">
        <v>8.9</v>
      </c>
      <c r="C97" s="1" t="n">
        <v>31.7</v>
      </c>
      <c r="D97" s="1" t="n">
        <v>10.2</v>
      </c>
      <c r="E97" s="1" t="n">
        <v>79</v>
      </c>
      <c r="F97" s="17" t="n">
        <v>10.1151484909071</v>
      </c>
      <c r="G97" s="1" t="n">
        <v>9.85</v>
      </c>
      <c r="H97" s="17" t="n">
        <v>-0.265148490907091</v>
      </c>
      <c r="J97" s="12" t="n">
        <v>5</v>
      </c>
      <c r="K97" s="13" t="s">
        <v>42</v>
      </c>
      <c r="L97" s="13" t="n">
        <v>10.29</v>
      </c>
      <c r="M97" s="13" t="n">
        <v>47.3</v>
      </c>
      <c r="N97" s="13" t="n">
        <v>11.6</v>
      </c>
      <c r="O97" s="13" t="n">
        <v>34.5</v>
      </c>
      <c r="P97" s="13" t="n">
        <v>9.7</v>
      </c>
      <c r="Q97" s="13" t="n">
        <v>82.3</v>
      </c>
    </row>
    <row r="98" customFormat="false" ht="12.8" hidden="false" customHeight="false" outlineLevel="0" collapsed="false">
      <c r="A98" s="1" t="n">
        <v>65.2</v>
      </c>
      <c r="B98" s="1" t="n">
        <v>17.5</v>
      </c>
      <c r="C98" s="1" t="n">
        <v>33.1</v>
      </c>
      <c r="D98" s="1" t="n">
        <v>11.1</v>
      </c>
      <c r="E98" s="1" t="n">
        <v>81.5</v>
      </c>
      <c r="F98" s="17" t="n">
        <v>9.87162906733678</v>
      </c>
      <c r="G98" s="1" t="n">
        <v>9.51</v>
      </c>
      <c r="H98" s="17" t="n">
        <v>-0.361629067336779</v>
      </c>
      <c r="J98" s="12" t="n">
        <v>5</v>
      </c>
      <c r="K98" s="13" t="s">
        <v>45</v>
      </c>
      <c r="L98" s="13" t="n">
        <v>9.79</v>
      </c>
      <c r="M98" s="13" t="n">
        <v>58.1</v>
      </c>
      <c r="N98" s="13" t="n">
        <v>19.2</v>
      </c>
      <c r="O98" s="13" t="n">
        <v>34.3</v>
      </c>
      <c r="P98" s="13" t="n">
        <v>9.3</v>
      </c>
      <c r="Q98" s="13" t="n">
        <v>82.5</v>
      </c>
    </row>
    <row r="99" customFormat="false" ht="12.8" hidden="false" customHeight="false" outlineLevel="0" collapsed="false">
      <c r="A99" s="1" t="n">
        <v>67.2</v>
      </c>
      <c r="B99" s="1" t="n">
        <v>27.6</v>
      </c>
      <c r="C99" s="1" t="n">
        <v>31.6</v>
      </c>
      <c r="D99" s="1" t="n">
        <v>15.9</v>
      </c>
      <c r="E99" s="1" t="n">
        <v>80.8</v>
      </c>
      <c r="F99" s="17" t="n">
        <v>9.879844492244</v>
      </c>
      <c r="G99" s="1" t="n">
        <v>9.61</v>
      </c>
      <c r="H99" s="17" t="n">
        <v>-0.269844492244005</v>
      </c>
      <c r="J99" s="12" t="n">
        <v>5</v>
      </c>
      <c r="K99" s="13" t="s">
        <v>46</v>
      </c>
      <c r="L99" s="13" t="n">
        <v>9.77</v>
      </c>
      <c r="M99" s="13" t="n">
        <v>61.1</v>
      </c>
      <c r="N99" s="13" t="n">
        <v>17</v>
      </c>
      <c r="O99" s="13" t="n">
        <v>33.3</v>
      </c>
      <c r="P99" s="13" t="n">
        <v>10.6</v>
      </c>
      <c r="Q99" s="13" t="n">
        <v>85.3</v>
      </c>
    </row>
    <row r="100" customFormat="false" ht="12.8" hidden="false" customHeight="false" outlineLevel="0" collapsed="false">
      <c r="A100" s="1" t="n">
        <v>61.1</v>
      </c>
      <c r="B100" s="1" t="n">
        <v>15.4</v>
      </c>
      <c r="C100" s="1" t="n">
        <v>31</v>
      </c>
      <c r="D100" s="1" t="n">
        <v>13.1</v>
      </c>
      <c r="E100" s="1" t="n">
        <v>79.5</v>
      </c>
      <c r="F100" s="17" t="n">
        <v>9.85845333160621</v>
      </c>
      <c r="G100" s="1" t="n">
        <v>9.89</v>
      </c>
      <c r="H100" s="17" t="n">
        <v>0.0315466683937871</v>
      </c>
      <c r="J100" s="12" t="n">
        <v>5</v>
      </c>
      <c r="K100" s="13" t="s">
        <v>48</v>
      </c>
      <c r="L100" s="13" t="n">
        <v>10.05</v>
      </c>
      <c r="M100" s="13" t="n">
        <v>60.6</v>
      </c>
      <c r="N100" s="13" t="n">
        <v>24.3</v>
      </c>
      <c r="O100" s="13" t="n">
        <v>35</v>
      </c>
      <c r="P100" s="13" t="n">
        <v>11.9</v>
      </c>
      <c r="Q100" s="13" t="n">
        <v>83.6</v>
      </c>
    </row>
    <row r="101" customFormat="false" ht="12.8" hidden="false" customHeight="false" outlineLevel="0" collapsed="false">
      <c r="A101" s="1" t="n">
        <v>58.3</v>
      </c>
      <c r="B101" s="1" t="n">
        <v>17</v>
      </c>
      <c r="C101" s="1" t="n">
        <v>32.7</v>
      </c>
      <c r="D101" s="1" t="n">
        <v>13.9</v>
      </c>
      <c r="E101" s="1" t="n">
        <v>79.1</v>
      </c>
      <c r="F101" s="17" t="n">
        <v>9.95373444743728</v>
      </c>
      <c r="G101" s="1" t="n">
        <v>9.96</v>
      </c>
      <c r="H101" s="17" t="n">
        <v>0.00626555256272177</v>
      </c>
      <c r="J101" s="12" t="n">
        <v>5</v>
      </c>
      <c r="K101" s="13" t="s">
        <v>49</v>
      </c>
      <c r="L101" s="13" t="n">
        <v>9.86</v>
      </c>
      <c r="M101" s="13" t="n">
        <v>59.2</v>
      </c>
      <c r="N101" s="13" t="n">
        <v>36.2</v>
      </c>
      <c r="O101" s="13" t="n">
        <v>34.5</v>
      </c>
      <c r="P101" s="13" t="n">
        <v>9</v>
      </c>
      <c r="Q101" s="13" t="n">
        <v>82.5</v>
      </c>
    </row>
    <row r="102" customFormat="false" ht="12.8" hidden="false" customHeight="false" outlineLevel="0" collapsed="false">
      <c r="A102" s="1" t="n">
        <v>62.9</v>
      </c>
      <c r="B102" s="1" t="n">
        <v>16.2</v>
      </c>
      <c r="C102" s="1" t="n">
        <v>31.6</v>
      </c>
      <c r="D102" s="1" t="n">
        <v>10.6</v>
      </c>
      <c r="E102" s="1" t="n">
        <v>78.9</v>
      </c>
      <c r="F102" s="17" t="n">
        <v>9.85878777693663</v>
      </c>
      <c r="G102" s="1" t="n">
        <v>9.66</v>
      </c>
      <c r="H102" s="17" t="n">
        <v>-0.198787776936625</v>
      </c>
      <c r="J102" s="12" t="n">
        <v>5</v>
      </c>
      <c r="K102" s="13" t="s">
        <v>50</v>
      </c>
      <c r="L102" s="13" t="n">
        <v>9.98</v>
      </c>
      <c r="M102" s="13" t="n">
        <v>75.1</v>
      </c>
      <c r="N102" s="13" t="n">
        <v>27.3</v>
      </c>
      <c r="O102" s="13" t="n">
        <v>34.7</v>
      </c>
      <c r="P102" s="13" t="n">
        <v>10.5</v>
      </c>
      <c r="Q102" s="13" t="n">
        <v>84</v>
      </c>
    </row>
    <row r="103" customFormat="false" ht="12.8" hidden="false" customHeight="false" outlineLevel="0" collapsed="false">
      <c r="A103" s="1" t="n">
        <v>58.8</v>
      </c>
      <c r="B103" s="1" t="n">
        <v>18.7</v>
      </c>
      <c r="C103" s="1" t="n">
        <v>32.3</v>
      </c>
      <c r="D103" s="1" t="n">
        <v>9.9</v>
      </c>
      <c r="E103" s="1" t="n">
        <v>81.2</v>
      </c>
      <c r="F103" s="17" t="n">
        <v>9.95973420313882</v>
      </c>
      <c r="G103" s="1" t="n">
        <v>9.67</v>
      </c>
      <c r="H103" s="17" t="n">
        <v>-0.289734203138815</v>
      </c>
      <c r="J103" s="12" t="n">
        <v>5</v>
      </c>
      <c r="K103" s="13" t="s">
        <v>51</v>
      </c>
      <c r="L103" s="13" t="n">
        <v>9.53</v>
      </c>
      <c r="M103" s="13" t="n">
        <v>57.4</v>
      </c>
      <c r="N103" s="13" t="n">
        <v>26.4</v>
      </c>
      <c r="O103" s="13" t="n">
        <v>35.1</v>
      </c>
      <c r="P103" s="14" t="n">
        <v>48</v>
      </c>
      <c r="Q103" s="14" t="n">
        <v>9.9</v>
      </c>
      <c r="R103" s="15"/>
      <c r="S103" s="15"/>
      <c r="T103" s="15"/>
    </row>
    <row r="104" customFormat="false" ht="12.8" hidden="false" customHeight="false" outlineLevel="0" collapsed="false">
      <c r="A104" s="1" t="n">
        <v>56.6</v>
      </c>
      <c r="B104" s="1" t="n">
        <v>21.8</v>
      </c>
      <c r="C104" s="1" t="n">
        <v>33.2</v>
      </c>
      <c r="D104" s="1" t="n">
        <v>8.9</v>
      </c>
      <c r="E104" s="1" t="n">
        <v>77.9</v>
      </c>
      <c r="F104" s="17" t="n">
        <v>10.0429397820944</v>
      </c>
      <c r="G104" s="1" t="n">
        <v>9.82</v>
      </c>
      <c r="H104" s="17" t="n">
        <v>-0.222939782094445</v>
      </c>
      <c r="J104" s="12" t="n">
        <v>5</v>
      </c>
      <c r="K104" s="13" t="s">
        <v>52</v>
      </c>
      <c r="L104" s="13" t="n">
        <v>9.73</v>
      </c>
      <c r="M104" s="13" t="n">
        <v>55.9</v>
      </c>
      <c r="N104" s="13" t="n">
        <v>14.9</v>
      </c>
      <c r="O104" s="13" t="n">
        <v>33</v>
      </c>
      <c r="P104" s="14" t="n">
        <v>55.1</v>
      </c>
      <c r="Q104" s="14" t="n">
        <v>17.8</v>
      </c>
      <c r="R104" s="15"/>
      <c r="S104" s="15"/>
      <c r="T104" s="15"/>
    </row>
    <row r="105" customFormat="false" ht="12.8" hidden="false" customHeight="false" outlineLevel="0" collapsed="false">
      <c r="A105" s="1" t="n">
        <v>54.6</v>
      </c>
      <c r="B105" s="1" t="n">
        <v>15.6</v>
      </c>
      <c r="C105" s="1" t="n">
        <v>33.5</v>
      </c>
      <c r="D105" s="1" t="n">
        <v>10.5</v>
      </c>
      <c r="E105" s="1" t="n">
        <v>80.4</v>
      </c>
      <c r="F105" s="17" t="n">
        <v>10.0241015048365</v>
      </c>
      <c r="G105" s="1" t="n">
        <v>9.75</v>
      </c>
      <c r="H105" s="17" t="n">
        <v>-0.274101504836507</v>
      </c>
      <c r="J105" s="12" t="n">
        <v>5</v>
      </c>
      <c r="K105" s="13" t="s">
        <v>53</v>
      </c>
      <c r="L105" s="13" t="n">
        <v>9.96</v>
      </c>
      <c r="M105" s="13" t="n">
        <v>58.3</v>
      </c>
      <c r="N105" s="13" t="n">
        <v>23.9</v>
      </c>
      <c r="O105" s="13" t="n">
        <v>34.9</v>
      </c>
      <c r="P105" s="14" t="n">
        <v>57.9</v>
      </c>
      <c r="Q105" s="14" t="n">
        <v>14.6</v>
      </c>
      <c r="R105" s="15"/>
      <c r="S105" s="15"/>
      <c r="T105" s="15"/>
    </row>
    <row r="106" customFormat="false" ht="12.8" hidden="false" customHeight="false" outlineLevel="0" collapsed="false">
      <c r="A106" s="1" t="n">
        <v>49.7</v>
      </c>
      <c r="B106" s="1" t="n">
        <v>11.2</v>
      </c>
      <c r="C106" s="1" t="n">
        <v>31.8</v>
      </c>
      <c r="D106" s="1" t="n">
        <v>9.8</v>
      </c>
      <c r="E106" s="1" t="n">
        <v>78.3</v>
      </c>
      <c r="F106" s="17" t="n">
        <v>10.0191466645385</v>
      </c>
      <c r="G106" s="1" t="n">
        <v>9.93</v>
      </c>
      <c r="H106" s="17" t="n">
        <v>-0.0891466645385464</v>
      </c>
      <c r="J106" s="12" t="n">
        <v>5</v>
      </c>
      <c r="K106" s="13" t="s">
        <v>54</v>
      </c>
      <c r="L106" s="13" t="n">
        <v>9.76</v>
      </c>
      <c r="M106" s="13" t="n">
        <v>54.2</v>
      </c>
      <c r="N106" s="13" t="n">
        <v>12.4</v>
      </c>
      <c r="O106" s="13" t="n">
        <v>33.6</v>
      </c>
      <c r="P106" s="14" t="n">
        <v>60</v>
      </c>
      <c r="Q106" s="14" t="n">
        <v>27.4</v>
      </c>
      <c r="R106" s="15"/>
      <c r="S106" s="15"/>
      <c r="T106" s="15"/>
    </row>
    <row r="107" customFormat="false" ht="12.8" hidden="false" customHeight="false" outlineLevel="0" collapsed="false">
      <c r="A107" s="1" t="n">
        <v>57.7</v>
      </c>
      <c r="B107" s="1" t="n">
        <v>14.4</v>
      </c>
      <c r="C107" s="1" t="n">
        <v>32.4</v>
      </c>
      <c r="D107" s="1" t="n">
        <v>9.6</v>
      </c>
      <c r="E107" s="1" t="n">
        <v>78.3</v>
      </c>
      <c r="F107" s="17" t="n">
        <v>9.9426824527233</v>
      </c>
      <c r="G107" s="1" t="n">
        <v>9.91</v>
      </c>
      <c r="H107" s="17" t="n">
        <v>-0.0326824527232947</v>
      </c>
      <c r="J107" s="12" t="n">
        <v>5</v>
      </c>
      <c r="K107" s="13" t="s">
        <v>56</v>
      </c>
      <c r="L107" s="13" t="n">
        <v>9.82</v>
      </c>
      <c r="M107" s="13" t="n">
        <v>48</v>
      </c>
      <c r="N107" s="13" t="n">
        <v>9.4</v>
      </c>
      <c r="O107" s="13" t="n">
        <v>34.4</v>
      </c>
      <c r="P107" s="14" t="n">
        <v>53.8</v>
      </c>
      <c r="Q107" s="14" t="n">
        <v>28.7</v>
      </c>
      <c r="R107" s="15"/>
      <c r="S107" s="15"/>
      <c r="T107" s="15"/>
    </row>
    <row r="108" customFormat="false" ht="12.8" hidden="false" customHeight="false" outlineLevel="0" collapsed="false">
      <c r="A108" s="1" t="n">
        <v>57</v>
      </c>
      <c r="B108" s="1" t="n">
        <v>19.8</v>
      </c>
      <c r="C108" s="1" t="n">
        <v>33.9</v>
      </c>
      <c r="D108" s="1" t="n">
        <v>10.9</v>
      </c>
      <c r="E108" s="1" t="n">
        <v>80.3</v>
      </c>
      <c r="F108" s="17" t="n">
        <v>10.0330058807891</v>
      </c>
      <c r="G108" s="1" t="n">
        <v>9.83</v>
      </c>
      <c r="H108" s="17" t="n">
        <v>-0.203005880789062</v>
      </c>
      <c r="J108" s="12" t="n">
        <v>5</v>
      </c>
      <c r="K108" s="13" t="s">
        <v>58</v>
      </c>
      <c r="L108" s="13" t="n">
        <v>9.87</v>
      </c>
      <c r="M108" s="13" t="n">
        <v>44.8</v>
      </c>
      <c r="N108" s="13" t="n">
        <v>14.5</v>
      </c>
      <c r="O108" s="13" t="n">
        <v>34.8</v>
      </c>
      <c r="P108" s="14" t="n">
        <v>73.8</v>
      </c>
      <c r="Q108" s="14" t="n">
        <v>24</v>
      </c>
      <c r="R108" s="15"/>
      <c r="S108" s="15"/>
      <c r="T108" s="15"/>
    </row>
    <row r="109" customFormat="false" ht="12.8" hidden="false" customHeight="false" outlineLevel="0" collapsed="false">
      <c r="A109" s="1" t="n">
        <v>55.9</v>
      </c>
      <c r="B109" s="1" t="n">
        <v>11.3</v>
      </c>
      <c r="C109" s="1" t="n">
        <v>33.7</v>
      </c>
      <c r="D109" s="1" t="n">
        <v>8.9</v>
      </c>
      <c r="E109" s="1" t="n">
        <v>76.1</v>
      </c>
      <c r="F109" s="17" t="n">
        <v>9.97669248798358</v>
      </c>
      <c r="G109" s="1" t="n">
        <v>9.95</v>
      </c>
      <c r="H109" s="17" t="n">
        <v>-0.026692487983583</v>
      </c>
      <c r="J109" s="12" t="n">
        <v>5</v>
      </c>
      <c r="K109" s="13" t="s">
        <v>60</v>
      </c>
      <c r="L109" s="13" t="n">
        <v>10</v>
      </c>
      <c r="M109" s="13" t="n">
        <v>51.5</v>
      </c>
      <c r="N109" s="13" t="n">
        <v>8.9</v>
      </c>
      <c r="O109" s="13" t="n">
        <v>35.5</v>
      </c>
      <c r="P109" s="14" t="n">
        <v>55</v>
      </c>
      <c r="Q109" s="14" t="n">
        <v>23.9</v>
      </c>
      <c r="R109" s="15"/>
      <c r="S109" s="15"/>
      <c r="T109" s="15"/>
    </row>
    <row r="110" customFormat="false" ht="12.8" hidden="false" customHeight="false" outlineLevel="0" collapsed="false">
      <c r="A110" s="1" t="n">
        <v>42.8</v>
      </c>
      <c r="B110" s="1" t="n">
        <v>11.7</v>
      </c>
      <c r="C110" s="1" t="n">
        <v>32.9</v>
      </c>
      <c r="D110" s="1" t="n">
        <v>10.2</v>
      </c>
      <c r="E110" s="1" t="n">
        <v>76.4</v>
      </c>
      <c r="F110" s="17" t="n">
        <v>10.1520279252904</v>
      </c>
      <c r="G110" s="1" t="n">
        <v>10.22</v>
      </c>
      <c r="H110" s="17" t="n">
        <v>0.0679720747096422</v>
      </c>
      <c r="J110" s="12" t="n">
        <v>5</v>
      </c>
      <c r="K110" s="13" t="s">
        <v>62</v>
      </c>
      <c r="L110" s="13" t="n">
        <v>10.02</v>
      </c>
      <c r="M110" s="13" t="n">
        <v>46.5</v>
      </c>
      <c r="N110" s="13" t="n">
        <v>10.5</v>
      </c>
      <c r="O110" s="13" t="n">
        <v>35.1</v>
      </c>
      <c r="P110" s="14" t="n">
        <v>52.8</v>
      </c>
      <c r="Q110" s="14" t="n">
        <v>20.2</v>
      </c>
      <c r="R110" s="15"/>
      <c r="S110" s="15"/>
      <c r="T110" s="15"/>
    </row>
    <row r="111" customFormat="false" ht="12.8" hidden="false" customHeight="false" outlineLevel="0" collapsed="false">
      <c r="A111" s="1" t="n">
        <v>49.1</v>
      </c>
      <c r="B111" s="1" t="n">
        <v>11.5</v>
      </c>
      <c r="C111" s="1" t="n">
        <v>32.6</v>
      </c>
      <c r="D111" s="1" t="n">
        <v>10.6</v>
      </c>
      <c r="E111" s="1" t="n">
        <v>78.9</v>
      </c>
      <c r="F111" s="17" t="n">
        <v>10.0485866625045</v>
      </c>
      <c r="G111" s="1" t="n">
        <v>10.13</v>
      </c>
      <c r="H111" s="17" t="n">
        <v>0.0814133374954995</v>
      </c>
      <c r="J111" s="12" t="n">
        <v>5</v>
      </c>
      <c r="K111" s="13" t="s">
        <v>64</v>
      </c>
      <c r="L111" s="13" t="n">
        <v>9.33</v>
      </c>
      <c r="M111" s="13" t="n">
        <v>67.5</v>
      </c>
      <c r="N111" s="13" t="n">
        <v>21.9</v>
      </c>
      <c r="O111" s="13" t="n">
        <v>34.9</v>
      </c>
      <c r="P111" s="14" t="n">
        <v>53.3</v>
      </c>
      <c r="Q111" s="14" t="n">
        <v>22.7</v>
      </c>
      <c r="R111" s="15"/>
      <c r="S111" s="15"/>
      <c r="T111" s="15"/>
    </row>
    <row r="112" customFormat="false" ht="12.8" hidden="false" customHeight="false" outlineLevel="0" collapsed="false">
      <c r="A112" s="1" t="n">
        <v>50.1</v>
      </c>
      <c r="B112" s="1" t="n">
        <v>17.8</v>
      </c>
      <c r="C112" s="1" t="n">
        <v>35.1</v>
      </c>
      <c r="D112" s="1" t="n">
        <v>11.2</v>
      </c>
      <c r="E112" s="1" t="n">
        <v>74</v>
      </c>
      <c r="F112" s="17" t="n">
        <v>10.14724723499</v>
      </c>
      <c r="G112" s="1" t="n">
        <v>9.96</v>
      </c>
      <c r="H112" s="17" t="n">
        <v>-0.187247234989957</v>
      </c>
      <c r="J112" s="12" t="n">
        <v>5</v>
      </c>
      <c r="K112" s="13" t="s">
        <v>66</v>
      </c>
      <c r="L112" s="13" t="n">
        <v>9.57</v>
      </c>
      <c r="M112" s="13" t="n">
        <v>69.1</v>
      </c>
      <c r="N112" s="13" t="n">
        <v>33.1</v>
      </c>
      <c r="O112" s="13" t="n">
        <v>33.7</v>
      </c>
      <c r="P112" s="14" t="n">
        <v>51.2</v>
      </c>
      <c r="Q112" s="14" t="n">
        <v>13.5</v>
      </c>
      <c r="R112" s="15"/>
      <c r="S112" s="15"/>
      <c r="T112" s="15"/>
    </row>
    <row r="113" customFormat="false" ht="12.8" hidden="false" customHeight="false" outlineLevel="0" collapsed="false">
      <c r="A113" s="1" t="n">
        <v>49.8</v>
      </c>
      <c r="B113" s="1" t="n">
        <v>13.7</v>
      </c>
      <c r="C113" s="1" t="n">
        <v>34.8</v>
      </c>
      <c r="D113" s="1" t="n">
        <v>11.4</v>
      </c>
      <c r="E113" s="1" t="n">
        <v>74.8</v>
      </c>
      <c r="F113" s="17" t="n">
        <v>10.1091729223079</v>
      </c>
      <c r="G113" s="1" t="n">
        <v>10.18</v>
      </c>
      <c r="H113" s="17" t="n">
        <v>0.0708270776921491</v>
      </c>
      <c r="J113" s="12" t="n">
        <v>5</v>
      </c>
      <c r="K113" s="13" t="s">
        <v>67</v>
      </c>
      <c r="L113" s="13" t="n">
        <v>9.66</v>
      </c>
      <c r="M113" s="13" t="n">
        <v>65.4</v>
      </c>
      <c r="N113" s="13" t="n">
        <v>22.5</v>
      </c>
      <c r="O113" s="13" t="n">
        <v>35.1</v>
      </c>
      <c r="P113" s="14" t="n">
        <v>47</v>
      </c>
      <c r="Q113" s="14" t="n">
        <v>8.4</v>
      </c>
      <c r="R113" s="15"/>
      <c r="S113" s="15"/>
      <c r="T113" s="15"/>
    </row>
    <row r="114" customFormat="false" ht="12.8" hidden="false" customHeight="false" outlineLevel="0" collapsed="false">
      <c r="A114" s="1" t="n">
        <v>50</v>
      </c>
      <c r="B114" s="1" t="n">
        <v>15.8</v>
      </c>
      <c r="C114" s="1" t="n">
        <v>32.6</v>
      </c>
      <c r="D114" s="1" t="n">
        <v>9.4</v>
      </c>
      <c r="E114" s="1" t="n">
        <v>81.2</v>
      </c>
      <c r="F114" s="17" t="n">
        <v>10.0743611700753</v>
      </c>
      <c r="G114" s="1" t="n">
        <v>9.94</v>
      </c>
      <c r="H114" s="17" t="n">
        <v>-0.134361170075344</v>
      </c>
      <c r="J114" s="12" t="n">
        <v>5</v>
      </c>
      <c r="K114" s="13" t="s">
        <v>69</v>
      </c>
      <c r="L114" s="13" t="n">
        <v>9.91</v>
      </c>
      <c r="M114" s="13" t="n">
        <v>64.2</v>
      </c>
      <c r="N114" s="13" t="n">
        <v>20.8</v>
      </c>
      <c r="O114" s="13" t="n">
        <v>35.2</v>
      </c>
      <c r="P114" s="14" t="n">
        <v>43.8</v>
      </c>
      <c r="Q114" s="14" t="n">
        <v>12.9</v>
      </c>
      <c r="R114" s="15"/>
      <c r="S114" s="15"/>
      <c r="T114" s="15"/>
    </row>
    <row r="115" customFormat="false" ht="12.8" hidden="false" customHeight="false" outlineLevel="0" collapsed="false">
      <c r="A115" s="1" t="n">
        <v>64.8</v>
      </c>
      <c r="B115" s="1" t="n">
        <v>23.2</v>
      </c>
      <c r="C115" s="1" t="n">
        <v>32.8</v>
      </c>
      <c r="D115" s="1" t="n">
        <v>8.6</v>
      </c>
      <c r="E115" s="1" t="n">
        <v>82.7</v>
      </c>
      <c r="F115" s="17" t="n">
        <v>9.92399111489683</v>
      </c>
      <c r="G115" s="1" t="n">
        <v>10.35</v>
      </c>
      <c r="H115" s="17" t="n">
        <v>0.426008885103174</v>
      </c>
      <c r="J115" s="12" t="n">
        <v>5</v>
      </c>
      <c r="K115" s="13" t="s">
        <v>75</v>
      </c>
      <c r="L115" s="13" t="n">
        <v>9.67</v>
      </c>
      <c r="M115" s="13" t="n">
        <v>64.5</v>
      </c>
      <c r="N115" s="13" t="n">
        <v>21</v>
      </c>
      <c r="O115" s="13" t="n">
        <v>33.4</v>
      </c>
      <c r="P115" s="14" t="n">
        <v>50.5</v>
      </c>
      <c r="Q115" s="14" t="n">
        <v>7.5</v>
      </c>
      <c r="R115" s="15"/>
      <c r="S115" s="15"/>
      <c r="T115" s="15"/>
    </row>
    <row r="116" customFormat="false" ht="12.8" hidden="false" customHeight="false" outlineLevel="0" collapsed="false">
      <c r="A116" s="1" t="n">
        <v>56</v>
      </c>
      <c r="B116" s="1" t="n">
        <v>28.8</v>
      </c>
      <c r="C116" s="1" t="n">
        <v>31.6</v>
      </c>
      <c r="D116" s="1" t="n">
        <v>8</v>
      </c>
      <c r="E116" s="1" t="n">
        <v>78.2</v>
      </c>
      <c r="F116" s="17" t="n">
        <v>10.0736544302237</v>
      </c>
      <c r="G116" s="1" t="n">
        <v>10.25</v>
      </c>
      <c r="H116" s="17" t="n">
        <v>0.176345569776256</v>
      </c>
      <c r="J116" s="12" t="n">
        <v>5</v>
      </c>
      <c r="K116" s="13" t="s">
        <v>76</v>
      </c>
      <c r="L116" s="13" t="n">
        <v>9.49</v>
      </c>
      <c r="M116" s="13" t="n">
        <v>61.4</v>
      </c>
      <c r="N116" s="13" t="n">
        <v>29.8</v>
      </c>
      <c r="O116" s="13" t="n">
        <v>35.2</v>
      </c>
      <c r="P116" s="14" t="n">
        <v>46.1</v>
      </c>
      <c r="Q116" s="14" t="n">
        <v>8.9</v>
      </c>
      <c r="R116" s="15"/>
      <c r="S116" s="15"/>
      <c r="T116" s="15"/>
    </row>
    <row r="117" customFormat="false" ht="12.8" hidden="false" customHeight="false" outlineLevel="0" collapsed="false">
      <c r="A117" s="1" t="n">
        <v>53.3</v>
      </c>
      <c r="B117" s="1" t="n">
        <v>15.4</v>
      </c>
      <c r="C117" s="1" t="n">
        <v>31.8</v>
      </c>
      <c r="D117" s="1" t="n">
        <v>8.6</v>
      </c>
      <c r="E117" s="1" t="n">
        <v>77.9</v>
      </c>
      <c r="F117" s="17" t="n">
        <v>10.0038822630822</v>
      </c>
      <c r="G117" s="1" t="n">
        <v>10.09</v>
      </c>
      <c r="H117" s="17" t="n">
        <v>0.0861177369178403</v>
      </c>
      <c r="J117" s="12" t="n">
        <v>5</v>
      </c>
      <c r="K117" s="13" t="s">
        <v>78</v>
      </c>
      <c r="L117" s="13" t="n">
        <v>9.8</v>
      </c>
      <c r="M117" s="13" t="n">
        <v>63.4</v>
      </c>
      <c r="N117" s="13" t="n">
        <v>26</v>
      </c>
      <c r="O117" s="13" t="n">
        <v>36.1</v>
      </c>
      <c r="P117" s="14" t="n">
        <v>66.4</v>
      </c>
      <c r="Q117" s="14" t="n">
        <v>17.7</v>
      </c>
      <c r="R117" s="15"/>
      <c r="S117" s="15"/>
      <c r="T117" s="15"/>
    </row>
    <row r="118" customFormat="false" ht="12.8" hidden="false" customHeight="false" outlineLevel="0" collapsed="false">
      <c r="A118" s="1" t="n">
        <v>53.4</v>
      </c>
      <c r="B118" s="1" t="n">
        <v>17</v>
      </c>
      <c r="C118" s="1" t="n">
        <v>33</v>
      </c>
      <c r="D118" s="1" t="n">
        <v>8.4</v>
      </c>
      <c r="E118" s="1" t="n">
        <v>81</v>
      </c>
      <c r="F118" s="17" t="n">
        <v>10.0460960585806</v>
      </c>
      <c r="G118" s="1" t="n">
        <v>10.15</v>
      </c>
      <c r="H118" s="17" t="n">
        <v>0.103903941419439</v>
      </c>
      <c r="J118" s="12" t="n">
        <v>5</v>
      </c>
      <c r="K118" s="13" t="s">
        <v>80</v>
      </c>
      <c r="L118" s="13" t="n">
        <v>9.75</v>
      </c>
      <c r="M118" s="13" t="n">
        <v>56.5</v>
      </c>
      <c r="N118" s="13" t="n">
        <v>16.7</v>
      </c>
      <c r="O118" s="13" t="n">
        <v>35.5</v>
      </c>
      <c r="P118" s="14" t="n">
        <v>66.3</v>
      </c>
      <c r="Q118" s="14" t="n">
        <v>29.3</v>
      </c>
      <c r="R118" s="15"/>
      <c r="S118" s="15"/>
      <c r="T118" s="15"/>
    </row>
    <row r="119" customFormat="false" ht="12.8" hidden="false" customHeight="false" outlineLevel="0" collapsed="false">
      <c r="A119" s="1" t="n">
        <v>55.2</v>
      </c>
      <c r="B119" s="1" t="n">
        <v>20.3</v>
      </c>
      <c r="C119" s="1" t="n">
        <v>34.7</v>
      </c>
      <c r="D119" s="1" t="n">
        <v>10</v>
      </c>
      <c r="E119" s="1" t="n">
        <v>72.1</v>
      </c>
      <c r="F119" s="17" t="n">
        <v>10.0853927220934</v>
      </c>
      <c r="G119" s="1" t="n">
        <v>10.43</v>
      </c>
      <c r="H119" s="17" t="n">
        <v>0.34460727790656</v>
      </c>
      <c r="J119" s="12" t="n">
        <v>5</v>
      </c>
      <c r="K119" s="13" t="s">
        <v>81</v>
      </c>
      <c r="L119" s="13" t="n">
        <v>10.01</v>
      </c>
      <c r="M119" s="13" t="n">
        <v>53.1</v>
      </c>
      <c r="N119" s="13" t="n">
        <v>13.6</v>
      </c>
      <c r="O119" s="13" t="n">
        <v>34.7</v>
      </c>
      <c r="P119" s="14" t="n">
        <v>63.7</v>
      </c>
      <c r="Q119" s="14" t="n">
        <v>21.1</v>
      </c>
      <c r="R119" s="15"/>
      <c r="S119" s="15"/>
      <c r="T119" s="15"/>
    </row>
    <row r="120" customFormat="false" ht="12.8" hidden="false" customHeight="false" outlineLevel="0" collapsed="false">
      <c r="A120" s="1" t="n">
        <v>51.3</v>
      </c>
      <c r="B120" s="1" t="n">
        <v>29.1</v>
      </c>
      <c r="C120" s="1" t="n">
        <v>32.5</v>
      </c>
      <c r="D120" s="1" t="n">
        <v>8.8</v>
      </c>
      <c r="E120" s="1" t="n">
        <v>76.5</v>
      </c>
      <c r="F120" s="17" t="n">
        <v>10.1663639559968</v>
      </c>
      <c r="G120" s="1" t="n">
        <v>10.34</v>
      </c>
      <c r="H120" s="17" t="n">
        <v>0.173636044003189</v>
      </c>
      <c r="J120" s="12" t="n">
        <v>5</v>
      </c>
      <c r="K120" s="13" t="s">
        <v>83</v>
      </c>
      <c r="L120" s="13" t="n">
        <v>9.81</v>
      </c>
      <c r="M120" s="13" t="n">
        <v>60.4</v>
      </c>
      <c r="N120" s="13" t="n">
        <v>18.4</v>
      </c>
      <c r="O120" s="13" t="n">
        <v>33.8</v>
      </c>
      <c r="P120" s="14" t="n">
        <v>61.2</v>
      </c>
      <c r="Q120" s="14" t="n">
        <v>19.6</v>
      </c>
      <c r="R120" s="15"/>
      <c r="S120" s="15"/>
      <c r="T120" s="15"/>
    </row>
    <row r="121" customFormat="false" ht="12.8" hidden="false" customHeight="false" outlineLevel="0" collapsed="false">
      <c r="A121" s="1" t="n">
        <v>56.7</v>
      </c>
      <c r="B121" s="1" t="n">
        <v>16.1</v>
      </c>
      <c r="C121" s="1" t="n">
        <v>32.2</v>
      </c>
      <c r="D121" s="1" t="n">
        <v>8.2</v>
      </c>
      <c r="E121" s="1" t="n">
        <v>76.4</v>
      </c>
      <c r="F121" s="17" t="n">
        <v>9.97001361096626</v>
      </c>
      <c r="G121" s="1" t="n">
        <v>10.26</v>
      </c>
      <c r="H121" s="17" t="n">
        <v>0.289986389033741</v>
      </c>
      <c r="J121" s="12" t="n">
        <v>5</v>
      </c>
      <c r="K121" s="13" t="s">
        <v>84</v>
      </c>
      <c r="L121" s="13" t="n">
        <v>9.73</v>
      </c>
      <c r="M121" s="13" t="n">
        <v>62.2</v>
      </c>
      <c r="N121" s="13" t="n">
        <v>20.1</v>
      </c>
      <c r="O121" s="13" t="n">
        <v>34.9</v>
      </c>
      <c r="P121" s="14" t="n">
        <v>65.1</v>
      </c>
      <c r="Q121" s="14" t="n">
        <v>18.9</v>
      </c>
      <c r="R121" s="15"/>
      <c r="S121" s="15"/>
      <c r="T121" s="15"/>
    </row>
    <row r="122" customFormat="false" ht="12.8" hidden="false" customHeight="false" outlineLevel="0" collapsed="false">
      <c r="A122" s="1" t="n">
        <v>60.8</v>
      </c>
      <c r="B122" s="1" t="n">
        <v>14.2</v>
      </c>
      <c r="C122" s="1" t="n">
        <v>29.3</v>
      </c>
      <c r="D122" s="1" t="n">
        <v>9.2</v>
      </c>
      <c r="E122" s="1" t="n">
        <v>74.9</v>
      </c>
      <c r="F122" s="17" t="n">
        <v>9.81925129553033</v>
      </c>
      <c r="G122" s="1" t="n">
        <v>10.3</v>
      </c>
      <c r="H122" s="17" t="n">
        <v>0.480748704469669</v>
      </c>
      <c r="J122" s="12" t="n">
        <v>5</v>
      </c>
      <c r="K122" s="13" t="s">
        <v>88</v>
      </c>
      <c r="L122" s="13" t="n">
        <v>10.09</v>
      </c>
      <c r="M122" s="13" t="n">
        <v>58.6</v>
      </c>
      <c r="N122" s="13" t="n">
        <v>17.6</v>
      </c>
      <c r="O122" s="13" t="n">
        <v>36.1</v>
      </c>
      <c r="P122" s="14" t="n">
        <v>58.7</v>
      </c>
      <c r="Q122" s="14" t="n">
        <v>22.5</v>
      </c>
      <c r="R122" s="15"/>
      <c r="S122" s="15"/>
      <c r="T122" s="15"/>
    </row>
    <row r="123" customFormat="false" ht="12.8" hidden="false" customHeight="false" outlineLevel="0" collapsed="false">
      <c r="A123" s="1" t="n">
        <v>50.1</v>
      </c>
      <c r="B123" s="1" t="n">
        <v>14.3</v>
      </c>
      <c r="C123" s="1" t="n">
        <v>32.9</v>
      </c>
      <c r="D123" s="1" t="n">
        <v>12</v>
      </c>
      <c r="E123" s="1" t="n">
        <v>80.5</v>
      </c>
      <c r="F123" s="17" t="n">
        <v>10.0618157613001</v>
      </c>
      <c r="G123" s="1" t="n">
        <v>10.21</v>
      </c>
      <c r="H123" s="17" t="n">
        <v>0.148184238699939</v>
      </c>
      <c r="J123" s="12" t="n">
        <v>5</v>
      </c>
      <c r="K123" s="13" t="s">
        <v>89</v>
      </c>
      <c r="L123" s="13" t="n">
        <v>10.29</v>
      </c>
      <c r="M123" s="13" t="n">
        <v>46.8</v>
      </c>
      <c r="N123" s="13" t="n">
        <v>12.6</v>
      </c>
      <c r="O123" s="13" t="n">
        <v>35.5</v>
      </c>
      <c r="P123" s="14" t="n">
        <v>57</v>
      </c>
      <c r="Q123" s="14" t="n">
        <v>27.4</v>
      </c>
      <c r="R123" s="15"/>
      <c r="S123" s="15"/>
      <c r="T123" s="15"/>
    </row>
    <row r="124" customFormat="false" ht="12.8" hidden="false" customHeight="false" outlineLevel="0" collapsed="false">
      <c r="A124" s="1" t="n">
        <v>49.3</v>
      </c>
      <c r="B124" s="1" t="n">
        <v>17.9</v>
      </c>
      <c r="C124" s="1" t="n">
        <v>33.4</v>
      </c>
      <c r="D124" s="1" t="n">
        <v>9</v>
      </c>
      <c r="E124" s="1" t="n">
        <v>82</v>
      </c>
      <c r="F124" s="17" t="n">
        <v>10.1231813242893</v>
      </c>
      <c r="G124" s="1" t="n">
        <v>11</v>
      </c>
      <c r="H124" s="17" t="n">
        <v>0.876818675710684</v>
      </c>
      <c r="J124" s="12" t="n">
        <v>5</v>
      </c>
      <c r="K124" s="13" t="s">
        <v>90</v>
      </c>
      <c r="L124" s="13" t="n">
        <v>10.17</v>
      </c>
      <c r="M124" s="13" t="n">
        <v>54</v>
      </c>
      <c r="N124" s="13" t="n">
        <v>15.9</v>
      </c>
      <c r="O124" s="13" t="n">
        <v>34.7</v>
      </c>
      <c r="P124" s="14" t="n">
        <v>55.1</v>
      </c>
      <c r="Q124" s="14" t="n">
        <v>14.7</v>
      </c>
      <c r="R124" s="15"/>
      <c r="S124" s="15"/>
      <c r="T124" s="15"/>
    </row>
    <row r="125" customFormat="false" ht="12.8" hidden="false" customHeight="false" outlineLevel="0" collapsed="false">
      <c r="A125" s="1" t="n">
        <v>54</v>
      </c>
      <c r="B125" s="1" t="n">
        <v>21</v>
      </c>
      <c r="C125" s="1" t="n">
        <v>33.1</v>
      </c>
      <c r="D125" s="1" t="n">
        <v>9.1</v>
      </c>
      <c r="E125" s="1" t="n">
        <v>81.6</v>
      </c>
      <c r="F125" s="17" t="n">
        <v>10.0720010852601</v>
      </c>
      <c r="G125" s="1" t="n">
        <v>10.47</v>
      </c>
      <c r="H125" s="17" t="n">
        <v>0.397998914739947</v>
      </c>
      <c r="J125" s="12" t="n">
        <v>5</v>
      </c>
      <c r="K125" s="13" t="s">
        <v>91</v>
      </c>
      <c r="L125" s="13" t="n">
        <v>10.14</v>
      </c>
      <c r="M125" s="13" t="n">
        <v>54.7</v>
      </c>
      <c r="N125" s="13" t="n">
        <v>21.4</v>
      </c>
      <c r="O125" s="13" t="n">
        <v>37.2</v>
      </c>
      <c r="P125" s="14" t="n">
        <v>50.3</v>
      </c>
      <c r="Q125" s="14" t="n">
        <v>11.8</v>
      </c>
      <c r="R125" s="15"/>
      <c r="S125" s="15"/>
      <c r="T125" s="15"/>
    </row>
    <row r="126" customFormat="false" ht="12.8" hidden="false" customHeight="false" outlineLevel="0" collapsed="false">
      <c r="A126" s="1" t="n">
        <v>57.9</v>
      </c>
      <c r="B126" s="1" t="n">
        <v>29.1</v>
      </c>
      <c r="C126" s="1" t="n">
        <v>32.8</v>
      </c>
      <c r="D126" s="1" t="n">
        <v>11.2</v>
      </c>
      <c r="E126" s="1" t="n">
        <v>81.7</v>
      </c>
      <c r="F126" s="17" t="n">
        <v>10.0706468935409</v>
      </c>
      <c r="G126" s="1" t="n">
        <v>10.45</v>
      </c>
      <c r="H126" s="17" t="n">
        <v>0.379353106459146</v>
      </c>
      <c r="J126" s="12" t="n">
        <v>5</v>
      </c>
      <c r="K126" s="13" t="s">
        <v>92</v>
      </c>
      <c r="L126" s="13" t="n">
        <v>9.94</v>
      </c>
      <c r="M126" s="13" t="n">
        <v>53.8</v>
      </c>
      <c r="N126" s="13" t="n">
        <v>17.9</v>
      </c>
      <c r="O126" s="13" t="n">
        <v>36</v>
      </c>
      <c r="P126" s="14" t="n">
        <v>58.1</v>
      </c>
      <c r="Q126" s="14" t="n">
        <v>15.2</v>
      </c>
      <c r="R126" s="15"/>
      <c r="S126" s="15"/>
      <c r="T126" s="15"/>
    </row>
    <row r="127" customFormat="false" ht="12.8" hidden="false" customHeight="false" outlineLevel="0" collapsed="false">
      <c r="A127" s="1" t="n">
        <v>61</v>
      </c>
      <c r="B127" s="1" t="n">
        <v>24.3</v>
      </c>
      <c r="C127" s="1" t="n">
        <v>33.1</v>
      </c>
      <c r="D127" s="1" t="n">
        <v>8.9</v>
      </c>
      <c r="E127" s="1" t="n">
        <v>79.3</v>
      </c>
      <c r="F127" s="17" t="n">
        <v>9.99635210304544</v>
      </c>
      <c r="G127" s="1" t="n">
        <v>10.52</v>
      </c>
      <c r="H127" s="17" t="n">
        <v>0.523647896954561</v>
      </c>
      <c r="J127" s="12" t="n">
        <v>5</v>
      </c>
      <c r="K127" s="13" t="s">
        <v>93</v>
      </c>
      <c r="L127" s="13" t="n">
        <v>9.82</v>
      </c>
      <c r="M127" s="13" t="n">
        <v>55.5</v>
      </c>
      <c r="N127" s="13" t="n">
        <v>20.4</v>
      </c>
      <c r="O127" s="13" t="n">
        <v>35</v>
      </c>
      <c r="P127" s="14" t="n">
        <v>57.8</v>
      </c>
      <c r="Q127" s="14" t="n">
        <v>23.5</v>
      </c>
      <c r="R127" s="15"/>
      <c r="S127" s="15"/>
      <c r="T127" s="15"/>
    </row>
    <row r="128" customFormat="false" ht="12.8" hidden="false" customHeight="false" outlineLevel="0" collapsed="false">
      <c r="A128" s="1" t="n">
        <v>52.2</v>
      </c>
      <c r="B128" s="1" t="n">
        <v>14.6</v>
      </c>
      <c r="C128" s="1" t="n">
        <v>34.3</v>
      </c>
      <c r="D128" s="1" t="n">
        <v>8.9</v>
      </c>
      <c r="E128" s="1" t="n">
        <v>82.3</v>
      </c>
      <c r="F128" s="17" t="n">
        <v>10.07460272599</v>
      </c>
      <c r="G128" s="1" t="n">
        <v>10.14</v>
      </c>
      <c r="H128" s="17" t="n">
        <v>0.0653972740099817</v>
      </c>
      <c r="J128" s="12" t="n">
        <v>5</v>
      </c>
      <c r="K128" s="13" t="s">
        <v>94</v>
      </c>
      <c r="L128" s="13" t="n">
        <v>10.26</v>
      </c>
      <c r="M128" s="13" t="n">
        <v>66.8</v>
      </c>
      <c r="N128" s="13" t="n">
        <v>23.5</v>
      </c>
      <c r="O128" s="13" t="n">
        <v>34.4</v>
      </c>
      <c r="P128" s="14" t="n">
        <v>55.6</v>
      </c>
      <c r="Q128" s="14" t="n">
        <v>15.6</v>
      </c>
      <c r="R128" s="15"/>
      <c r="S128" s="15"/>
      <c r="T128" s="15"/>
    </row>
    <row r="129" customFormat="false" ht="12.8" hidden="false" customHeight="false" outlineLevel="0" collapsed="false">
      <c r="A129" s="1" t="n">
        <v>49.2</v>
      </c>
      <c r="B129" s="1" t="n">
        <v>12.9</v>
      </c>
      <c r="C129" s="1" t="n">
        <v>32.2</v>
      </c>
      <c r="D129" s="1" t="n">
        <v>9.6</v>
      </c>
      <c r="E129" s="1" t="n">
        <v>84.7</v>
      </c>
      <c r="F129" s="17" t="n">
        <v>10.0515034098885</v>
      </c>
      <c r="G129" s="1" t="n">
        <v>10.65</v>
      </c>
      <c r="H129" s="17" t="n">
        <v>0.598496590111495</v>
      </c>
      <c r="J129" s="12" t="n">
        <v>5</v>
      </c>
      <c r="K129" s="13" t="s">
        <v>95</v>
      </c>
      <c r="L129" s="13" t="n">
        <v>10.07</v>
      </c>
      <c r="M129" s="13" t="n">
        <v>57.9</v>
      </c>
      <c r="N129" s="13" t="n">
        <v>35.2</v>
      </c>
      <c r="O129" s="13" t="n">
        <v>33.4</v>
      </c>
      <c r="P129" s="14" t="n">
        <v>45.2</v>
      </c>
      <c r="Q129" s="14" t="n">
        <v>12.5</v>
      </c>
      <c r="R129" s="15"/>
      <c r="S129" s="15"/>
      <c r="T129" s="15"/>
    </row>
    <row r="130" customFormat="false" ht="12.8" hidden="false" customHeight="false" outlineLevel="0" collapsed="false">
      <c r="A130" s="1" t="n">
        <v>55.8</v>
      </c>
      <c r="B130" s="1" t="n">
        <v>25.9</v>
      </c>
      <c r="C130" s="1" t="n">
        <v>33.1</v>
      </c>
      <c r="D130" s="1" t="n">
        <v>9.6</v>
      </c>
      <c r="E130" s="1" t="n">
        <v>88.6</v>
      </c>
      <c r="F130" s="17" t="n">
        <v>10.0859108833247</v>
      </c>
      <c r="G130" s="1" t="n">
        <v>10.09</v>
      </c>
      <c r="H130" s="17" t="n">
        <v>0.00408911667525125</v>
      </c>
      <c r="J130" s="12" t="n">
        <v>5</v>
      </c>
      <c r="K130" s="13" t="s">
        <v>97</v>
      </c>
      <c r="L130" s="13" t="n">
        <v>9.92</v>
      </c>
      <c r="M130" s="13" t="n">
        <v>56.2</v>
      </c>
      <c r="N130" s="13" t="n">
        <v>18</v>
      </c>
      <c r="O130" s="13" t="n">
        <v>34.5</v>
      </c>
      <c r="P130" s="14" t="n">
        <v>50.9</v>
      </c>
      <c r="Q130" s="14" t="n">
        <v>14.3</v>
      </c>
      <c r="R130" s="15"/>
      <c r="S130" s="15"/>
      <c r="T130" s="15"/>
    </row>
    <row r="131" customFormat="false" ht="12.8" hidden="false" customHeight="false" outlineLevel="0" collapsed="false">
      <c r="A131" s="1" t="n">
        <v>47.3</v>
      </c>
      <c r="B131" s="1" t="n">
        <v>11.6</v>
      </c>
      <c r="C131" s="1" t="n">
        <v>34.5</v>
      </c>
      <c r="D131" s="1" t="n">
        <v>9.7</v>
      </c>
      <c r="E131" s="1" t="n">
        <v>82.3</v>
      </c>
      <c r="F131" s="17" t="n">
        <v>10.1251342483422</v>
      </c>
      <c r="G131" s="1" t="n">
        <v>10.29</v>
      </c>
      <c r="H131" s="17" t="n">
        <v>0.164865751657759</v>
      </c>
      <c r="J131" s="12" t="n">
        <v>5</v>
      </c>
      <c r="K131" s="13" t="s">
        <v>98</v>
      </c>
      <c r="L131" s="13" t="n">
        <v>9.96</v>
      </c>
      <c r="M131" s="13" t="n">
        <v>55.2</v>
      </c>
      <c r="N131" s="13" t="n">
        <v>19.5</v>
      </c>
      <c r="O131" s="13" t="n">
        <v>33.6</v>
      </c>
      <c r="P131" s="14" t="n">
        <v>49.6</v>
      </c>
      <c r="Q131" s="14" t="n">
        <v>23.5</v>
      </c>
      <c r="R131" s="15"/>
      <c r="S131" s="15"/>
      <c r="T131" s="15"/>
    </row>
    <row r="132" customFormat="false" ht="12.8" hidden="false" customHeight="false" outlineLevel="0" collapsed="false">
      <c r="A132" s="1" t="n">
        <v>58.1</v>
      </c>
      <c r="B132" s="1" t="n">
        <v>19.2</v>
      </c>
      <c r="C132" s="1" t="n">
        <v>34.3</v>
      </c>
      <c r="D132" s="1" t="n">
        <v>9.3</v>
      </c>
      <c r="E132" s="1" t="n">
        <v>82.5</v>
      </c>
      <c r="F132" s="17" t="n">
        <v>10.0250634006525</v>
      </c>
      <c r="G132" s="1" t="n">
        <v>9.79</v>
      </c>
      <c r="H132" s="17" t="n">
        <v>-0.235063400652471</v>
      </c>
      <c r="J132" s="12" t="n">
        <v>5</v>
      </c>
      <c r="K132" s="13" t="s">
        <v>99</v>
      </c>
      <c r="L132" s="13" t="n">
        <v>10.25</v>
      </c>
      <c r="M132" s="13" t="n">
        <v>54.4</v>
      </c>
      <c r="N132" s="13" t="n">
        <v>27.3</v>
      </c>
      <c r="O132" s="13" t="n">
        <v>36</v>
      </c>
      <c r="P132" s="14" t="n">
        <v>49.4</v>
      </c>
      <c r="Q132" s="14" t="n">
        <v>19.6</v>
      </c>
      <c r="R132" s="15"/>
      <c r="S132" s="15"/>
      <c r="T132" s="15"/>
    </row>
    <row r="133" customFormat="false" ht="12.8" hidden="false" customHeight="false" outlineLevel="0" collapsed="false">
      <c r="A133" s="1" t="n">
        <v>61.1</v>
      </c>
      <c r="B133" s="1" t="n">
        <v>17</v>
      </c>
      <c r="C133" s="1" t="n">
        <v>33.3</v>
      </c>
      <c r="D133" s="1" t="n">
        <v>10.6</v>
      </c>
      <c r="E133" s="1" t="n">
        <v>85.3</v>
      </c>
      <c r="F133" s="17" t="n">
        <v>9.93445262138117</v>
      </c>
      <c r="G133" s="1" t="n">
        <v>9.77</v>
      </c>
      <c r="H133" s="17" t="n">
        <v>-0.164452621381175</v>
      </c>
      <c r="J133" s="12" t="n">
        <v>5</v>
      </c>
      <c r="K133" s="13" t="s">
        <v>100</v>
      </c>
      <c r="L133" s="13" t="n">
        <v>10.23</v>
      </c>
      <c r="M133" s="13" t="n">
        <v>54.7</v>
      </c>
      <c r="N133" s="13" t="n">
        <v>35.9</v>
      </c>
      <c r="O133" s="13" t="n">
        <v>35.6</v>
      </c>
      <c r="P133" s="14" t="n">
        <v>53.1</v>
      </c>
      <c r="Q133" s="14" t="n">
        <v>16.1</v>
      </c>
      <c r="R133" s="15"/>
      <c r="S133" s="15"/>
      <c r="T133" s="15"/>
    </row>
    <row r="134" customFormat="false" ht="12.8" hidden="false" customHeight="false" outlineLevel="0" collapsed="false">
      <c r="A134" s="1" t="n">
        <v>60.6</v>
      </c>
      <c r="B134" s="1" t="n">
        <v>24.3</v>
      </c>
      <c r="C134" s="1" t="n">
        <v>35</v>
      </c>
      <c r="D134" s="1" t="n">
        <v>11.9</v>
      </c>
      <c r="E134" s="1" t="n">
        <v>83.6</v>
      </c>
      <c r="F134" s="17" t="n">
        <v>10.0426949568649</v>
      </c>
      <c r="G134" s="1" t="n">
        <v>10.05</v>
      </c>
      <c r="H134" s="17" t="n">
        <v>0.00730504313512626</v>
      </c>
      <c r="J134" s="12" t="n">
        <v>5</v>
      </c>
      <c r="K134" s="13" t="s">
        <v>101</v>
      </c>
      <c r="L134" s="13" t="n">
        <v>10.01</v>
      </c>
      <c r="M134" s="13" t="n">
        <v>59.2</v>
      </c>
      <c r="N134" s="13" t="n">
        <v>18.9</v>
      </c>
      <c r="O134" s="13" t="n">
        <v>34.3</v>
      </c>
      <c r="P134" s="14" t="n">
        <v>65.3</v>
      </c>
      <c r="Q134" s="14" t="n">
        <v>25.8</v>
      </c>
      <c r="R134" s="15"/>
      <c r="S134" s="15"/>
      <c r="T134" s="15"/>
    </row>
    <row r="135" customFormat="false" ht="12.8" hidden="false" customHeight="false" outlineLevel="0" collapsed="false">
      <c r="A135" s="1" t="n">
        <v>59.2</v>
      </c>
      <c r="B135" s="1" t="n">
        <v>36.2</v>
      </c>
      <c r="C135" s="1" t="n">
        <v>34.5</v>
      </c>
      <c r="D135" s="1" t="n">
        <v>9</v>
      </c>
      <c r="E135" s="1" t="n">
        <v>82.5</v>
      </c>
      <c r="F135" s="17" t="n">
        <v>10.1582731568818</v>
      </c>
      <c r="G135" s="1" t="n">
        <v>9.86</v>
      </c>
      <c r="H135" s="17" t="n">
        <v>-0.298273156881802</v>
      </c>
      <c r="J135" s="12" t="n">
        <v>5</v>
      </c>
      <c r="K135" s="13" t="s">
        <v>102</v>
      </c>
      <c r="L135" s="13" t="n">
        <v>10.1</v>
      </c>
      <c r="M135" s="13" t="n">
        <v>61.5</v>
      </c>
      <c r="N135" s="13" t="n">
        <v>16.5</v>
      </c>
      <c r="O135" s="13" t="n">
        <v>31.8</v>
      </c>
      <c r="P135" s="14" t="n">
        <v>56.8</v>
      </c>
      <c r="Q135" s="14" t="n">
        <v>31.6</v>
      </c>
      <c r="R135" s="15"/>
      <c r="S135" s="15"/>
      <c r="T135" s="15"/>
    </row>
    <row r="136" customFormat="false" ht="12.8" hidden="false" customHeight="false" outlineLevel="0" collapsed="false">
      <c r="A136" s="1" t="n">
        <v>75.1</v>
      </c>
      <c r="B136" s="1" t="n">
        <v>27.3</v>
      </c>
      <c r="C136" s="1" t="n">
        <v>34.7</v>
      </c>
      <c r="D136" s="1" t="n">
        <v>10.5</v>
      </c>
      <c r="E136" s="1" t="n">
        <v>84</v>
      </c>
      <c r="F136" s="17" t="n">
        <v>9.84847321382051</v>
      </c>
      <c r="G136" s="1" t="n">
        <v>9.98</v>
      </c>
      <c r="H136" s="17" t="n">
        <v>0.131526786179489</v>
      </c>
      <c r="J136" s="12" t="n">
        <v>5</v>
      </c>
      <c r="K136" s="13" t="s">
        <v>103</v>
      </c>
      <c r="L136" s="13" t="n">
        <v>10.36</v>
      </c>
      <c r="M136" s="13" t="n">
        <v>52.3</v>
      </c>
      <c r="N136" s="13" t="n">
        <v>14</v>
      </c>
      <c r="O136" s="13" t="n">
        <v>34.5</v>
      </c>
      <c r="P136" s="14" t="n">
        <v>54.7</v>
      </c>
      <c r="Q136" s="14" t="n">
        <v>19.7</v>
      </c>
      <c r="R136" s="15"/>
      <c r="S136" s="15"/>
      <c r="T136" s="15"/>
    </row>
    <row r="137" customFormat="false" ht="12.8" hidden="false" customHeight="false" outlineLevel="0" collapsed="false">
      <c r="A137" s="1" t="n">
        <v>57.4</v>
      </c>
      <c r="B137" s="1" t="n">
        <v>26.4</v>
      </c>
      <c r="C137" s="1" t="n">
        <v>35.1</v>
      </c>
      <c r="D137" s="1" t="n">
        <v>48</v>
      </c>
      <c r="E137" s="1" t="n">
        <v>9.9</v>
      </c>
      <c r="F137" s="17" t="n">
        <v>10.0282151188207</v>
      </c>
      <c r="G137" s="1" t="n">
        <v>9.53</v>
      </c>
      <c r="H137" s="17" t="n">
        <v>-0.498215118820678</v>
      </c>
      <c r="J137" s="12" t="n">
        <v>5</v>
      </c>
      <c r="K137" s="13" t="s">
        <v>104</v>
      </c>
      <c r="L137" s="13" t="n">
        <v>10.51</v>
      </c>
      <c r="M137" s="13" t="n">
        <v>55.6</v>
      </c>
      <c r="N137" s="13" t="n">
        <v>18</v>
      </c>
      <c r="O137" s="13" t="n">
        <v>35.1</v>
      </c>
      <c r="P137" s="14" t="n">
        <v>51.2</v>
      </c>
      <c r="Q137" s="14" t="n">
        <v>18.8</v>
      </c>
      <c r="R137" s="15"/>
      <c r="S137" s="15"/>
      <c r="T137" s="15"/>
    </row>
    <row r="138" customFormat="false" ht="12.8" hidden="false" customHeight="false" outlineLevel="0" collapsed="false">
      <c r="A138" s="1" t="n">
        <v>55.9</v>
      </c>
      <c r="B138" s="1" t="n">
        <v>14.9</v>
      </c>
      <c r="C138" s="1" t="n">
        <v>33</v>
      </c>
      <c r="D138" s="1" t="n">
        <v>55.1</v>
      </c>
      <c r="E138" s="1" t="n">
        <v>17.8</v>
      </c>
      <c r="F138" s="17" t="n">
        <v>9.88594181411613</v>
      </c>
      <c r="G138" s="1" t="n">
        <v>9.73</v>
      </c>
      <c r="H138" s="17" t="n">
        <v>-0.155941814116126</v>
      </c>
      <c r="J138" s="12" t="n">
        <v>5</v>
      </c>
      <c r="K138" s="13" t="s">
        <v>105</v>
      </c>
      <c r="L138" s="13" t="n">
        <v>10.21</v>
      </c>
      <c r="M138" s="13" t="n">
        <v>55.8</v>
      </c>
      <c r="N138" s="13" t="n">
        <v>28.1</v>
      </c>
      <c r="O138" s="13" t="n">
        <v>34.4</v>
      </c>
      <c r="P138" s="14" t="n">
        <v>54.7</v>
      </c>
      <c r="Q138" s="14" t="n">
        <v>24.2</v>
      </c>
      <c r="R138" s="15"/>
      <c r="S138" s="15"/>
      <c r="T138" s="15"/>
    </row>
    <row r="139" customFormat="false" ht="12.8" hidden="false" customHeight="false" outlineLevel="0" collapsed="false">
      <c r="A139" s="1" t="n">
        <v>58.3</v>
      </c>
      <c r="B139" s="1" t="n">
        <v>23.9</v>
      </c>
      <c r="C139" s="1" t="n">
        <v>34.9</v>
      </c>
      <c r="D139" s="1" t="n">
        <v>57.9</v>
      </c>
      <c r="E139" s="1" t="n">
        <v>14.6</v>
      </c>
      <c r="F139" s="17" t="n">
        <v>9.96708538127028</v>
      </c>
      <c r="G139" s="1" t="n">
        <v>9.96</v>
      </c>
      <c r="H139" s="17" t="n">
        <v>-0.00708538127027758</v>
      </c>
      <c r="J139" s="12" t="n">
        <v>5</v>
      </c>
      <c r="K139" s="13" t="s">
        <v>106</v>
      </c>
      <c r="L139" s="13" t="n">
        <v>10.32</v>
      </c>
      <c r="M139" s="13" t="n">
        <v>62</v>
      </c>
      <c r="N139" s="13" t="n">
        <v>31.1</v>
      </c>
      <c r="O139" s="13" t="n">
        <v>35</v>
      </c>
      <c r="P139" s="14" t="n">
        <v>52.3</v>
      </c>
      <c r="Q139" s="14" t="n">
        <v>36.1</v>
      </c>
      <c r="R139" s="15"/>
      <c r="S139" s="15"/>
      <c r="T139" s="15"/>
    </row>
    <row r="140" customFormat="false" ht="12.8" hidden="false" customHeight="false" outlineLevel="0" collapsed="false">
      <c r="A140" s="1" t="n">
        <v>54.2</v>
      </c>
      <c r="B140" s="1" t="n">
        <v>12.4</v>
      </c>
      <c r="C140" s="1" t="n">
        <v>33.6</v>
      </c>
      <c r="D140" s="1" t="n">
        <v>60</v>
      </c>
      <c r="E140" s="1" t="n">
        <v>27.4</v>
      </c>
      <c r="F140" s="17" t="n">
        <v>9.89435607246488</v>
      </c>
      <c r="G140" s="1" t="n">
        <v>9.76</v>
      </c>
      <c r="H140" s="17" t="n">
        <v>-0.134356072464881</v>
      </c>
      <c r="J140" s="12" t="n">
        <v>5</v>
      </c>
      <c r="K140" s="13" t="s">
        <v>107</v>
      </c>
      <c r="L140" s="13" t="n">
        <v>10.2</v>
      </c>
      <c r="M140" s="13" t="n">
        <v>64.9</v>
      </c>
      <c r="N140" s="13" t="n">
        <v>29.1</v>
      </c>
      <c r="O140" s="13" t="n">
        <v>35.1</v>
      </c>
      <c r="P140" s="14" t="n">
        <v>58.3</v>
      </c>
      <c r="Q140" s="14" t="n">
        <v>22.1</v>
      </c>
      <c r="R140" s="15"/>
      <c r="S140" s="15"/>
      <c r="T140" s="15"/>
    </row>
    <row r="141" customFormat="false" ht="12.8" hidden="false" customHeight="false" outlineLevel="0" collapsed="false">
      <c r="A141" s="1" t="n">
        <v>48</v>
      </c>
      <c r="B141" s="1" t="n">
        <v>9.4</v>
      </c>
      <c r="C141" s="1" t="n">
        <v>34.4</v>
      </c>
      <c r="D141" s="1" t="n">
        <v>53.8</v>
      </c>
      <c r="E141" s="1" t="n">
        <v>28.7</v>
      </c>
      <c r="F141" s="17" t="n">
        <v>9.99447457515895</v>
      </c>
      <c r="G141" s="1" t="n">
        <v>9.82</v>
      </c>
      <c r="H141" s="17" t="n">
        <v>-0.17447457515895</v>
      </c>
      <c r="J141" s="12" t="n">
        <v>5</v>
      </c>
      <c r="K141" s="13" t="s">
        <v>108</v>
      </c>
      <c r="L141" s="13" t="n">
        <v>9.76</v>
      </c>
      <c r="M141" s="13" t="n">
        <v>55.9</v>
      </c>
      <c r="N141" s="13" t="n">
        <v>15.7</v>
      </c>
      <c r="O141" s="13" t="n">
        <v>34.9</v>
      </c>
      <c r="P141" s="14" t="n">
        <v>61.2</v>
      </c>
      <c r="Q141" s="14" t="n">
        <v>17.7</v>
      </c>
      <c r="R141" s="15"/>
      <c r="S141" s="15"/>
      <c r="T141" s="15"/>
    </row>
    <row r="142" customFormat="false" ht="12.8" hidden="false" customHeight="false" outlineLevel="0" collapsed="false">
      <c r="A142" s="1" t="n">
        <v>44.8</v>
      </c>
      <c r="B142" s="1" t="n">
        <v>14.5</v>
      </c>
      <c r="C142" s="1" t="n">
        <v>34.8</v>
      </c>
      <c r="D142" s="1" t="n">
        <v>73.8</v>
      </c>
      <c r="E142" s="1" t="n">
        <v>24</v>
      </c>
      <c r="F142" s="17" t="n">
        <v>10.0507746424153</v>
      </c>
      <c r="G142" s="1" t="n">
        <v>9.87</v>
      </c>
      <c r="H142" s="17" t="n">
        <v>-0.180774642415276</v>
      </c>
      <c r="J142" s="12" t="n">
        <v>5</v>
      </c>
      <c r="K142" s="13" t="s">
        <v>109</v>
      </c>
      <c r="L142" s="13" t="n">
        <v>10.26</v>
      </c>
      <c r="M142" s="13" t="n">
        <v>49</v>
      </c>
      <c r="N142" s="13" t="n">
        <v>16</v>
      </c>
      <c r="O142" s="13" t="n">
        <v>34.6</v>
      </c>
      <c r="P142" s="14" t="n">
        <v>51.5</v>
      </c>
      <c r="Q142" s="14" t="n">
        <v>17.3</v>
      </c>
      <c r="R142" s="15"/>
      <c r="S142" s="15"/>
      <c r="T142" s="15"/>
    </row>
    <row r="143" customFormat="false" ht="12.8" hidden="false" customHeight="false" outlineLevel="0" collapsed="false">
      <c r="A143" s="1" t="n">
        <v>51.5</v>
      </c>
      <c r="B143" s="1" t="n">
        <v>8.9</v>
      </c>
      <c r="C143" s="1" t="n">
        <v>35.5</v>
      </c>
      <c r="D143" s="1" t="n">
        <v>55</v>
      </c>
      <c r="E143" s="1" t="n">
        <v>23.9</v>
      </c>
      <c r="F143" s="17" t="n">
        <v>9.96257883627768</v>
      </c>
      <c r="G143" s="1" t="n">
        <v>10</v>
      </c>
      <c r="H143" s="17" t="n">
        <v>0.0374211637223247</v>
      </c>
      <c r="J143" s="12" t="n">
        <v>5</v>
      </c>
      <c r="K143" s="13" t="s">
        <v>110</v>
      </c>
      <c r="L143" s="13" t="n">
        <v>9.89</v>
      </c>
      <c r="M143" s="13" t="n">
        <v>57.8</v>
      </c>
      <c r="N143" s="13" t="n">
        <v>28.9</v>
      </c>
      <c r="O143" s="13" t="n">
        <v>34.4</v>
      </c>
      <c r="P143" s="14" t="n">
        <v>53.4</v>
      </c>
      <c r="Q143" s="14" t="n">
        <v>19.9</v>
      </c>
      <c r="R143" s="15"/>
      <c r="S143" s="15"/>
      <c r="T143" s="15"/>
    </row>
    <row r="144" customFormat="false" ht="12.8" hidden="false" customHeight="false" outlineLevel="0" collapsed="false">
      <c r="A144" s="1" t="n">
        <v>46.5</v>
      </c>
      <c r="B144" s="1" t="n">
        <v>10.5</v>
      </c>
      <c r="C144" s="1" t="n">
        <v>35.1</v>
      </c>
      <c r="D144" s="1" t="n">
        <v>52.8</v>
      </c>
      <c r="E144" s="1" t="n">
        <v>20.2</v>
      </c>
      <c r="F144" s="17" t="n">
        <v>10.0452302071205</v>
      </c>
      <c r="G144" s="1" t="n">
        <v>10.02</v>
      </c>
      <c r="H144" s="17" t="n">
        <v>-0.0252302071204831</v>
      </c>
      <c r="J144" s="12" t="n">
        <v>6</v>
      </c>
      <c r="K144" s="13" t="s">
        <v>42</v>
      </c>
      <c r="L144" s="13" t="n">
        <v>10.21</v>
      </c>
      <c r="M144" s="13" t="n">
        <v>49.1</v>
      </c>
      <c r="N144" s="13" t="n">
        <v>11.7</v>
      </c>
      <c r="O144" s="13" t="n">
        <v>32.7</v>
      </c>
      <c r="P144" s="14" t="n">
        <v>55.3</v>
      </c>
      <c r="Q144" s="14" t="n">
        <v>22.5</v>
      </c>
      <c r="R144" s="15"/>
      <c r="S144" s="15"/>
      <c r="T144" s="15"/>
    </row>
    <row r="145" customFormat="false" ht="12.8" hidden="false" customHeight="false" outlineLevel="0" collapsed="false">
      <c r="A145" s="1" t="n">
        <v>67.5</v>
      </c>
      <c r="B145" s="1" t="n">
        <v>21.9</v>
      </c>
      <c r="C145" s="1" t="n">
        <v>34.9</v>
      </c>
      <c r="D145" s="1" t="n">
        <v>53.3</v>
      </c>
      <c r="E145" s="1" t="n">
        <v>22.7</v>
      </c>
      <c r="F145" s="17" t="n">
        <v>9.82396313433205</v>
      </c>
      <c r="G145" s="1" t="n">
        <v>9.33</v>
      </c>
      <c r="H145" s="17" t="n">
        <v>-0.493963134332052</v>
      </c>
      <c r="J145" s="12" t="n">
        <v>6</v>
      </c>
      <c r="K145" s="13" t="s">
        <v>45</v>
      </c>
      <c r="L145" s="13" t="n">
        <v>9.49</v>
      </c>
      <c r="M145" s="13" t="n">
        <v>61.1</v>
      </c>
      <c r="N145" s="13" t="n">
        <v>22.2</v>
      </c>
      <c r="O145" s="13" t="n">
        <v>32.2</v>
      </c>
      <c r="P145" s="14" t="n">
        <v>58.5</v>
      </c>
      <c r="Q145" s="14" t="n">
        <v>30.1</v>
      </c>
      <c r="R145" s="15"/>
      <c r="S145" s="15"/>
      <c r="T145" s="15"/>
    </row>
    <row r="146" customFormat="false" ht="12.8" hidden="false" customHeight="false" outlineLevel="0" collapsed="false">
      <c r="A146" s="1" t="n">
        <v>69.1</v>
      </c>
      <c r="B146" s="1" t="n">
        <v>33.1</v>
      </c>
      <c r="C146" s="1" t="n">
        <v>33.7</v>
      </c>
      <c r="D146" s="1" t="n">
        <v>51.2</v>
      </c>
      <c r="E146" s="1" t="n">
        <v>13.5</v>
      </c>
      <c r="F146" s="17" t="n">
        <v>9.86974332006952</v>
      </c>
      <c r="G146" s="1" t="n">
        <v>9.57</v>
      </c>
      <c r="H146" s="17" t="n">
        <v>-0.299743320069524</v>
      </c>
      <c r="J146" s="12" t="n">
        <v>6</v>
      </c>
      <c r="K146" s="13" t="s">
        <v>46</v>
      </c>
      <c r="L146" s="13" t="n">
        <v>9.63</v>
      </c>
      <c r="M146" s="13" t="n">
        <v>62.5</v>
      </c>
      <c r="N146" s="13" t="n">
        <v>21.7</v>
      </c>
      <c r="O146" s="13" t="n">
        <v>33.5</v>
      </c>
      <c r="P146" s="14" t="n">
        <v>63.8</v>
      </c>
      <c r="Q146" s="14" t="n">
        <v>26.5</v>
      </c>
      <c r="R146" s="15"/>
      <c r="S146" s="15"/>
      <c r="T146" s="15"/>
    </row>
    <row r="147" customFormat="false" ht="12.8" hidden="false" customHeight="false" outlineLevel="0" collapsed="false">
      <c r="A147" s="1" t="n">
        <v>65.4</v>
      </c>
      <c r="B147" s="1" t="n">
        <v>22.5</v>
      </c>
      <c r="C147" s="1" t="n">
        <v>35.1</v>
      </c>
      <c r="D147" s="1" t="n">
        <v>47</v>
      </c>
      <c r="E147" s="1" t="n">
        <v>8.4</v>
      </c>
      <c r="F147" s="17" t="n">
        <v>9.87854164814599</v>
      </c>
      <c r="G147" s="1" t="n">
        <v>9.66</v>
      </c>
      <c r="H147" s="17" t="n">
        <v>-0.21854164814599</v>
      </c>
      <c r="J147" s="12" t="n">
        <v>6</v>
      </c>
      <c r="K147" s="13" t="s">
        <v>48</v>
      </c>
      <c r="L147" s="13" t="n">
        <v>10.01</v>
      </c>
      <c r="M147" s="13" t="n">
        <v>64.4</v>
      </c>
      <c r="N147" s="13" t="n">
        <v>22.9</v>
      </c>
      <c r="O147" s="13" t="n">
        <v>33.1</v>
      </c>
      <c r="P147" s="14" t="n">
        <v>51.9</v>
      </c>
      <c r="Q147" s="14" t="n">
        <v>21.7</v>
      </c>
      <c r="R147" s="15"/>
      <c r="S147" s="15"/>
      <c r="T147" s="15"/>
    </row>
    <row r="148" customFormat="false" ht="12.8" hidden="false" customHeight="false" outlineLevel="0" collapsed="false">
      <c r="A148" s="1" t="n">
        <v>64.2</v>
      </c>
      <c r="B148" s="1" t="n">
        <v>20.8</v>
      </c>
      <c r="C148" s="1" t="n">
        <v>35.2</v>
      </c>
      <c r="D148" s="1" t="n">
        <v>43.8</v>
      </c>
      <c r="E148" s="1" t="n">
        <v>12.9</v>
      </c>
      <c r="F148" s="17" t="n">
        <v>9.89165113952358</v>
      </c>
      <c r="G148" s="1" t="n">
        <v>9.91</v>
      </c>
      <c r="H148" s="17" t="n">
        <v>0.0183488604764186</v>
      </c>
      <c r="J148" s="12" t="n">
        <v>6</v>
      </c>
      <c r="K148" s="13" t="s">
        <v>49</v>
      </c>
      <c r="L148" s="13" t="n">
        <v>9.85</v>
      </c>
      <c r="M148" s="13" t="n">
        <v>61.2</v>
      </c>
      <c r="N148" s="13" t="n">
        <v>31.9</v>
      </c>
      <c r="O148" s="13" t="n">
        <v>34.3</v>
      </c>
      <c r="P148" s="14" t="n">
        <v>50.5</v>
      </c>
      <c r="Q148" s="14" t="n">
        <v>16.9</v>
      </c>
      <c r="R148" s="15"/>
      <c r="S148" s="15"/>
      <c r="T148" s="15"/>
    </row>
    <row r="149" customFormat="false" ht="12.8" hidden="false" customHeight="false" outlineLevel="0" collapsed="false">
      <c r="A149" s="1" t="n">
        <v>64.5</v>
      </c>
      <c r="B149" s="1" t="n">
        <v>21</v>
      </c>
      <c r="C149" s="1" t="n">
        <v>33.4</v>
      </c>
      <c r="D149" s="1" t="n">
        <v>50.5</v>
      </c>
      <c r="E149" s="1" t="n">
        <v>7.5</v>
      </c>
      <c r="F149" s="17" t="n">
        <v>9.82952397631036</v>
      </c>
      <c r="G149" s="1" t="n">
        <v>9.67</v>
      </c>
      <c r="H149" s="17" t="n">
        <v>-0.159523976310359</v>
      </c>
      <c r="J149" s="12" t="n">
        <v>6</v>
      </c>
      <c r="K149" s="13" t="s">
        <v>50</v>
      </c>
      <c r="L149" s="13" t="n">
        <v>9.84</v>
      </c>
      <c r="M149" s="13" t="n">
        <v>77.3</v>
      </c>
      <c r="N149" s="13" t="n">
        <v>25.7</v>
      </c>
      <c r="O149" s="13" t="n">
        <v>34.4</v>
      </c>
      <c r="P149" s="14" t="n">
        <v>55.8</v>
      </c>
      <c r="Q149" s="14" t="n">
        <v>30.8</v>
      </c>
      <c r="R149" s="15"/>
      <c r="S149" s="15"/>
      <c r="T149" s="15"/>
    </row>
    <row r="150" customFormat="false" ht="12.8" hidden="false" customHeight="false" outlineLevel="0" collapsed="false">
      <c r="A150" s="1" t="n">
        <v>61.4</v>
      </c>
      <c r="B150" s="1" t="n">
        <v>29.8</v>
      </c>
      <c r="C150" s="1" t="n">
        <v>35.2</v>
      </c>
      <c r="D150" s="1" t="n">
        <v>46.1</v>
      </c>
      <c r="E150" s="1" t="n">
        <v>8.9</v>
      </c>
      <c r="F150" s="17" t="n">
        <v>10.0042251548646</v>
      </c>
      <c r="G150" s="1" t="n">
        <v>9.49</v>
      </c>
      <c r="H150" s="17" t="n">
        <v>-0.514225154864601</v>
      </c>
      <c r="J150" s="12" t="n">
        <v>6</v>
      </c>
      <c r="K150" s="13" t="s">
        <v>51</v>
      </c>
      <c r="L150" s="13" t="n">
        <v>9.59</v>
      </c>
      <c r="M150" s="13" t="n">
        <v>58.2</v>
      </c>
      <c r="N150" s="13" t="n">
        <v>26.7</v>
      </c>
      <c r="O150" s="13" t="n">
        <v>34</v>
      </c>
      <c r="P150" s="13" t="n">
        <v>34.2</v>
      </c>
      <c r="Q150" s="13" t="n">
        <v>83.3</v>
      </c>
    </row>
    <row r="151" customFormat="false" ht="12.8" hidden="false" customHeight="false" outlineLevel="0" collapsed="false">
      <c r="A151" s="1" t="n">
        <v>63.4</v>
      </c>
      <c r="B151" s="1" t="n">
        <v>26</v>
      </c>
      <c r="C151" s="1" t="n">
        <v>36.1</v>
      </c>
      <c r="D151" s="1" t="n">
        <v>66.4</v>
      </c>
      <c r="E151" s="1" t="n">
        <v>17.7</v>
      </c>
      <c r="F151" s="17" t="n">
        <v>9.92009763554475</v>
      </c>
      <c r="G151" s="1" t="n">
        <v>9.8</v>
      </c>
      <c r="H151" s="17" t="n">
        <v>-0.120097635544749</v>
      </c>
      <c r="J151" s="12" t="n">
        <v>6</v>
      </c>
      <c r="K151" s="13" t="s">
        <v>52</v>
      </c>
      <c r="L151" s="13" t="n">
        <v>9.66</v>
      </c>
      <c r="M151" s="13" t="n">
        <v>55.5</v>
      </c>
      <c r="N151" s="13" t="n">
        <v>15</v>
      </c>
      <c r="O151" s="13" t="n">
        <v>33.3</v>
      </c>
      <c r="P151" s="13" t="n">
        <v>35.2</v>
      </c>
      <c r="Q151" s="13" t="n">
        <v>80.8</v>
      </c>
    </row>
    <row r="152" customFormat="false" ht="12.8" hidden="false" customHeight="false" outlineLevel="0" collapsed="false">
      <c r="A152" s="1" t="n">
        <v>56.5</v>
      </c>
      <c r="B152" s="1" t="n">
        <v>16.7</v>
      </c>
      <c r="C152" s="1" t="n">
        <v>35.5</v>
      </c>
      <c r="D152" s="1" t="n">
        <v>66.3</v>
      </c>
      <c r="E152" s="1" t="n">
        <v>29.3</v>
      </c>
      <c r="F152" s="17" t="n">
        <v>9.92965150794038</v>
      </c>
      <c r="G152" s="1" t="n">
        <v>9.75</v>
      </c>
      <c r="H152" s="17" t="n">
        <v>-0.179651507940383</v>
      </c>
      <c r="J152" s="12" t="n">
        <v>6</v>
      </c>
      <c r="K152" s="13" t="s">
        <v>53</v>
      </c>
      <c r="L152" s="13" t="n">
        <v>9.79</v>
      </c>
      <c r="M152" s="13" t="n">
        <v>61</v>
      </c>
      <c r="N152" s="13" t="n">
        <v>25.4</v>
      </c>
      <c r="O152" s="13" t="n">
        <v>34.4</v>
      </c>
      <c r="P152" s="13" t="n">
        <v>36.6</v>
      </c>
      <c r="Q152" s="13" t="n">
        <v>81.4</v>
      </c>
    </row>
    <row r="153" customFormat="false" ht="12.8" hidden="false" customHeight="false" outlineLevel="0" collapsed="false">
      <c r="A153" s="1" t="n">
        <v>53.1</v>
      </c>
      <c r="B153" s="1" t="n">
        <v>13.6</v>
      </c>
      <c r="C153" s="1" t="n">
        <v>34.7</v>
      </c>
      <c r="D153" s="1" t="n">
        <v>63.7</v>
      </c>
      <c r="E153" s="1" t="n">
        <v>21.1</v>
      </c>
      <c r="F153" s="17" t="n">
        <v>9.93959923900049</v>
      </c>
      <c r="G153" s="1" t="n">
        <v>10.01</v>
      </c>
      <c r="H153" s="17" t="n">
        <v>0.0704007609995152</v>
      </c>
      <c r="J153" s="12" t="n">
        <v>6</v>
      </c>
      <c r="K153" s="13" t="s">
        <v>54</v>
      </c>
      <c r="L153" s="13" t="n">
        <v>9.81</v>
      </c>
      <c r="M153" s="13" t="n">
        <v>55.2</v>
      </c>
      <c r="N153" s="13" t="n">
        <v>13.2</v>
      </c>
      <c r="O153" s="13" t="n">
        <v>33</v>
      </c>
      <c r="P153" s="13" t="n">
        <v>33.7</v>
      </c>
      <c r="Q153" s="13" t="n">
        <v>82</v>
      </c>
    </row>
    <row r="154" customFormat="false" ht="12.8" hidden="false" customHeight="false" outlineLevel="0" collapsed="false">
      <c r="A154" s="1" t="n">
        <v>60.4</v>
      </c>
      <c r="B154" s="1" t="n">
        <v>18.4</v>
      </c>
      <c r="C154" s="1" t="n">
        <v>33.8</v>
      </c>
      <c r="D154" s="1" t="n">
        <v>61.2</v>
      </c>
      <c r="E154" s="1" t="n">
        <v>19.6</v>
      </c>
      <c r="F154" s="17" t="n">
        <v>9.85509848799673</v>
      </c>
      <c r="G154" s="1" t="n">
        <v>9.81</v>
      </c>
      <c r="H154" s="17" t="n">
        <v>-0.0450984879967251</v>
      </c>
      <c r="J154" s="12" t="n">
        <v>6</v>
      </c>
      <c r="K154" s="13" t="s">
        <v>56</v>
      </c>
      <c r="L154" s="13" t="n">
        <v>9.78</v>
      </c>
      <c r="M154" s="13" t="n">
        <v>49.8</v>
      </c>
      <c r="N154" s="13" t="n">
        <v>8.4</v>
      </c>
      <c r="O154" s="13" t="n">
        <v>33.7</v>
      </c>
      <c r="P154" s="13" t="n">
        <v>32.2</v>
      </c>
      <c r="Q154" s="13" t="n">
        <v>81.6</v>
      </c>
    </row>
    <row r="155" customFormat="false" ht="12.8" hidden="false" customHeight="false" outlineLevel="0" collapsed="false">
      <c r="A155" s="1" t="n">
        <v>62.2</v>
      </c>
      <c r="B155" s="1" t="n">
        <v>20.1</v>
      </c>
      <c r="C155" s="1" t="n">
        <v>34.9</v>
      </c>
      <c r="D155" s="1" t="n">
        <v>65.1</v>
      </c>
      <c r="E155" s="1" t="n">
        <v>18.9</v>
      </c>
      <c r="F155" s="17" t="n">
        <v>9.86126994149036</v>
      </c>
      <c r="G155" s="1" t="n">
        <v>9.73</v>
      </c>
      <c r="H155" s="17" t="n">
        <v>-0.131269941490361</v>
      </c>
      <c r="J155" s="12" t="n">
        <v>6</v>
      </c>
      <c r="K155" s="13" t="s">
        <v>58</v>
      </c>
      <c r="L155" s="13" t="n">
        <v>9.77</v>
      </c>
      <c r="M155" s="13" t="n">
        <v>46.9</v>
      </c>
      <c r="N155" s="13" t="n">
        <v>14.4</v>
      </c>
      <c r="O155" s="13" t="n">
        <v>34.2</v>
      </c>
      <c r="P155" s="13" t="n">
        <v>32.2</v>
      </c>
      <c r="Q155" s="13" t="n">
        <v>81.7</v>
      </c>
    </row>
    <row r="156" customFormat="false" ht="12.8" hidden="false" customHeight="false" outlineLevel="0" collapsed="false">
      <c r="A156" s="1" t="n">
        <v>58.6</v>
      </c>
      <c r="B156" s="1" t="n">
        <v>17.6</v>
      </c>
      <c r="C156" s="1" t="n">
        <v>36.1</v>
      </c>
      <c r="D156" s="1" t="n">
        <v>58.7</v>
      </c>
      <c r="E156" s="1" t="n">
        <v>22.5</v>
      </c>
      <c r="F156" s="17" t="n">
        <v>9.93740159736635</v>
      </c>
      <c r="G156" s="1" t="n">
        <v>10.09</v>
      </c>
      <c r="H156" s="17" t="n">
        <v>0.152598402633654</v>
      </c>
      <c r="J156" s="12" t="n">
        <v>6</v>
      </c>
      <c r="K156" s="13" t="s">
        <v>60</v>
      </c>
      <c r="L156" s="13" t="n">
        <v>9.98</v>
      </c>
      <c r="M156" s="13" t="n">
        <v>53.1</v>
      </c>
      <c r="N156" s="13" t="n">
        <v>9.5</v>
      </c>
      <c r="O156" s="13" t="n">
        <v>35.2</v>
      </c>
      <c r="P156" s="13" t="n">
        <v>34.1</v>
      </c>
      <c r="Q156" s="13" t="n">
        <v>80.4</v>
      </c>
    </row>
    <row r="157" customFormat="false" ht="12.8" hidden="false" customHeight="false" outlineLevel="0" collapsed="false">
      <c r="A157" s="1" t="n">
        <v>46.8</v>
      </c>
      <c r="B157" s="1" t="n">
        <v>12.6</v>
      </c>
      <c r="C157" s="1" t="n">
        <v>35.5</v>
      </c>
      <c r="D157" s="1" t="n">
        <v>57</v>
      </c>
      <c r="E157" s="1" t="n">
        <v>27.4</v>
      </c>
      <c r="F157" s="17" t="n">
        <v>10.0594199625286</v>
      </c>
      <c r="G157" s="1" t="n">
        <v>10.29</v>
      </c>
      <c r="H157" s="17" t="n">
        <v>0.230580037471434</v>
      </c>
      <c r="J157" s="12" t="n">
        <v>6</v>
      </c>
      <c r="K157" s="13" t="s">
        <v>62</v>
      </c>
      <c r="L157" s="13" t="n">
        <v>10.02</v>
      </c>
      <c r="M157" s="13" t="n">
        <v>48.2</v>
      </c>
      <c r="N157" s="13" t="n">
        <v>10.4</v>
      </c>
      <c r="O157" s="13" t="n">
        <v>34</v>
      </c>
      <c r="P157" s="13" t="n">
        <v>33.9</v>
      </c>
      <c r="Q157" s="13" t="n">
        <v>80.9</v>
      </c>
    </row>
    <row r="158" customFormat="false" ht="12.8" hidden="false" customHeight="false" outlineLevel="0" collapsed="false">
      <c r="A158" s="1" t="n">
        <v>54</v>
      </c>
      <c r="B158" s="1" t="n">
        <v>15.9</v>
      </c>
      <c r="C158" s="1" t="n">
        <v>34.7</v>
      </c>
      <c r="D158" s="1" t="n">
        <v>55.1</v>
      </c>
      <c r="E158" s="1" t="n">
        <v>14.7</v>
      </c>
      <c r="F158" s="17" t="n">
        <v>9.96444451839903</v>
      </c>
      <c r="G158" s="1" t="n">
        <v>10.17</v>
      </c>
      <c r="H158" s="17" t="n">
        <v>0.205555481600967</v>
      </c>
      <c r="J158" s="12" t="n">
        <v>6</v>
      </c>
      <c r="K158" s="13" t="s">
        <v>64</v>
      </c>
      <c r="L158" s="13" t="n">
        <v>9.35</v>
      </c>
      <c r="M158" s="13" t="n">
        <v>69.9</v>
      </c>
      <c r="N158" s="13" t="n">
        <v>22</v>
      </c>
      <c r="O158" s="13" t="n">
        <v>33.5</v>
      </c>
      <c r="P158" s="13" t="n">
        <v>38.6</v>
      </c>
      <c r="Q158" s="13" t="n">
        <v>82.9</v>
      </c>
    </row>
    <row r="159" customFormat="false" ht="12.8" hidden="false" customHeight="false" outlineLevel="0" collapsed="false">
      <c r="A159" s="1" t="n">
        <v>54.7</v>
      </c>
      <c r="B159" s="1" t="n">
        <v>21.4</v>
      </c>
      <c r="C159" s="1" t="n">
        <v>37.2</v>
      </c>
      <c r="D159" s="1" t="n">
        <v>50.3</v>
      </c>
      <c r="E159" s="1" t="n">
        <v>11.8</v>
      </c>
      <c r="F159" s="17" t="n">
        <v>10.0727655169664</v>
      </c>
      <c r="G159" s="1" t="n">
        <v>10.14</v>
      </c>
      <c r="H159" s="17" t="n">
        <v>0.0672344830335607</v>
      </c>
      <c r="J159" s="12" t="n">
        <v>6</v>
      </c>
      <c r="K159" s="13" t="s">
        <v>66</v>
      </c>
      <c r="L159" s="13" t="n">
        <v>9.62</v>
      </c>
      <c r="M159" s="13" t="n">
        <v>71.8</v>
      </c>
      <c r="N159" s="13" t="n">
        <v>31.9</v>
      </c>
      <c r="O159" s="13" t="n">
        <v>33.5</v>
      </c>
      <c r="P159" s="13" t="n">
        <v>39.4</v>
      </c>
      <c r="Q159" s="13" t="n">
        <v>81.9</v>
      </c>
    </row>
    <row r="160" customFormat="false" ht="12.8" hidden="false" customHeight="false" outlineLevel="0" collapsed="false">
      <c r="A160" s="1" t="n">
        <v>53.8</v>
      </c>
      <c r="B160" s="1" t="n">
        <v>17.9</v>
      </c>
      <c r="C160" s="1" t="n">
        <v>36</v>
      </c>
      <c r="D160" s="1" t="n">
        <v>58.1</v>
      </c>
      <c r="E160" s="1" t="n">
        <v>15.2</v>
      </c>
      <c r="F160" s="17" t="n">
        <v>10.0098172299197</v>
      </c>
      <c r="G160" s="1" t="n">
        <v>9.94</v>
      </c>
      <c r="H160" s="17" t="n">
        <v>-0.0698172299197495</v>
      </c>
      <c r="J160" s="12" t="n">
        <v>6</v>
      </c>
      <c r="K160" s="13" t="s">
        <v>67</v>
      </c>
      <c r="L160" s="13" t="n">
        <v>9.94</v>
      </c>
      <c r="M160" s="13" t="n">
        <v>66.6</v>
      </c>
      <c r="N160" s="13" t="n">
        <v>23.7</v>
      </c>
      <c r="O160" s="13" t="n">
        <v>33.9</v>
      </c>
      <c r="P160" s="13" t="n">
        <v>36</v>
      </c>
      <c r="Q160" s="13" t="n">
        <v>81</v>
      </c>
    </row>
    <row r="161" customFormat="false" ht="12.8" hidden="false" customHeight="false" outlineLevel="0" collapsed="false">
      <c r="A161" s="1" t="n">
        <v>55.5</v>
      </c>
      <c r="B161" s="1" t="n">
        <v>20.4</v>
      </c>
      <c r="C161" s="1" t="n">
        <v>35</v>
      </c>
      <c r="D161" s="1" t="n">
        <v>57.8</v>
      </c>
      <c r="E161" s="1" t="n">
        <v>23.5</v>
      </c>
      <c r="F161" s="17" t="n">
        <v>9.98203509769459</v>
      </c>
      <c r="G161" s="1" t="n">
        <v>9.82</v>
      </c>
      <c r="H161" s="17" t="n">
        <v>-0.16203509769459</v>
      </c>
      <c r="J161" s="12" t="n">
        <v>6</v>
      </c>
      <c r="K161" s="13" t="s">
        <v>69</v>
      </c>
      <c r="L161" s="13" t="n">
        <v>10.07</v>
      </c>
      <c r="M161" s="13" t="n">
        <v>65.4</v>
      </c>
      <c r="N161" s="13" t="n">
        <v>21.9</v>
      </c>
      <c r="O161" s="13" t="n">
        <v>34.2</v>
      </c>
      <c r="P161" s="13" t="n">
        <v>35.7</v>
      </c>
      <c r="Q161" s="13" t="n">
        <v>79.9</v>
      </c>
    </row>
    <row r="162" customFormat="false" ht="12.8" hidden="false" customHeight="false" outlineLevel="0" collapsed="false">
      <c r="A162" s="1" t="n">
        <v>66.8</v>
      </c>
      <c r="B162" s="1" t="n">
        <v>23.5</v>
      </c>
      <c r="C162" s="1" t="n">
        <v>34.4</v>
      </c>
      <c r="D162" s="1" t="n">
        <v>55.6</v>
      </c>
      <c r="E162" s="1" t="n">
        <v>15.6</v>
      </c>
      <c r="F162" s="17" t="n">
        <v>9.83024737746702</v>
      </c>
      <c r="G162" s="1" t="n">
        <v>10.26</v>
      </c>
      <c r="H162" s="17" t="n">
        <v>0.429752622532977</v>
      </c>
      <c r="J162" s="12" t="n">
        <v>6</v>
      </c>
      <c r="K162" s="13" t="s">
        <v>75</v>
      </c>
      <c r="L162" s="13" t="n">
        <v>9.94</v>
      </c>
      <c r="M162" s="13" t="n">
        <v>67.8</v>
      </c>
      <c r="N162" s="13" t="n">
        <v>18.7</v>
      </c>
      <c r="O162" s="13" t="n">
        <v>33.3</v>
      </c>
      <c r="P162" s="13" t="n">
        <v>31.8</v>
      </c>
      <c r="Q162" s="13" t="n">
        <v>80.8</v>
      </c>
    </row>
    <row r="163" customFormat="false" ht="12.8" hidden="false" customHeight="false" outlineLevel="0" collapsed="false">
      <c r="A163" s="1" t="n">
        <v>57.9</v>
      </c>
      <c r="B163" s="1" t="n">
        <v>35.2</v>
      </c>
      <c r="C163" s="1" t="n">
        <v>33.4</v>
      </c>
      <c r="D163" s="1" t="n">
        <v>45.2</v>
      </c>
      <c r="E163" s="1" t="n">
        <v>12.5</v>
      </c>
      <c r="F163" s="17" t="n">
        <v>10.0596421665745</v>
      </c>
      <c r="G163" s="1" t="n">
        <v>10.07</v>
      </c>
      <c r="H163" s="17" t="n">
        <v>0.0103578334255161</v>
      </c>
      <c r="J163" s="12" t="n">
        <v>6</v>
      </c>
      <c r="K163" s="13" t="s">
        <v>76</v>
      </c>
      <c r="L163" s="13" t="n">
        <v>9.55</v>
      </c>
      <c r="M163" s="13" t="n">
        <v>64</v>
      </c>
      <c r="N163" s="13" t="n">
        <v>29.4</v>
      </c>
      <c r="O163" s="13" t="n">
        <v>34.6</v>
      </c>
      <c r="P163" s="13" t="n">
        <v>36.3</v>
      </c>
      <c r="Q163" s="13" t="n">
        <v>82.6</v>
      </c>
    </row>
    <row r="164" customFormat="false" ht="12.8" hidden="false" customHeight="false" outlineLevel="0" collapsed="false">
      <c r="A164" s="1" t="n">
        <v>56.2</v>
      </c>
      <c r="B164" s="1" t="n">
        <v>18</v>
      </c>
      <c r="C164" s="1" t="n">
        <v>34.5</v>
      </c>
      <c r="D164" s="1" t="n">
        <v>50.9</v>
      </c>
      <c r="E164" s="1" t="n">
        <v>14.3</v>
      </c>
      <c r="F164" s="17" t="n">
        <v>9.95387057353408</v>
      </c>
      <c r="G164" s="1" t="n">
        <v>9.92</v>
      </c>
      <c r="H164" s="17" t="n">
        <v>-0.0338705735340845</v>
      </c>
      <c r="J164" s="12" t="n">
        <v>6</v>
      </c>
      <c r="K164" s="13" t="s">
        <v>78</v>
      </c>
      <c r="L164" s="13" t="n">
        <v>9.91</v>
      </c>
      <c r="M164" s="13" t="n">
        <v>64.8</v>
      </c>
      <c r="N164" s="13" t="n">
        <v>25.5</v>
      </c>
      <c r="O164" s="13" t="n">
        <v>34.9</v>
      </c>
      <c r="P164" s="13" t="n">
        <v>35.9</v>
      </c>
      <c r="Q164" s="13" t="n">
        <v>80.4</v>
      </c>
    </row>
    <row r="165" customFormat="false" ht="12.8" hidden="false" customHeight="false" outlineLevel="0" collapsed="false">
      <c r="A165" s="1" t="n">
        <v>55.2</v>
      </c>
      <c r="B165" s="1" t="n">
        <v>19.5</v>
      </c>
      <c r="C165" s="1" t="n">
        <v>33.6</v>
      </c>
      <c r="D165" s="1" t="n">
        <v>49.6</v>
      </c>
      <c r="E165" s="1" t="n">
        <v>23.5</v>
      </c>
      <c r="F165" s="17" t="n">
        <v>9.9624200461385</v>
      </c>
      <c r="G165" s="1" t="n">
        <v>9.96</v>
      </c>
      <c r="H165" s="17" t="n">
        <v>-0.00242004613850355</v>
      </c>
      <c r="J165" s="12" t="n">
        <v>6</v>
      </c>
      <c r="K165" s="13" t="s">
        <v>80</v>
      </c>
      <c r="L165" s="13" t="n">
        <v>9.85</v>
      </c>
      <c r="M165" s="13" t="n">
        <v>59.4</v>
      </c>
      <c r="N165" s="13" t="n">
        <v>16.7</v>
      </c>
      <c r="O165" s="13" t="n">
        <v>34.7</v>
      </c>
      <c r="P165" s="13" t="n">
        <v>35.3</v>
      </c>
      <c r="Q165" s="13" t="n">
        <v>82.1</v>
      </c>
    </row>
    <row r="166" customFormat="false" ht="12.8" hidden="false" customHeight="false" outlineLevel="0" collapsed="false">
      <c r="A166" s="1" t="n">
        <v>54.4</v>
      </c>
      <c r="B166" s="1" t="n">
        <v>27.3</v>
      </c>
      <c r="C166" s="1" t="n">
        <v>36</v>
      </c>
      <c r="D166" s="1" t="n">
        <v>49.4</v>
      </c>
      <c r="E166" s="1" t="n">
        <v>19.6</v>
      </c>
      <c r="F166" s="17" t="n">
        <v>10.0998457763493</v>
      </c>
      <c r="G166" s="1" t="n">
        <v>10.25</v>
      </c>
      <c r="H166" s="17" t="n">
        <v>0.150154223650738</v>
      </c>
      <c r="J166" s="12" t="n">
        <v>6</v>
      </c>
      <c r="K166" s="13" t="s">
        <v>81</v>
      </c>
      <c r="L166" s="13" t="n">
        <v>10.02</v>
      </c>
      <c r="M166" s="13" t="n">
        <v>55.8</v>
      </c>
      <c r="N166" s="13" t="n">
        <v>14.5</v>
      </c>
      <c r="O166" s="13" t="n">
        <v>33.4</v>
      </c>
      <c r="P166" s="13" t="n">
        <v>35.8</v>
      </c>
      <c r="Q166" s="13" t="n">
        <v>80.6</v>
      </c>
    </row>
    <row r="167" customFormat="false" ht="12.8" hidden="false" customHeight="false" outlineLevel="0" collapsed="false">
      <c r="A167" s="1" t="n">
        <v>54.7</v>
      </c>
      <c r="B167" s="1" t="n">
        <v>35.9</v>
      </c>
      <c r="C167" s="1" t="n">
        <v>35.6</v>
      </c>
      <c r="D167" s="1" t="n">
        <v>53.1</v>
      </c>
      <c r="E167" s="1" t="n">
        <v>16.1</v>
      </c>
      <c r="F167" s="17" t="n">
        <v>10.1500619715171</v>
      </c>
      <c r="G167" s="1" t="n">
        <v>10.23</v>
      </c>
      <c r="H167" s="17" t="n">
        <v>0.0799380284829176</v>
      </c>
      <c r="J167" s="12" t="n">
        <v>6</v>
      </c>
      <c r="K167" s="13" t="s">
        <v>83</v>
      </c>
      <c r="L167" s="13" t="n">
        <v>9.94</v>
      </c>
      <c r="M167" s="13" t="n">
        <v>64.4</v>
      </c>
      <c r="N167" s="13" t="n">
        <v>15.4</v>
      </c>
      <c r="O167" s="13" t="n">
        <v>34</v>
      </c>
      <c r="P167" s="13" t="n">
        <v>35.1</v>
      </c>
      <c r="Q167" s="13" t="n">
        <v>80.2</v>
      </c>
    </row>
    <row r="168" customFormat="false" ht="12.8" hidden="false" customHeight="false" outlineLevel="0" collapsed="false">
      <c r="A168" s="1" t="n">
        <v>59.2</v>
      </c>
      <c r="B168" s="1" t="n">
        <v>18.9</v>
      </c>
      <c r="C168" s="1" t="n">
        <v>34.3</v>
      </c>
      <c r="D168" s="1" t="n">
        <v>65.3</v>
      </c>
      <c r="E168" s="1" t="n">
        <v>25.8</v>
      </c>
      <c r="F168" s="17" t="n">
        <v>9.88066633927289</v>
      </c>
      <c r="G168" s="1" t="n">
        <v>10.01</v>
      </c>
      <c r="H168" s="17" t="n">
        <v>0.129333660727106</v>
      </c>
      <c r="J168" s="12" t="n">
        <v>6</v>
      </c>
      <c r="K168" s="13" t="s">
        <v>84</v>
      </c>
      <c r="L168" s="13" t="n">
        <v>9.89</v>
      </c>
      <c r="M168" s="13" t="n">
        <v>61.9</v>
      </c>
      <c r="N168" s="13" t="n">
        <v>20.2</v>
      </c>
      <c r="O168" s="13" t="n">
        <v>34.5</v>
      </c>
      <c r="P168" s="13" t="n">
        <v>33.5</v>
      </c>
      <c r="Q168" s="13" t="n">
        <v>81.9</v>
      </c>
    </row>
    <row r="169" customFormat="false" ht="12.8" hidden="false" customHeight="false" outlineLevel="0" collapsed="false">
      <c r="A169" s="1" t="n">
        <v>61.5</v>
      </c>
      <c r="B169" s="1" t="n">
        <v>16.5</v>
      </c>
      <c r="C169" s="1" t="n">
        <v>31.8</v>
      </c>
      <c r="D169" s="1" t="n">
        <v>56.8</v>
      </c>
      <c r="E169" s="1" t="n">
        <v>31.6</v>
      </c>
      <c r="F169" s="17" t="n">
        <v>9.78347721250453</v>
      </c>
      <c r="G169" s="1" t="n">
        <v>10.1</v>
      </c>
      <c r="H169" s="17" t="n">
        <v>0.316522787495465</v>
      </c>
      <c r="J169" s="12" t="n">
        <v>6</v>
      </c>
      <c r="K169" s="13" t="s">
        <v>88</v>
      </c>
      <c r="L169" s="13" t="n">
        <v>10.13</v>
      </c>
      <c r="M169" s="13" t="n">
        <v>60.9</v>
      </c>
      <c r="N169" s="13" t="n">
        <v>17.1</v>
      </c>
      <c r="O169" s="13" t="n">
        <v>35.5</v>
      </c>
      <c r="P169" s="13" t="n">
        <v>32.2</v>
      </c>
      <c r="Q169" s="13" t="n">
        <v>78</v>
      </c>
    </row>
    <row r="170" customFormat="false" ht="12.8" hidden="false" customHeight="false" outlineLevel="0" collapsed="false">
      <c r="A170" s="1" t="n">
        <v>52.3</v>
      </c>
      <c r="B170" s="1" t="n">
        <v>14</v>
      </c>
      <c r="C170" s="1" t="n">
        <v>34.5</v>
      </c>
      <c r="D170" s="1" t="n">
        <v>54.7</v>
      </c>
      <c r="E170" s="1" t="n">
        <v>19.7</v>
      </c>
      <c r="F170" s="17" t="n">
        <v>9.96972946598619</v>
      </c>
      <c r="G170" s="1" t="n">
        <v>10.36</v>
      </c>
      <c r="H170" s="17" t="n">
        <v>0.39027053401381</v>
      </c>
      <c r="J170" s="12" t="n">
        <v>6</v>
      </c>
      <c r="K170" s="13" t="s">
        <v>89</v>
      </c>
      <c r="L170" s="13" t="n">
        <v>10.34</v>
      </c>
      <c r="M170" s="13" t="n">
        <v>49.8</v>
      </c>
      <c r="N170" s="13" t="n">
        <v>12.8</v>
      </c>
      <c r="O170" s="13" t="n">
        <v>35</v>
      </c>
      <c r="P170" s="13" t="n">
        <v>33.8</v>
      </c>
      <c r="Q170" s="13" t="n">
        <v>78.5</v>
      </c>
    </row>
    <row r="171" customFormat="false" ht="12.8" hidden="false" customHeight="false" outlineLevel="0" collapsed="false">
      <c r="A171" s="1" t="n">
        <v>55.6</v>
      </c>
      <c r="B171" s="1" t="n">
        <v>18</v>
      </c>
      <c r="C171" s="1" t="n">
        <v>35.1</v>
      </c>
      <c r="D171" s="1" t="n">
        <v>51.2</v>
      </c>
      <c r="E171" s="1" t="n">
        <v>18.8</v>
      </c>
      <c r="F171" s="17" t="n">
        <v>9.97707964886882</v>
      </c>
      <c r="G171" s="1" t="n">
        <v>10.51</v>
      </c>
      <c r="H171" s="17" t="n">
        <v>0.532920351131178</v>
      </c>
      <c r="J171" s="12" t="n">
        <v>6</v>
      </c>
      <c r="K171" s="13" t="s">
        <v>90</v>
      </c>
      <c r="L171" s="13" t="n">
        <v>10.18</v>
      </c>
      <c r="M171" s="13" t="n">
        <v>56.6</v>
      </c>
      <c r="N171" s="13" t="n">
        <v>15.2</v>
      </c>
      <c r="O171" s="13" t="n">
        <v>34.5</v>
      </c>
      <c r="P171" s="13" t="n">
        <v>33.6</v>
      </c>
      <c r="Q171" s="13" t="n">
        <v>80.5</v>
      </c>
    </row>
    <row r="172" customFormat="false" ht="12.8" hidden="false" customHeight="false" outlineLevel="0" collapsed="false">
      <c r="A172" s="1" t="n">
        <v>55.8</v>
      </c>
      <c r="B172" s="1" t="n">
        <v>28.1</v>
      </c>
      <c r="C172" s="1" t="n">
        <v>34.4</v>
      </c>
      <c r="D172" s="1" t="n">
        <v>54.7</v>
      </c>
      <c r="E172" s="1" t="n">
        <v>24.2</v>
      </c>
      <c r="F172" s="17" t="n">
        <v>10.0348429624097</v>
      </c>
      <c r="G172" s="1" t="n">
        <v>10.21</v>
      </c>
      <c r="H172" s="17" t="n">
        <v>0.175157037590269</v>
      </c>
      <c r="J172" s="12" t="n">
        <v>6</v>
      </c>
      <c r="K172" s="13" t="s">
        <v>91</v>
      </c>
      <c r="L172" s="13" t="n">
        <v>10.22</v>
      </c>
      <c r="M172" s="13" t="n">
        <v>56.8</v>
      </c>
      <c r="N172" s="13" t="n">
        <v>22.6</v>
      </c>
      <c r="O172" s="13" t="n">
        <v>36.7</v>
      </c>
      <c r="P172" s="13" t="n">
        <v>35.9</v>
      </c>
      <c r="Q172" s="13" t="n">
        <v>76.6</v>
      </c>
    </row>
    <row r="173" customFormat="false" ht="12.8" hidden="false" customHeight="false" outlineLevel="0" collapsed="false">
      <c r="A173" s="1" t="n">
        <v>62</v>
      </c>
      <c r="B173" s="1" t="n">
        <v>31.1</v>
      </c>
      <c r="C173" s="1" t="n">
        <v>35</v>
      </c>
      <c r="D173" s="1" t="n">
        <v>52.3</v>
      </c>
      <c r="E173" s="1" t="n">
        <v>36.1</v>
      </c>
      <c r="F173" s="17" t="n">
        <v>9.98869350661526</v>
      </c>
      <c r="G173" s="1" t="n">
        <v>10.32</v>
      </c>
      <c r="H173" s="17" t="n">
        <v>0.331306493384741</v>
      </c>
      <c r="J173" s="12" t="n">
        <v>6</v>
      </c>
      <c r="K173" s="13" t="s">
        <v>92</v>
      </c>
      <c r="L173" s="13" t="n">
        <v>10</v>
      </c>
      <c r="M173" s="13" t="n">
        <v>56.3</v>
      </c>
      <c r="N173" s="13" t="n">
        <v>15.3</v>
      </c>
      <c r="O173" s="13" t="n">
        <v>34.7</v>
      </c>
      <c r="P173" s="13" t="n">
        <v>34.6</v>
      </c>
      <c r="Q173" s="13" t="n">
        <v>77.4</v>
      </c>
    </row>
    <row r="174" customFormat="false" ht="12.8" hidden="false" customHeight="false" outlineLevel="0" collapsed="false">
      <c r="A174" s="1" t="n">
        <v>64.9</v>
      </c>
      <c r="B174" s="1" t="n">
        <v>29.1</v>
      </c>
      <c r="C174" s="1" t="n">
        <v>35.1</v>
      </c>
      <c r="D174" s="1" t="n">
        <v>58.3</v>
      </c>
      <c r="E174" s="1" t="n">
        <v>22.1</v>
      </c>
      <c r="F174" s="17" t="n">
        <v>9.91742641883706</v>
      </c>
      <c r="G174" s="1" t="n">
        <v>10.2</v>
      </c>
      <c r="H174" s="17" t="n">
        <v>0.282573581162938</v>
      </c>
      <c r="J174" s="12" t="n">
        <v>6</v>
      </c>
      <c r="K174" s="13" t="s">
        <v>93</v>
      </c>
      <c r="L174" s="13" t="n">
        <v>9.68</v>
      </c>
      <c r="M174" s="13" t="n">
        <v>57.1</v>
      </c>
      <c r="N174" s="13" t="n">
        <v>21.9</v>
      </c>
      <c r="O174" s="13" t="n">
        <v>33.7</v>
      </c>
      <c r="P174" s="13" t="n">
        <v>33.5</v>
      </c>
      <c r="Q174" s="13" t="n">
        <v>82.8</v>
      </c>
    </row>
    <row r="175" customFormat="false" ht="12.8" hidden="false" customHeight="false" outlineLevel="0" collapsed="false">
      <c r="A175" s="1" t="n">
        <v>55.9</v>
      </c>
      <c r="B175" s="1" t="n">
        <v>15.7</v>
      </c>
      <c r="C175" s="1" t="n">
        <v>34.9</v>
      </c>
      <c r="D175" s="1" t="n">
        <v>61.2</v>
      </c>
      <c r="E175" s="1" t="n">
        <v>17.7</v>
      </c>
      <c r="F175" s="17" t="n">
        <v>9.92612500267195</v>
      </c>
      <c r="G175" s="1" t="n">
        <v>9.76</v>
      </c>
      <c r="H175" s="17" t="n">
        <v>-0.166125002671953</v>
      </c>
      <c r="J175" s="12" t="n">
        <v>6</v>
      </c>
      <c r="K175" s="13" t="s">
        <v>94</v>
      </c>
      <c r="L175" s="13" t="n">
        <v>9.92</v>
      </c>
      <c r="M175" s="13" t="n">
        <v>70.8</v>
      </c>
      <c r="N175" s="13" t="n">
        <v>19.6</v>
      </c>
      <c r="O175" s="13" t="n">
        <v>34.5</v>
      </c>
      <c r="P175" s="13" t="n">
        <v>37.9</v>
      </c>
      <c r="Q175" s="13" t="n">
        <v>84.3</v>
      </c>
    </row>
    <row r="176" customFormat="false" ht="12.8" hidden="false" customHeight="false" outlineLevel="0" collapsed="false">
      <c r="A176" s="1" t="n">
        <v>49</v>
      </c>
      <c r="B176" s="1" t="n">
        <v>16</v>
      </c>
      <c r="C176" s="1" t="n">
        <v>34.6</v>
      </c>
      <c r="D176" s="1" t="n">
        <v>51.5</v>
      </c>
      <c r="E176" s="1" t="n">
        <v>17.3</v>
      </c>
      <c r="F176" s="17" t="n">
        <v>10.0451071146826</v>
      </c>
      <c r="G176" s="1" t="n">
        <v>10.26</v>
      </c>
      <c r="H176" s="17" t="n">
        <v>0.214892885317402</v>
      </c>
      <c r="J176" s="12" t="n">
        <v>6</v>
      </c>
      <c r="K176" s="13" t="s">
        <v>95</v>
      </c>
      <c r="L176" s="13" t="n">
        <v>10.02</v>
      </c>
      <c r="M176" s="13" t="n">
        <v>63.7</v>
      </c>
      <c r="N176" s="13" t="n">
        <v>33.1</v>
      </c>
      <c r="O176" s="13" t="n">
        <v>32.3</v>
      </c>
      <c r="P176" s="13" t="n">
        <v>37.1</v>
      </c>
      <c r="Q176" s="13" t="n">
        <v>80</v>
      </c>
    </row>
    <row r="177" customFormat="false" ht="12.8" hidden="false" customHeight="false" outlineLevel="0" collapsed="false">
      <c r="A177" s="1" t="n">
        <v>57.8</v>
      </c>
      <c r="B177" s="1" t="n">
        <v>28.9</v>
      </c>
      <c r="C177" s="1" t="n">
        <v>34.4</v>
      </c>
      <c r="D177" s="1" t="n">
        <v>53.4</v>
      </c>
      <c r="E177" s="1" t="n">
        <v>19.9</v>
      </c>
      <c r="F177" s="17" t="n">
        <v>10.0146293466327</v>
      </c>
      <c r="G177" s="1" t="n">
        <v>9.89</v>
      </c>
      <c r="H177" s="17" t="n">
        <v>-0.124629346632654</v>
      </c>
      <c r="J177" s="12" t="n">
        <v>6</v>
      </c>
      <c r="K177" s="13" t="s">
        <v>97</v>
      </c>
      <c r="L177" s="13" t="n">
        <v>9.95</v>
      </c>
      <c r="M177" s="13" t="n">
        <v>57.3</v>
      </c>
      <c r="N177" s="13" t="n">
        <v>18.6</v>
      </c>
      <c r="O177" s="13" t="n">
        <v>33.3</v>
      </c>
      <c r="P177" s="13" t="n">
        <v>37.4</v>
      </c>
      <c r="Q177" s="13" t="n">
        <v>79.8</v>
      </c>
    </row>
    <row r="178" customFormat="false" ht="12.8" hidden="false" customHeight="false" outlineLevel="0" collapsed="false">
      <c r="A178" s="1" t="n">
        <v>49.1</v>
      </c>
      <c r="B178" s="1" t="n">
        <v>11.7</v>
      </c>
      <c r="C178" s="1" t="n">
        <v>32.7</v>
      </c>
      <c r="D178" s="1" t="n">
        <v>55.3</v>
      </c>
      <c r="E178" s="1" t="n">
        <v>22.5</v>
      </c>
      <c r="F178" s="17" t="n">
        <v>9.95215402072891</v>
      </c>
      <c r="G178" s="1" t="n">
        <v>10.21</v>
      </c>
      <c r="H178" s="17" t="n">
        <v>0.257845979271096</v>
      </c>
      <c r="J178" s="12" t="n">
        <v>6</v>
      </c>
      <c r="K178" s="13" t="s">
        <v>98</v>
      </c>
      <c r="L178" s="13" t="n">
        <v>10.2</v>
      </c>
      <c r="M178" s="13" t="n">
        <v>57</v>
      </c>
      <c r="N178" s="13" t="n">
        <v>18.2</v>
      </c>
      <c r="O178" s="13" t="n">
        <v>35.3</v>
      </c>
      <c r="P178" s="13" t="n">
        <v>33.6</v>
      </c>
      <c r="Q178" s="13" t="n">
        <v>82.7</v>
      </c>
    </row>
    <row r="179" customFormat="false" ht="12.8" hidden="false" customHeight="false" outlineLevel="0" collapsed="false">
      <c r="A179" s="1" t="n">
        <v>61.1</v>
      </c>
      <c r="B179" s="1" t="n">
        <v>22.2</v>
      </c>
      <c r="C179" s="1" t="n">
        <v>32.2</v>
      </c>
      <c r="D179" s="1" t="n">
        <v>58.5</v>
      </c>
      <c r="E179" s="1" t="n">
        <v>30.1</v>
      </c>
      <c r="F179" s="17" t="n">
        <v>9.84374651379947</v>
      </c>
      <c r="G179" s="1" t="n">
        <v>9.49</v>
      </c>
      <c r="H179" s="17" t="n">
        <v>-0.35374651379947</v>
      </c>
      <c r="J179" s="12" t="n">
        <v>6</v>
      </c>
      <c r="K179" s="13" t="s">
        <v>99</v>
      </c>
      <c r="L179" s="13" t="n">
        <v>10.19</v>
      </c>
      <c r="M179" s="13" t="n">
        <v>55.1</v>
      </c>
      <c r="N179" s="13" t="n">
        <v>24.8</v>
      </c>
      <c r="O179" s="13" t="n">
        <v>35.3</v>
      </c>
      <c r="P179" s="13" t="n">
        <v>32.8</v>
      </c>
      <c r="Q179" s="13" t="n">
        <v>74.5</v>
      </c>
    </row>
    <row r="180" customFormat="false" ht="12.8" hidden="false" customHeight="false" outlineLevel="0" collapsed="false">
      <c r="A180" s="1" t="n">
        <v>62.5</v>
      </c>
      <c r="B180" s="1" t="n">
        <v>21.7</v>
      </c>
      <c r="C180" s="1" t="n">
        <v>33.5</v>
      </c>
      <c r="D180" s="1" t="n">
        <v>63.8</v>
      </c>
      <c r="E180" s="1" t="n">
        <v>26.5</v>
      </c>
      <c r="F180" s="17" t="n">
        <v>9.83897100590646</v>
      </c>
      <c r="G180" s="1" t="n">
        <v>9.63</v>
      </c>
      <c r="H180" s="17" t="n">
        <v>-0.208971005906456</v>
      </c>
      <c r="J180" s="12" t="n">
        <v>6</v>
      </c>
      <c r="K180" s="13" t="s">
        <v>100</v>
      </c>
      <c r="L180" s="13" t="n">
        <v>10.33</v>
      </c>
      <c r="M180" s="13" t="n">
        <v>54.1</v>
      </c>
      <c r="N180" s="13" t="n">
        <v>33.7</v>
      </c>
      <c r="O180" s="13" t="n">
        <v>34.2</v>
      </c>
      <c r="P180" s="13" t="n">
        <v>35.5</v>
      </c>
      <c r="Q180" s="13" t="n">
        <v>78.3</v>
      </c>
    </row>
    <row r="181" customFormat="false" ht="12.8" hidden="false" customHeight="false" outlineLevel="0" collapsed="false">
      <c r="A181" s="1" t="n">
        <v>64.4</v>
      </c>
      <c r="B181" s="1" t="n">
        <v>22.9</v>
      </c>
      <c r="C181" s="1" t="n">
        <v>33.1</v>
      </c>
      <c r="D181" s="1" t="n">
        <v>51.9</v>
      </c>
      <c r="E181" s="1" t="n">
        <v>21.7</v>
      </c>
      <c r="F181" s="17" t="n">
        <v>9.83711998964833</v>
      </c>
      <c r="G181" s="1" t="n">
        <v>10.01</v>
      </c>
      <c r="H181" s="17" t="n">
        <v>0.172880010351671</v>
      </c>
      <c r="J181" s="12" t="n">
        <v>6</v>
      </c>
      <c r="K181" s="13" t="s">
        <v>101</v>
      </c>
      <c r="L181" s="13" t="n">
        <v>10.03</v>
      </c>
      <c r="M181" s="13" t="n">
        <v>61.4</v>
      </c>
      <c r="N181" s="13" t="n">
        <v>18.3</v>
      </c>
      <c r="O181" s="13" t="n">
        <v>33.3</v>
      </c>
      <c r="P181" s="13" t="n">
        <v>35.3</v>
      </c>
      <c r="Q181" s="13" t="n">
        <v>79</v>
      </c>
    </row>
    <row r="182" customFormat="false" ht="12.8" hidden="false" customHeight="false" outlineLevel="0" collapsed="false">
      <c r="A182" s="1" t="n">
        <v>61.2</v>
      </c>
      <c r="B182" s="1" t="n">
        <v>31.9</v>
      </c>
      <c r="C182" s="1" t="n">
        <v>34.3</v>
      </c>
      <c r="D182" s="1" t="n">
        <v>50.5</v>
      </c>
      <c r="E182" s="1" t="n">
        <v>16.9</v>
      </c>
      <c r="F182" s="17" t="n">
        <v>9.9933627548849</v>
      </c>
      <c r="G182" s="1" t="n">
        <v>9.85</v>
      </c>
      <c r="H182" s="17" t="n">
        <v>-0.143362754884905</v>
      </c>
      <c r="J182" s="12" t="n">
        <v>6</v>
      </c>
      <c r="K182" s="13" t="s">
        <v>102</v>
      </c>
      <c r="L182" s="13" t="n">
        <v>9.89</v>
      </c>
      <c r="M182" s="13" t="n">
        <v>66.1</v>
      </c>
      <c r="N182" s="13" t="n">
        <v>15.5</v>
      </c>
      <c r="O182" s="13" t="n">
        <v>30.2</v>
      </c>
      <c r="P182" s="13" t="n">
        <v>31.6</v>
      </c>
      <c r="Q182" s="13" t="n">
        <v>76.9</v>
      </c>
    </row>
    <row r="183" customFormat="false" ht="12.8" hidden="false" customHeight="false" outlineLevel="0" collapsed="false">
      <c r="A183" s="1" t="n">
        <v>77.3</v>
      </c>
      <c r="B183" s="1" t="n">
        <v>25.7</v>
      </c>
      <c r="C183" s="1" t="n">
        <v>34.4</v>
      </c>
      <c r="D183" s="1" t="n">
        <v>55.8</v>
      </c>
      <c r="E183" s="1" t="n">
        <v>30.8</v>
      </c>
      <c r="F183" s="17" t="n">
        <v>9.6930540726576</v>
      </c>
      <c r="G183" s="1" t="n">
        <v>9.84</v>
      </c>
      <c r="H183" s="17" t="n">
        <v>0.146945927342404</v>
      </c>
      <c r="J183" s="12" t="n">
        <v>6</v>
      </c>
      <c r="K183" s="13" t="s">
        <v>103</v>
      </c>
      <c r="L183" s="13" t="n">
        <v>10.35</v>
      </c>
      <c r="M183" s="13" t="n">
        <v>55.4</v>
      </c>
      <c r="N183" s="13" t="n">
        <v>19.3</v>
      </c>
      <c r="O183" s="13" t="n">
        <v>34.3</v>
      </c>
      <c r="P183" s="13" t="n">
        <v>36.5</v>
      </c>
      <c r="Q183" s="13" t="n">
        <v>82.3</v>
      </c>
    </row>
    <row r="184" customFormat="false" ht="12.8" hidden="false" customHeight="false" outlineLevel="0" collapsed="false">
      <c r="A184" s="1" t="n">
        <v>58.2</v>
      </c>
      <c r="B184" s="1" t="n">
        <v>26.7</v>
      </c>
      <c r="C184" s="1" t="n">
        <v>34</v>
      </c>
      <c r="D184" s="1" t="n">
        <v>34.2</v>
      </c>
      <c r="E184" s="1" t="n">
        <v>83.3</v>
      </c>
      <c r="F184" s="17" t="n">
        <v>10.0248067864419</v>
      </c>
      <c r="G184" s="1" t="n">
        <v>9.59</v>
      </c>
      <c r="H184" s="17" t="n">
        <v>-0.434806786441941</v>
      </c>
      <c r="J184" s="12" t="n">
        <v>6</v>
      </c>
      <c r="K184" s="13" t="s">
        <v>104</v>
      </c>
      <c r="L184" s="13" t="n">
        <v>10.42</v>
      </c>
      <c r="M184" s="13" t="n">
        <v>58.9</v>
      </c>
      <c r="N184" s="13" t="n">
        <v>26.2</v>
      </c>
      <c r="O184" s="13" t="n">
        <v>36.4</v>
      </c>
      <c r="P184" s="13" t="n">
        <v>39.1</v>
      </c>
      <c r="Q184" s="13" t="n">
        <v>83.3</v>
      </c>
    </row>
    <row r="185" customFormat="false" ht="12.8" hidden="false" customHeight="false" outlineLevel="0" collapsed="false">
      <c r="A185" s="1" t="n">
        <v>55.5</v>
      </c>
      <c r="B185" s="1" t="n">
        <v>15</v>
      </c>
      <c r="C185" s="1" t="n">
        <v>33.3</v>
      </c>
      <c r="D185" s="1" t="n">
        <v>35.2</v>
      </c>
      <c r="E185" s="1" t="n">
        <v>80.8</v>
      </c>
      <c r="F185" s="17" t="n">
        <v>9.94626993439525</v>
      </c>
      <c r="G185" s="1" t="n">
        <v>9.66</v>
      </c>
      <c r="H185" s="17" t="n">
        <v>-0.286269934395245</v>
      </c>
      <c r="J185" s="12" t="n">
        <v>6</v>
      </c>
      <c r="K185" s="13" t="s">
        <v>105</v>
      </c>
      <c r="L185" s="13" t="n">
        <v>10.17</v>
      </c>
      <c r="M185" s="13" t="n">
        <v>57.7</v>
      </c>
      <c r="N185" s="13" t="n">
        <v>26.8</v>
      </c>
      <c r="O185" s="13" t="n">
        <v>35.4</v>
      </c>
      <c r="P185" s="13" t="n">
        <v>34.6</v>
      </c>
      <c r="Q185" s="13" t="n">
        <v>83.1</v>
      </c>
    </row>
    <row r="186" customFormat="false" ht="12.8" hidden="false" customHeight="false" outlineLevel="0" collapsed="false">
      <c r="A186" s="1" t="n">
        <v>61</v>
      </c>
      <c r="B186" s="1" t="n">
        <v>25.4</v>
      </c>
      <c r="C186" s="1" t="n">
        <v>34.4</v>
      </c>
      <c r="D186" s="1" t="n">
        <v>36.6</v>
      </c>
      <c r="E186" s="1" t="n">
        <v>81.4</v>
      </c>
      <c r="F186" s="17" t="n">
        <v>9.97672411839408</v>
      </c>
      <c r="G186" s="1" t="n">
        <v>9.79</v>
      </c>
      <c r="H186" s="17" t="n">
        <v>-0.18672411839408</v>
      </c>
      <c r="J186" s="12" t="n">
        <v>6</v>
      </c>
      <c r="K186" s="13" t="s">
        <v>106</v>
      </c>
      <c r="L186" s="13" t="n">
        <v>10.3</v>
      </c>
      <c r="M186" s="13" t="n">
        <v>62.1</v>
      </c>
      <c r="N186" s="13" t="n">
        <v>36.2</v>
      </c>
      <c r="O186" s="13" t="n">
        <v>33.2</v>
      </c>
      <c r="P186" s="13" t="n">
        <v>38.8</v>
      </c>
      <c r="Q186" s="13" t="n">
        <v>83.4</v>
      </c>
    </row>
    <row r="187" customFormat="false" ht="12.8" hidden="false" customHeight="false" outlineLevel="0" collapsed="false">
      <c r="A187" s="1" t="n">
        <v>55.2</v>
      </c>
      <c r="B187" s="1" t="n">
        <v>13.2</v>
      </c>
      <c r="C187" s="1" t="n">
        <v>33</v>
      </c>
      <c r="D187" s="1" t="n">
        <v>33.7</v>
      </c>
      <c r="E187" s="1" t="n">
        <v>82</v>
      </c>
      <c r="F187" s="17" t="n">
        <v>9.93143434437344</v>
      </c>
      <c r="G187" s="1" t="n">
        <v>9.81</v>
      </c>
      <c r="H187" s="17" t="n">
        <v>-0.121434344373441</v>
      </c>
      <c r="J187" s="12" t="n">
        <v>6</v>
      </c>
      <c r="K187" s="13" t="s">
        <v>107</v>
      </c>
      <c r="L187" s="13" t="n">
        <v>10.25</v>
      </c>
      <c r="M187" s="13" t="n">
        <v>65.5</v>
      </c>
      <c r="N187" s="13" t="n">
        <v>29.4</v>
      </c>
      <c r="O187" s="13" t="n">
        <v>34.1</v>
      </c>
      <c r="P187" s="13" t="n">
        <v>38.2</v>
      </c>
      <c r="Q187" s="13" t="n">
        <v>81</v>
      </c>
    </row>
    <row r="188" customFormat="false" ht="12.8" hidden="false" customHeight="false" outlineLevel="0" collapsed="false">
      <c r="A188" s="1" t="n">
        <v>49.8</v>
      </c>
      <c r="B188" s="1" t="n">
        <v>8.4</v>
      </c>
      <c r="C188" s="1" t="n">
        <v>33.7</v>
      </c>
      <c r="D188" s="1" t="n">
        <v>32.2</v>
      </c>
      <c r="E188" s="1" t="n">
        <v>81.6</v>
      </c>
      <c r="F188" s="17" t="n">
        <v>9.99153926996241</v>
      </c>
      <c r="G188" s="1" t="n">
        <v>9.78</v>
      </c>
      <c r="H188" s="17" t="n">
        <v>-0.211539269962408</v>
      </c>
      <c r="J188" s="12" t="n">
        <v>6</v>
      </c>
      <c r="K188" s="13" t="s">
        <v>108</v>
      </c>
      <c r="L188" s="13" t="n">
        <v>9.85</v>
      </c>
      <c r="M188" s="13" t="n">
        <v>56.6</v>
      </c>
      <c r="N188" s="13" t="n">
        <v>19.3</v>
      </c>
      <c r="O188" s="13" t="n">
        <v>34.7</v>
      </c>
      <c r="P188" s="13" t="n">
        <v>36.8</v>
      </c>
      <c r="Q188" s="13" t="n">
        <v>84.2</v>
      </c>
    </row>
    <row r="189" customFormat="false" ht="12.8" hidden="false" customHeight="false" outlineLevel="0" collapsed="false">
      <c r="A189" s="1" t="n">
        <v>46.9</v>
      </c>
      <c r="B189" s="1" t="n">
        <v>14.4</v>
      </c>
      <c r="C189" s="1" t="n">
        <v>34.2</v>
      </c>
      <c r="D189" s="1" t="n">
        <v>32.2</v>
      </c>
      <c r="E189" s="1" t="n">
        <v>81.7</v>
      </c>
      <c r="F189" s="17" t="n">
        <v>10.0977468221121</v>
      </c>
      <c r="G189" s="1" t="n">
        <v>9.77</v>
      </c>
      <c r="H189" s="17" t="n">
        <v>-0.32774682211207</v>
      </c>
      <c r="J189" s="12" t="n">
        <v>6</v>
      </c>
      <c r="K189" s="13" t="s">
        <v>109</v>
      </c>
      <c r="L189" s="13" t="n">
        <v>10.13</v>
      </c>
      <c r="M189" s="13" t="n">
        <v>55.1</v>
      </c>
      <c r="N189" s="13" t="n">
        <v>19.6</v>
      </c>
      <c r="O189" s="13" t="n">
        <v>34.7</v>
      </c>
      <c r="P189" s="13" t="n">
        <v>38.7</v>
      </c>
      <c r="Q189" s="13" t="n">
        <v>86.1</v>
      </c>
    </row>
    <row r="190" customFormat="false" ht="12.8" hidden="false" customHeight="false" outlineLevel="0" collapsed="false">
      <c r="A190" s="1" t="n">
        <v>53.1</v>
      </c>
      <c r="B190" s="1" t="n">
        <v>9.5</v>
      </c>
      <c r="C190" s="1" t="n">
        <v>35.2</v>
      </c>
      <c r="D190" s="1" t="n">
        <v>34.1</v>
      </c>
      <c r="E190" s="1" t="n">
        <v>80.4</v>
      </c>
      <c r="F190" s="17" t="n">
        <v>9.98461342944487</v>
      </c>
      <c r="G190" s="1" t="n">
        <v>9.98</v>
      </c>
      <c r="H190" s="17" t="n">
        <v>-0.00461342944486987</v>
      </c>
      <c r="J190" s="12" t="n">
        <v>6</v>
      </c>
      <c r="K190" s="13" t="s">
        <v>110</v>
      </c>
      <c r="L190" s="13" t="n">
        <v>9.52</v>
      </c>
      <c r="M190" s="13" t="n">
        <v>60.1</v>
      </c>
      <c r="N190" s="13" t="n">
        <v>24.5</v>
      </c>
      <c r="O190" s="13" t="n">
        <v>34.2</v>
      </c>
      <c r="P190" s="13" t="n">
        <v>35.8</v>
      </c>
      <c r="Q190" s="13" t="n">
        <v>89.3</v>
      </c>
    </row>
    <row r="191" customFormat="false" ht="12.8" hidden="false" customHeight="false" outlineLevel="0" collapsed="false">
      <c r="A191" s="1" t="n">
        <v>48.2</v>
      </c>
      <c r="B191" s="1" t="n">
        <v>10.4</v>
      </c>
      <c r="C191" s="1" t="n">
        <v>34</v>
      </c>
      <c r="D191" s="1" t="n">
        <v>33.9</v>
      </c>
      <c r="E191" s="1" t="n">
        <v>80.9</v>
      </c>
      <c r="F191" s="17" t="n">
        <v>10.0358605166335</v>
      </c>
      <c r="G191" s="1" t="n">
        <v>10.02</v>
      </c>
      <c r="H191" s="17" t="n">
        <v>-0.0158605166334809</v>
      </c>
      <c r="J191" s="12" t="n">
        <v>7</v>
      </c>
      <c r="K191" s="13" t="s">
        <v>42</v>
      </c>
      <c r="L191" s="13" t="n">
        <v>10.31</v>
      </c>
      <c r="M191" s="13" t="n">
        <v>53.5</v>
      </c>
      <c r="N191" s="13" t="n">
        <v>13.5</v>
      </c>
      <c r="O191" s="13" t="n">
        <v>32.4</v>
      </c>
      <c r="P191" s="13" t="n">
        <v>32.6</v>
      </c>
      <c r="Q191" s="13" t="n">
        <v>84.4</v>
      </c>
    </row>
    <row r="192" customFormat="false" ht="12.8" hidden="false" customHeight="false" outlineLevel="0" collapsed="false">
      <c r="A192" s="1" t="n">
        <v>69.9</v>
      </c>
      <c r="B192" s="1" t="n">
        <v>22</v>
      </c>
      <c r="C192" s="1" t="n">
        <v>33.5</v>
      </c>
      <c r="D192" s="1" t="n">
        <v>38.6</v>
      </c>
      <c r="E192" s="1" t="n">
        <v>82.9</v>
      </c>
      <c r="F192" s="17" t="n">
        <v>9.78921275623875</v>
      </c>
      <c r="G192" s="1" t="n">
        <v>9.35</v>
      </c>
      <c r="H192" s="17" t="n">
        <v>-0.439212756238753</v>
      </c>
      <c r="J192" s="12" t="n">
        <v>7</v>
      </c>
      <c r="K192" s="13" t="s">
        <v>45</v>
      </c>
      <c r="L192" s="13" t="n">
        <v>9.85</v>
      </c>
      <c r="M192" s="13" t="n">
        <v>61.4</v>
      </c>
      <c r="N192" s="13" t="n">
        <v>28.4</v>
      </c>
      <c r="O192" s="13" t="n">
        <v>33.5</v>
      </c>
      <c r="P192" s="13" t="n">
        <v>34.2</v>
      </c>
      <c r="Q192" s="13" t="n">
        <v>84.8</v>
      </c>
    </row>
    <row r="193" customFormat="false" ht="12.8" hidden="false" customHeight="false" outlineLevel="0" collapsed="false">
      <c r="A193" s="1" t="n">
        <v>71.8</v>
      </c>
      <c r="B193" s="1" t="n">
        <v>31.9</v>
      </c>
      <c r="C193" s="1" t="n">
        <v>33.5</v>
      </c>
      <c r="D193" s="1" t="n">
        <v>39.4</v>
      </c>
      <c r="E193" s="1" t="n">
        <v>81.9</v>
      </c>
      <c r="F193" s="17" t="n">
        <v>9.84302742450455</v>
      </c>
      <c r="G193" s="1" t="n">
        <v>9.62</v>
      </c>
      <c r="H193" s="17" t="n">
        <v>-0.223027424504554</v>
      </c>
      <c r="J193" s="12" t="n">
        <v>7</v>
      </c>
      <c r="K193" s="13" t="s">
        <v>46</v>
      </c>
      <c r="L193" s="13" t="n">
        <v>9.62</v>
      </c>
      <c r="M193" s="13" t="n">
        <v>63.7</v>
      </c>
      <c r="N193" s="13" t="n">
        <v>22.2</v>
      </c>
      <c r="O193" s="13" t="n">
        <v>34</v>
      </c>
      <c r="P193" s="13" t="n">
        <v>31.4</v>
      </c>
      <c r="Q193" s="13" t="n">
        <v>87.1</v>
      </c>
    </row>
    <row r="194" customFormat="false" ht="12.8" hidden="false" customHeight="false" outlineLevel="0" collapsed="false">
      <c r="A194" s="1" t="n">
        <v>66.6</v>
      </c>
      <c r="B194" s="1" t="n">
        <v>23.7</v>
      </c>
      <c r="C194" s="1" t="n">
        <v>33.9</v>
      </c>
      <c r="D194" s="1" t="n">
        <v>36</v>
      </c>
      <c r="E194" s="1" t="n">
        <v>81</v>
      </c>
      <c r="F194" s="17" t="n">
        <v>9.86814453405626</v>
      </c>
      <c r="G194" s="1" t="n">
        <v>9.94</v>
      </c>
      <c r="H194" s="17" t="n">
        <v>0.0718554659437416</v>
      </c>
      <c r="J194" s="12" t="n">
        <v>7</v>
      </c>
      <c r="K194" s="13" t="s">
        <v>48</v>
      </c>
      <c r="L194" s="13" t="n">
        <v>10.11</v>
      </c>
      <c r="M194" s="13" t="n">
        <v>64.1</v>
      </c>
      <c r="N194" s="13" t="n">
        <v>24.4</v>
      </c>
      <c r="O194" s="13" t="n">
        <v>32.5</v>
      </c>
      <c r="P194" s="13" t="n">
        <v>33.4</v>
      </c>
      <c r="Q194" s="13" t="n">
        <v>86</v>
      </c>
    </row>
    <row r="195" customFormat="false" ht="12.8" hidden="false" customHeight="false" outlineLevel="0" collapsed="false">
      <c r="A195" s="1" t="n">
        <v>65.4</v>
      </c>
      <c r="B195" s="1" t="n">
        <v>21.9</v>
      </c>
      <c r="C195" s="1" t="n">
        <v>34.2</v>
      </c>
      <c r="D195" s="1" t="n">
        <v>35.7</v>
      </c>
      <c r="E195" s="1" t="n">
        <v>79.9</v>
      </c>
      <c r="F195" s="17" t="n">
        <v>9.87874456292869</v>
      </c>
      <c r="G195" s="1" t="n">
        <v>10.07</v>
      </c>
      <c r="H195" s="17" t="n">
        <v>0.191255437071311</v>
      </c>
      <c r="J195" s="12" t="n">
        <v>7</v>
      </c>
      <c r="K195" s="13" t="s">
        <v>49</v>
      </c>
      <c r="L195" s="13" t="n">
        <v>10.01</v>
      </c>
      <c r="M195" s="13" t="n">
        <v>62.9</v>
      </c>
      <c r="N195" s="13" t="n">
        <v>32.3</v>
      </c>
      <c r="O195" s="13" t="n">
        <v>33</v>
      </c>
      <c r="P195" s="13" t="n">
        <v>37.9</v>
      </c>
      <c r="Q195" s="13" t="n">
        <v>85.1</v>
      </c>
    </row>
    <row r="196" customFormat="false" ht="12.8" hidden="false" customHeight="false" outlineLevel="0" collapsed="false">
      <c r="A196" s="1" t="n">
        <v>67.8</v>
      </c>
      <c r="B196" s="1" t="n">
        <v>18.7</v>
      </c>
      <c r="C196" s="1" t="n">
        <v>33.3</v>
      </c>
      <c r="D196" s="1" t="n">
        <v>31.8</v>
      </c>
      <c r="E196" s="1" t="n">
        <v>80.8</v>
      </c>
      <c r="F196" s="17" t="n">
        <v>9.80244135131159</v>
      </c>
      <c r="G196" s="1" t="n">
        <v>9.94</v>
      </c>
      <c r="H196" s="17" t="n">
        <v>0.137558648688408</v>
      </c>
      <c r="J196" s="12" t="n">
        <v>7</v>
      </c>
      <c r="K196" s="13" t="s">
        <v>50</v>
      </c>
      <c r="L196" s="13" t="n">
        <v>9.75</v>
      </c>
      <c r="M196" s="13" t="n">
        <v>77.9</v>
      </c>
      <c r="N196" s="13" t="n">
        <v>29.1</v>
      </c>
      <c r="O196" s="13" t="n">
        <v>33.7</v>
      </c>
      <c r="P196" s="13" t="n">
        <v>37.4</v>
      </c>
      <c r="Q196" s="13" t="n">
        <v>87.1</v>
      </c>
    </row>
    <row r="197" customFormat="false" ht="12.8" hidden="false" customHeight="false" outlineLevel="0" collapsed="false">
      <c r="A197" s="1" t="n">
        <v>64</v>
      </c>
      <c r="B197" s="1" t="n">
        <v>29.4</v>
      </c>
      <c r="C197" s="1" t="n">
        <v>34.6</v>
      </c>
      <c r="D197" s="1" t="n">
        <v>36.3</v>
      </c>
      <c r="E197" s="1" t="n">
        <v>82.6</v>
      </c>
      <c r="F197" s="17" t="n">
        <v>9.97168205733725</v>
      </c>
      <c r="G197" s="1" t="n">
        <v>9.55</v>
      </c>
      <c r="H197" s="17" t="n">
        <v>-0.421682057337247</v>
      </c>
      <c r="J197" s="12" t="n">
        <v>7</v>
      </c>
      <c r="K197" s="13" t="s">
        <v>51</v>
      </c>
      <c r="L197" s="13" t="n">
        <v>9.62</v>
      </c>
      <c r="M197" s="13" t="n">
        <v>59.8</v>
      </c>
      <c r="N197" s="13" t="n">
        <v>27.9</v>
      </c>
      <c r="O197" s="13" t="n">
        <v>33.8</v>
      </c>
      <c r="P197" s="13" t="n">
        <v>31.3</v>
      </c>
      <c r="Q197" s="13" t="n">
        <v>84.8</v>
      </c>
    </row>
    <row r="198" customFormat="false" ht="12.8" hidden="false" customHeight="false" outlineLevel="0" collapsed="false">
      <c r="A198" s="1" t="n">
        <v>64.8</v>
      </c>
      <c r="B198" s="1" t="n">
        <v>25.5</v>
      </c>
      <c r="C198" s="1" t="n">
        <v>34.9</v>
      </c>
      <c r="D198" s="1" t="n">
        <v>35.9</v>
      </c>
      <c r="E198" s="1" t="n">
        <v>80.4</v>
      </c>
      <c r="F198" s="17" t="n">
        <v>9.93498082504566</v>
      </c>
      <c r="G198" s="1" t="n">
        <v>9.91</v>
      </c>
      <c r="H198" s="17" t="n">
        <v>-0.024980825045656</v>
      </c>
      <c r="J198" s="12" t="n">
        <v>7</v>
      </c>
      <c r="K198" s="13" t="s">
        <v>52</v>
      </c>
      <c r="L198" s="13" t="n">
        <v>9.67</v>
      </c>
      <c r="M198" s="13" t="n">
        <v>55.7</v>
      </c>
      <c r="N198" s="13" t="n">
        <v>17.2</v>
      </c>
      <c r="O198" s="13" t="n">
        <v>32.1</v>
      </c>
      <c r="P198" s="13" t="n">
        <v>32.2</v>
      </c>
      <c r="Q198" s="13" t="n">
        <v>82.7</v>
      </c>
    </row>
    <row r="199" customFormat="false" ht="12.8" hidden="false" customHeight="false" outlineLevel="0" collapsed="false">
      <c r="A199" s="1" t="n">
        <v>59.4</v>
      </c>
      <c r="B199" s="1" t="n">
        <v>16.7</v>
      </c>
      <c r="C199" s="1" t="n">
        <v>34.7</v>
      </c>
      <c r="D199" s="1" t="n">
        <v>35.3</v>
      </c>
      <c r="E199" s="1" t="n">
        <v>82.1</v>
      </c>
      <c r="F199" s="17" t="n">
        <v>9.93710701315895</v>
      </c>
      <c r="G199" s="1" t="n">
        <v>9.85</v>
      </c>
      <c r="H199" s="17" t="n">
        <v>-0.0871070131589491</v>
      </c>
      <c r="J199" s="12" t="n">
        <v>7</v>
      </c>
      <c r="K199" s="13" t="s">
        <v>53</v>
      </c>
      <c r="L199" s="13" t="n">
        <v>9.82</v>
      </c>
      <c r="M199" s="13" t="n">
        <v>61.7</v>
      </c>
      <c r="N199" s="13" t="n">
        <v>27.6</v>
      </c>
      <c r="O199" s="13" t="n">
        <v>33.6</v>
      </c>
      <c r="P199" s="13" t="n">
        <v>34.6</v>
      </c>
      <c r="Q199" s="13" t="n">
        <v>83.1</v>
      </c>
    </row>
    <row r="200" customFormat="false" ht="12.8" hidden="false" customHeight="false" outlineLevel="0" collapsed="false">
      <c r="A200" s="1" t="n">
        <v>55.8</v>
      </c>
      <c r="B200" s="1" t="n">
        <v>14.5</v>
      </c>
      <c r="C200" s="1" t="n">
        <v>33.4</v>
      </c>
      <c r="D200" s="1" t="n">
        <v>35.8</v>
      </c>
      <c r="E200" s="1" t="n">
        <v>80.6</v>
      </c>
      <c r="F200" s="17" t="n">
        <v>9.93871733504349</v>
      </c>
      <c r="G200" s="1" t="n">
        <v>10.02</v>
      </c>
      <c r="H200" s="17" t="n">
        <v>0.0812826649565075</v>
      </c>
      <c r="J200" s="12" t="n">
        <v>7</v>
      </c>
      <c r="K200" s="13" t="s">
        <v>54</v>
      </c>
      <c r="L200" s="13" t="n">
        <v>9.77</v>
      </c>
      <c r="M200" s="13" t="n">
        <v>55.5</v>
      </c>
      <c r="N200" s="13" t="n">
        <v>14.5</v>
      </c>
      <c r="O200" s="13" t="n">
        <v>32.3</v>
      </c>
      <c r="P200" s="13" t="n">
        <v>32.6</v>
      </c>
      <c r="Q200" s="13" t="n">
        <v>83.8</v>
      </c>
    </row>
    <row r="201" customFormat="false" ht="12.8" hidden="false" customHeight="false" outlineLevel="0" collapsed="false">
      <c r="A201" s="1" t="n">
        <v>64.4</v>
      </c>
      <c r="B201" s="1" t="n">
        <v>15.4</v>
      </c>
      <c r="C201" s="1" t="n">
        <v>34</v>
      </c>
      <c r="D201" s="1" t="n">
        <v>35.1</v>
      </c>
      <c r="E201" s="1" t="n">
        <v>80.2</v>
      </c>
      <c r="F201" s="17" t="n">
        <v>9.83495565567845</v>
      </c>
      <c r="G201" s="1" t="n">
        <v>9.94</v>
      </c>
      <c r="H201" s="17" t="n">
        <v>0.105044344321549</v>
      </c>
      <c r="J201" s="12" t="n">
        <v>7</v>
      </c>
      <c r="K201" s="13" t="s">
        <v>56</v>
      </c>
      <c r="L201" s="13" t="n">
        <v>9.76</v>
      </c>
      <c r="M201" s="13" t="n">
        <v>48.1</v>
      </c>
      <c r="N201" s="13" t="n">
        <v>9.7</v>
      </c>
      <c r="O201" s="13" t="n">
        <v>33.2</v>
      </c>
      <c r="P201" s="13" t="n">
        <v>30.5</v>
      </c>
      <c r="Q201" s="13" t="n">
        <v>83.5</v>
      </c>
    </row>
    <row r="202" customFormat="false" ht="12.8" hidden="false" customHeight="false" outlineLevel="0" collapsed="false">
      <c r="A202" s="1" t="n">
        <v>61.9</v>
      </c>
      <c r="B202" s="1" t="n">
        <v>20.2</v>
      </c>
      <c r="C202" s="1" t="n">
        <v>34.5</v>
      </c>
      <c r="D202" s="1" t="n">
        <v>33.5</v>
      </c>
      <c r="E202" s="1" t="n">
        <v>81.9</v>
      </c>
      <c r="F202" s="17" t="n">
        <v>9.92864757962042</v>
      </c>
      <c r="G202" s="1" t="n">
        <v>9.89</v>
      </c>
      <c r="H202" s="17" t="n">
        <v>-0.0386475796204238</v>
      </c>
      <c r="J202" s="12" t="n">
        <v>7</v>
      </c>
      <c r="K202" s="13" t="s">
        <v>58</v>
      </c>
      <c r="L202" s="13" t="n">
        <v>9.79</v>
      </c>
      <c r="M202" s="13" t="n">
        <v>47.7</v>
      </c>
      <c r="N202" s="13" t="n">
        <v>16</v>
      </c>
      <c r="O202" s="13" t="n">
        <v>33.5</v>
      </c>
      <c r="P202" s="13" t="n">
        <v>32.2</v>
      </c>
      <c r="Q202" s="13" t="n">
        <v>83.4</v>
      </c>
    </row>
    <row r="203" customFormat="false" ht="12.8" hidden="false" customHeight="false" outlineLevel="0" collapsed="false">
      <c r="A203" s="1" t="n">
        <v>60.9</v>
      </c>
      <c r="B203" s="1" t="n">
        <v>17.1</v>
      </c>
      <c r="C203" s="1" t="n">
        <v>35.5</v>
      </c>
      <c r="D203" s="1" t="n">
        <v>32.2</v>
      </c>
      <c r="E203" s="1" t="n">
        <v>78</v>
      </c>
      <c r="F203" s="17" t="n">
        <v>9.9446400590176</v>
      </c>
      <c r="G203" s="1" t="n">
        <v>10.13</v>
      </c>
      <c r="H203" s="17" t="n">
        <v>0.185359940982401</v>
      </c>
      <c r="J203" s="12" t="n">
        <v>7</v>
      </c>
      <c r="K203" s="13" t="s">
        <v>60</v>
      </c>
      <c r="L203" s="13" t="n">
        <v>9.91</v>
      </c>
      <c r="M203" s="13" t="n">
        <v>53.8</v>
      </c>
      <c r="N203" s="13" t="n">
        <v>11.6</v>
      </c>
      <c r="O203" s="13" t="n">
        <v>34.4</v>
      </c>
      <c r="P203" s="13" t="n">
        <v>32</v>
      </c>
      <c r="Q203" s="13" t="n">
        <v>82.3</v>
      </c>
    </row>
    <row r="204" customFormat="false" ht="12.8" hidden="false" customHeight="false" outlineLevel="0" collapsed="false">
      <c r="A204" s="1" t="n">
        <v>49.8</v>
      </c>
      <c r="B204" s="1" t="n">
        <v>12.8</v>
      </c>
      <c r="C204" s="1" t="n">
        <v>35</v>
      </c>
      <c r="D204" s="1" t="n">
        <v>33.8</v>
      </c>
      <c r="E204" s="1" t="n">
        <v>78.5</v>
      </c>
      <c r="F204" s="17" t="n">
        <v>10.0572224565336</v>
      </c>
      <c r="G204" s="1" t="n">
        <v>10.34</v>
      </c>
      <c r="H204" s="17" t="n">
        <v>0.282777543466425</v>
      </c>
      <c r="J204" s="12" t="n">
        <v>7</v>
      </c>
      <c r="K204" s="13" t="s">
        <v>62</v>
      </c>
      <c r="L204" s="13" t="n">
        <v>9.92</v>
      </c>
      <c r="M204" s="13" t="n">
        <v>48.2</v>
      </c>
      <c r="N204" s="13" t="n">
        <v>13.5</v>
      </c>
      <c r="O204" s="13" t="n">
        <v>33.4</v>
      </c>
      <c r="P204" s="13" t="n">
        <v>31.9</v>
      </c>
      <c r="Q204" s="13" t="n">
        <v>82.6</v>
      </c>
    </row>
    <row r="205" customFormat="false" ht="12.8" hidden="false" customHeight="false" outlineLevel="0" collapsed="false">
      <c r="A205" s="1" t="n">
        <v>56.6</v>
      </c>
      <c r="B205" s="1" t="n">
        <v>15.2</v>
      </c>
      <c r="C205" s="1" t="n">
        <v>34.5</v>
      </c>
      <c r="D205" s="1" t="n">
        <v>33.6</v>
      </c>
      <c r="E205" s="1" t="n">
        <v>80.5</v>
      </c>
      <c r="F205" s="17" t="n">
        <v>9.96474416132341</v>
      </c>
      <c r="G205" s="1" t="n">
        <v>10.18</v>
      </c>
      <c r="H205" s="17" t="n">
        <v>0.215255838676587</v>
      </c>
      <c r="J205" s="12" t="n">
        <v>7</v>
      </c>
      <c r="K205" s="13" t="s">
        <v>64</v>
      </c>
      <c r="L205" s="13" t="n">
        <v>9.55</v>
      </c>
      <c r="M205" s="13" t="n">
        <v>70.4</v>
      </c>
      <c r="N205" s="13" t="n">
        <v>24.2</v>
      </c>
      <c r="O205" s="13" t="n">
        <v>34.2</v>
      </c>
      <c r="P205" s="13" t="n">
        <v>36.1</v>
      </c>
      <c r="Q205" s="13" t="n">
        <v>84.8</v>
      </c>
    </row>
    <row r="206" customFormat="false" ht="12.8" hidden="false" customHeight="false" outlineLevel="0" collapsed="false">
      <c r="A206" s="1" t="n">
        <v>56.8</v>
      </c>
      <c r="B206" s="1" t="n">
        <v>22.6</v>
      </c>
      <c r="C206" s="1" t="n">
        <v>36.7</v>
      </c>
      <c r="D206" s="1" t="n">
        <v>35.9</v>
      </c>
      <c r="E206" s="1" t="n">
        <v>76.6</v>
      </c>
      <c r="F206" s="17" t="n">
        <v>10.0734867815177</v>
      </c>
      <c r="G206" s="1" t="n">
        <v>10.22</v>
      </c>
      <c r="H206" s="17" t="n">
        <v>0.146513218482296</v>
      </c>
      <c r="J206" s="12" t="n">
        <v>7</v>
      </c>
      <c r="K206" s="13" t="s">
        <v>66</v>
      </c>
      <c r="L206" s="13" t="n">
        <v>9.65</v>
      </c>
      <c r="M206" s="13" t="n">
        <v>72.3</v>
      </c>
      <c r="N206" s="13" t="n">
        <v>33.2</v>
      </c>
      <c r="O206" s="13" t="n">
        <v>33.1</v>
      </c>
      <c r="P206" s="13" t="n">
        <v>38.5</v>
      </c>
      <c r="Q206" s="13" t="n">
        <v>83.8</v>
      </c>
    </row>
    <row r="207" customFormat="false" ht="12.8" hidden="false" customHeight="false" outlineLevel="0" collapsed="false">
      <c r="A207" s="1" t="n">
        <v>56.3</v>
      </c>
      <c r="B207" s="1" t="n">
        <v>15.3</v>
      </c>
      <c r="C207" s="1" t="n">
        <v>34.7</v>
      </c>
      <c r="D207" s="1" t="n">
        <v>34.6</v>
      </c>
      <c r="E207" s="1" t="n">
        <v>77.4</v>
      </c>
      <c r="F207" s="17" t="n">
        <v>9.97266270164367</v>
      </c>
      <c r="G207" s="1" t="n">
        <v>10</v>
      </c>
      <c r="H207" s="17" t="n">
        <v>0.0273372983563256</v>
      </c>
      <c r="J207" s="12" t="n">
        <v>7</v>
      </c>
      <c r="K207" s="13" t="s">
        <v>67</v>
      </c>
      <c r="L207" s="13" t="n">
        <v>9.88</v>
      </c>
      <c r="M207" s="13" t="n">
        <v>67</v>
      </c>
      <c r="N207" s="13" t="n">
        <v>27.5</v>
      </c>
      <c r="O207" s="13" t="n">
        <v>33.6</v>
      </c>
      <c r="P207" s="13" t="n">
        <v>32.8</v>
      </c>
      <c r="Q207" s="13" t="n">
        <v>82.9</v>
      </c>
    </row>
    <row r="208" customFormat="false" ht="12.8" hidden="false" customHeight="false" outlineLevel="0" collapsed="false">
      <c r="A208" s="1" t="n">
        <v>57.1</v>
      </c>
      <c r="B208" s="1" t="n">
        <v>21.9</v>
      </c>
      <c r="C208" s="1" t="n">
        <v>33.7</v>
      </c>
      <c r="D208" s="1" t="n">
        <v>33.5</v>
      </c>
      <c r="E208" s="1" t="n">
        <v>82.8</v>
      </c>
      <c r="F208" s="17" t="n">
        <v>9.99462321606395</v>
      </c>
      <c r="G208" s="1" t="n">
        <v>9.68</v>
      </c>
      <c r="H208" s="17" t="n">
        <v>-0.314623216063954</v>
      </c>
      <c r="J208" s="12" t="n">
        <v>7</v>
      </c>
      <c r="K208" s="13" t="s">
        <v>69</v>
      </c>
      <c r="L208" s="13" t="n">
        <v>9.94</v>
      </c>
      <c r="M208" s="13" t="n">
        <v>67.6</v>
      </c>
      <c r="N208" s="13" t="n">
        <v>24.3</v>
      </c>
      <c r="O208" s="13" t="n">
        <v>32.9</v>
      </c>
      <c r="P208" s="13" t="n">
        <v>33.6</v>
      </c>
      <c r="Q208" s="13" t="n">
        <v>81.8</v>
      </c>
    </row>
    <row r="209" customFormat="false" ht="12.8" hidden="false" customHeight="false" outlineLevel="0" collapsed="false">
      <c r="A209" s="1" t="n">
        <v>70.8</v>
      </c>
      <c r="B209" s="1" t="n">
        <v>19.6</v>
      </c>
      <c r="C209" s="1" t="n">
        <v>34.5</v>
      </c>
      <c r="D209" s="1" t="n">
        <v>37.9</v>
      </c>
      <c r="E209" s="1" t="n">
        <v>84.3</v>
      </c>
      <c r="F209" s="17" t="n">
        <v>9.78178435492652</v>
      </c>
      <c r="G209" s="1" t="n">
        <v>9.92</v>
      </c>
      <c r="H209" s="17" t="n">
        <v>0.138215645073476</v>
      </c>
      <c r="J209" s="12" t="n">
        <v>7</v>
      </c>
      <c r="K209" s="13" t="s">
        <v>75</v>
      </c>
      <c r="L209" s="13" t="n">
        <v>9.89</v>
      </c>
      <c r="M209" s="13" t="n">
        <v>69</v>
      </c>
      <c r="N209" s="13" t="n">
        <v>22.5</v>
      </c>
      <c r="O209" s="13" t="n">
        <v>33.2</v>
      </c>
      <c r="P209" s="13" t="n">
        <v>33.4</v>
      </c>
      <c r="Q209" s="13" t="n">
        <v>82.6</v>
      </c>
    </row>
    <row r="210" customFormat="false" ht="12.8" hidden="false" customHeight="false" outlineLevel="0" collapsed="false">
      <c r="A210" s="1" t="n">
        <v>63.7</v>
      </c>
      <c r="B210" s="1" t="n">
        <v>33.1</v>
      </c>
      <c r="C210" s="1" t="n">
        <v>32.3</v>
      </c>
      <c r="D210" s="1" t="n">
        <v>37.1</v>
      </c>
      <c r="E210" s="1" t="n">
        <v>80</v>
      </c>
      <c r="F210" s="17" t="n">
        <v>9.94887992887293</v>
      </c>
      <c r="G210" s="1" t="n">
        <v>10.02</v>
      </c>
      <c r="H210" s="17" t="n">
        <v>0.071120071127071</v>
      </c>
      <c r="J210" s="12" t="n">
        <v>7</v>
      </c>
      <c r="K210" s="13" t="s">
        <v>76</v>
      </c>
      <c r="L210" s="13" t="n">
        <v>9.69</v>
      </c>
      <c r="M210" s="13" t="n">
        <v>64.5</v>
      </c>
      <c r="N210" s="13" t="n">
        <v>31.2</v>
      </c>
      <c r="O210" s="13" t="n">
        <v>34</v>
      </c>
      <c r="P210" s="13" t="n">
        <v>36.2</v>
      </c>
      <c r="Q210" s="13" t="n">
        <v>84.6</v>
      </c>
    </row>
    <row r="211" customFormat="false" ht="12.8" hidden="false" customHeight="false" outlineLevel="0" collapsed="false">
      <c r="A211" s="1" t="n">
        <v>57.3</v>
      </c>
      <c r="B211" s="1" t="n">
        <v>18.6</v>
      </c>
      <c r="C211" s="1" t="n">
        <v>33.3</v>
      </c>
      <c r="D211" s="1" t="n">
        <v>37.4</v>
      </c>
      <c r="E211" s="1" t="n">
        <v>79.8</v>
      </c>
      <c r="F211" s="17" t="n">
        <v>9.9451361258209</v>
      </c>
      <c r="G211" s="1" t="n">
        <v>9.95</v>
      </c>
      <c r="H211" s="17" t="n">
        <v>0.00486387417910272</v>
      </c>
      <c r="J211" s="12" t="n">
        <v>7</v>
      </c>
      <c r="K211" s="13" t="s">
        <v>78</v>
      </c>
      <c r="L211" s="13" t="n">
        <v>9.93</v>
      </c>
      <c r="M211" s="13" t="n">
        <v>65.5</v>
      </c>
      <c r="N211" s="13" t="n">
        <v>24.6</v>
      </c>
      <c r="O211" s="13" t="n">
        <v>34.8</v>
      </c>
      <c r="P211" s="13" t="n">
        <v>36.2</v>
      </c>
      <c r="Q211" s="13" t="n">
        <v>82.7</v>
      </c>
    </row>
    <row r="212" customFormat="false" ht="12.8" hidden="false" customHeight="false" outlineLevel="0" collapsed="false">
      <c r="A212" s="1" t="n">
        <v>57</v>
      </c>
      <c r="B212" s="1" t="n">
        <v>18.2</v>
      </c>
      <c r="C212" s="1" t="n">
        <v>35.3</v>
      </c>
      <c r="D212" s="1" t="n">
        <v>33.6</v>
      </c>
      <c r="E212" s="1" t="n">
        <v>82.7</v>
      </c>
      <c r="F212" s="17" t="n">
        <v>10.0040182309301</v>
      </c>
      <c r="G212" s="1" t="n">
        <v>10.2</v>
      </c>
      <c r="H212" s="17" t="n">
        <v>0.195981769069912</v>
      </c>
      <c r="J212" s="12" t="n">
        <v>7</v>
      </c>
      <c r="K212" s="13" t="s">
        <v>80</v>
      </c>
      <c r="L212" s="13" t="n">
        <v>9.8</v>
      </c>
      <c r="M212" s="13" t="n">
        <v>59.7</v>
      </c>
      <c r="N212" s="13" t="n">
        <v>17.7</v>
      </c>
      <c r="O212" s="13" t="n">
        <v>34.3</v>
      </c>
      <c r="P212" s="13" t="n">
        <v>34.6</v>
      </c>
      <c r="Q212" s="13" t="n">
        <v>83.8</v>
      </c>
    </row>
    <row r="213" customFormat="false" ht="12.8" hidden="false" customHeight="false" outlineLevel="0" collapsed="false">
      <c r="A213" s="1" t="n">
        <v>55.1</v>
      </c>
      <c r="B213" s="1" t="n">
        <v>24.8</v>
      </c>
      <c r="C213" s="1" t="n">
        <v>35.3</v>
      </c>
      <c r="D213" s="1" t="n">
        <v>32.8</v>
      </c>
      <c r="E213" s="1" t="n">
        <v>74.5</v>
      </c>
      <c r="F213" s="17" t="n">
        <v>10.0895900879458</v>
      </c>
      <c r="G213" s="1" t="n">
        <v>10.19</v>
      </c>
      <c r="H213" s="17" t="n">
        <v>0.100409912054165</v>
      </c>
      <c r="J213" s="12" t="n">
        <v>7</v>
      </c>
      <c r="K213" s="13" t="s">
        <v>81</v>
      </c>
      <c r="L213" s="13" t="n">
        <v>10.03</v>
      </c>
      <c r="M213" s="13" t="n">
        <v>57</v>
      </c>
      <c r="N213" s="13" t="n">
        <v>16.8</v>
      </c>
      <c r="O213" s="13" t="n">
        <v>33.2</v>
      </c>
      <c r="P213" s="13" t="n">
        <v>31.1</v>
      </c>
      <c r="Q213" s="13" t="n">
        <v>82.6</v>
      </c>
    </row>
    <row r="214" customFormat="false" ht="12.8" hidden="false" customHeight="false" outlineLevel="0" collapsed="false">
      <c r="A214" s="1" t="n">
        <v>54.1</v>
      </c>
      <c r="B214" s="1" t="n">
        <v>33.7</v>
      </c>
      <c r="C214" s="1" t="n">
        <v>34.2</v>
      </c>
      <c r="D214" s="1" t="n">
        <v>35.5</v>
      </c>
      <c r="E214" s="1" t="n">
        <v>78.3</v>
      </c>
      <c r="F214" s="17" t="n">
        <v>10.1468529705949</v>
      </c>
      <c r="G214" s="1" t="n">
        <v>10.33</v>
      </c>
      <c r="H214" s="17" t="n">
        <v>0.183147029405095</v>
      </c>
      <c r="J214" s="12" t="n">
        <v>7</v>
      </c>
      <c r="K214" s="13" t="s">
        <v>83</v>
      </c>
      <c r="L214" s="13" t="n">
        <v>9.99</v>
      </c>
      <c r="M214" s="13" t="n">
        <v>64.6</v>
      </c>
      <c r="N214" s="13" t="n">
        <v>18.1</v>
      </c>
      <c r="O214" s="13" t="n">
        <v>33.4</v>
      </c>
      <c r="P214" s="13" t="n">
        <v>34.8</v>
      </c>
      <c r="Q214" s="13" t="n">
        <v>82.1</v>
      </c>
    </row>
    <row r="215" customFormat="false" ht="12.8" hidden="false" customHeight="false" outlineLevel="0" collapsed="false">
      <c r="A215" s="1" t="n">
        <v>61.4</v>
      </c>
      <c r="B215" s="1" t="n">
        <v>18.3</v>
      </c>
      <c r="C215" s="1" t="n">
        <v>33.3</v>
      </c>
      <c r="D215" s="1" t="n">
        <v>35.3</v>
      </c>
      <c r="E215" s="1" t="n">
        <v>79</v>
      </c>
      <c r="F215" s="17" t="n">
        <v>9.88631246751524</v>
      </c>
      <c r="G215" s="1" t="n">
        <v>10.03</v>
      </c>
      <c r="H215" s="17" t="n">
        <v>0.143687532484757</v>
      </c>
      <c r="J215" s="12" t="n">
        <v>7</v>
      </c>
      <c r="K215" s="13" t="s">
        <v>84</v>
      </c>
      <c r="L215" s="13" t="n">
        <v>9.97</v>
      </c>
      <c r="M215" s="13" t="n">
        <v>62.6</v>
      </c>
      <c r="N215" s="13" t="n">
        <v>19.5</v>
      </c>
      <c r="O215" s="13" t="n">
        <v>33.8</v>
      </c>
      <c r="P215" s="13" t="n">
        <v>32.3</v>
      </c>
      <c r="Q215" s="13" t="n">
        <v>83.6</v>
      </c>
    </row>
    <row r="216" customFormat="false" ht="12.8" hidden="false" customHeight="false" outlineLevel="0" collapsed="false">
      <c r="A216" s="1" t="n">
        <v>66.1</v>
      </c>
      <c r="B216" s="1" t="n">
        <v>15.5</v>
      </c>
      <c r="C216" s="1" t="n">
        <v>30.2</v>
      </c>
      <c r="D216" s="1" t="n">
        <v>31.6</v>
      </c>
      <c r="E216" s="1" t="n">
        <v>76.9</v>
      </c>
      <c r="F216" s="17" t="n">
        <v>9.72442880525228</v>
      </c>
      <c r="G216" s="1" t="n">
        <v>9.89</v>
      </c>
      <c r="H216" s="17" t="n">
        <v>0.16557119474772</v>
      </c>
      <c r="J216" s="12" t="n">
        <v>7</v>
      </c>
      <c r="K216" s="13" t="s">
        <v>88</v>
      </c>
      <c r="L216" s="13" t="n">
        <v>10.03</v>
      </c>
      <c r="M216" s="13" t="n">
        <v>62.8</v>
      </c>
      <c r="N216" s="13" t="n">
        <v>17.8</v>
      </c>
      <c r="O216" s="13" t="n">
        <v>34.8</v>
      </c>
      <c r="P216" s="13" t="n">
        <v>30.5</v>
      </c>
      <c r="Q216" s="13" t="n">
        <v>80.3</v>
      </c>
    </row>
    <row r="217" customFormat="false" ht="12.8" hidden="false" customHeight="false" outlineLevel="0" collapsed="false">
      <c r="A217" s="1" t="n">
        <v>55.4</v>
      </c>
      <c r="B217" s="1" t="n">
        <v>19.3</v>
      </c>
      <c r="C217" s="1" t="n">
        <v>34.3</v>
      </c>
      <c r="D217" s="1" t="n">
        <v>36.5</v>
      </c>
      <c r="E217" s="1" t="n">
        <v>82.3</v>
      </c>
      <c r="F217" s="17" t="n">
        <v>10.0060182875524</v>
      </c>
      <c r="G217" s="1" t="n">
        <v>10.35</v>
      </c>
      <c r="H217" s="17" t="n">
        <v>0.343981712447599</v>
      </c>
      <c r="J217" s="12" t="n">
        <v>7</v>
      </c>
      <c r="K217" s="13" t="s">
        <v>89</v>
      </c>
      <c r="L217" s="13" t="n">
        <v>10.24</v>
      </c>
      <c r="M217" s="13" t="n">
        <v>50.2</v>
      </c>
      <c r="N217" s="13" t="n">
        <v>13.8</v>
      </c>
      <c r="O217" s="13" t="n">
        <v>34.1</v>
      </c>
      <c r="P217" s="13" t="n">
        <v>31.6</v>
      </c>
      <c r="Q217" s="13" t="n">
        <v>80.7</v>
      </c>
    </row>
    <row r="218" customFormat="false" ht="12.8" hidden="false" customHeight="false" outlineLevel="0" collapsed="false">
      <c r="A218" s="1" t="n">
        <v>58.9</v>
      </c>
      <c r="B218" s="1" t="n">
        <v>26.2</v>
      </c>
      <c r="C218" s="1" t="n">
        <v>36.4</v>
      </c>
      <c r="D218" s="1" t="n">
        <v>39.1</v>
      </c>
      <c r="E218" s="1" t="n">
        <v>83.3</v>
      </c>
      <c r="F218" s="17" t="n">
        <v>10.0585693374795</v>
      </c>
      <c r="G218" s="1" t="n">
        <v>10.42</v>
      </c>
      <c r="H218" s="17" t="n">
        <v>0.36143066252054</v>
      </c>
      <c r="J218" s="12" t="n">
        <v>7</v>
      </c>
      <c r="K218" s="13" t="s">
        <v>90</v>
      </c>
      <c r="L218" s="13" t="n">
        <v>10.16</v>
      </c>
      <c r="M218" s="13" t="n">
        <v>56.8</v>
      </c>
      <c r="N218" s="13" t="n">
        <v>15.5</v>
      </c>
      <c r="O218" s="13" t="n">
        <v>33.7</v>
      </c>
      <c r="P218" s="13" t="n">
        <v>32.8</v>
      </c>
      <c r="Q218" s="13" t="n">
        <v>82.4</v>
      </c>
    </row>
    <row r="219" customFormat="false" ht="12.8" hidden="false" customHeight="false" outlineLevel="0" collapsed="false">
      <c r="A219" s="1" t="n">
        <v>57.7</v>
      </c>
      <c r="B219" s="1" t="n">
        <v>26.8</v>
      </c>
      <c r="C219" s="1" t="n">
        <v>35.4</v>
      </c>
      <c r="D219" s="1" t="n">
        <v>34.6</v>
      </c>
      <c r="E219" s="1" t="n">
        <v>83.1</v>
      </c>
      <c r="F219" s="17" t="n">
        <v>10.0667207823319</v>
      </c>
      <c r="G219" s="1" t="n">
        <v>10.17</v>
      </c>
      <c r="H219" s="17" t="n">
        <v>0.103279217668122</v>
      </c>
      <c r="J219" s="12" t="n">
        <v>7</v>
      </c>
      <c r="K219" s="13" t="s">
        <v>91</v>
      </c>
      <c r="L219" s="13" t="n">
        <v>10.02</v>
      </c>
      <c r="M219" s="13" t="n">
        <v>56.3</v>
      </c>
      <c r="N219" s="13" t="n">
        <v>20.8</v>
      </c>
      <c r="O219" s="13" t="n">
        <v>35.5</v>
      </c>
      <c r="P219" s="13" t="n">
        <v>37.1</v>
      </c>
      <c r="Q219" s="13" t="n">
        <v>79</v>
      </c>
    </row>
    <row r="220" customFormat="false" ht="12.8" hidden="false" customHeight="false" outlineLevel="0" collapsed="false">
      <c r="A220" s="1" t="n">
        <v>62.1</v>
      </c>
      <c r="B220" s="1" t="n">
        <v>36.2</v>
      </c>
      <c r="C220" s="1" t="n">
        <v>33.2</v>
      </c>
      <c r="D220" s="1" t="n">
        <v>38.8</v>
      </c>
      <c r="E220" s="1" t="n">
        <v>83.4</v>
      </c>
      <c r="F220" s="17" t="n">
        <v>10.0174618104053</v>
      </c>
      <c r="G220" s="1" t="n">
        <v>10.3</v>
      </c>
      <c r="H220" s="17" t="n">
        <v>0.282538189594751</v>
      </c>
      <c r="J220" s="12" t="n">
        <v>7</v>
      </c>
      <c r="K220" s="13" t="s">
        <v>92</v>
      </c>
      <c r="L220" s="13" t="n">
        <v>10.19</v>
      </c>
      <c r="M220" s="13" t="n">
        <v>57.5</v>
      </c>
      <c r="N220" s="13" t="n">
        <v>17.9</v>
      </c>
      <c r="O220" s="13" t="n">
        <v>35.2</v>
      </c>
      <c r="P220" s="13" t="n">
        <v>32.7</v>
      </c>
      <c r="Q220" s="13" t="n">
        <v>79.8</v>
      </c>
    </row>
    <row r="221" customFormat="false" ht="12.8" hidden="false" customHeight="false" outlineLevel="0" collapsed="false">
      <c r="A221" s="1" t="n">
        <v>65.5</v>
      </c>
      <c r="B221" s="1" t="n">
        <v>29.4</v>
      </c>
      <c r="C221" s="1" t="n">
        <v>34.1</v>
      </c>
      <c r="D221" s="1" t="n">
        <v>38.2</v>
      </c>
      <c r="E221" s="1" t="n">
        <v>81</v>
      </c>
      <c r="F221" s="17" t="n">
        <v>9.93282707826766</v>
      </c>
      <c r="G221" s="1" t="n">
        <v>10.25</v>
      </c>
      <c r="H221" s="17" t="n">
        <v>0.317172921732336</v>
      </c>
      <c r="J221" s="12" t="n">
        <v>7</v>
      </c>
      <c r="K221" s="13" t="s">
        <v>93</v>
      </c>
      <c r="L221" s="13" t="n">
        <v>9.93</v>
      </c>
      <c r="M221" s="13" t="n">
        <v>58</v>
      </c>
      <c r="N221" s="13" t="n">
        <v>23.6</v>
      </c>
      <c r="O221" s="13" t="n">
        <v>33.7</v>
      </c>
      <c r="P221" s="13" t="n">
        <v>31</v>
      </c>
      <c r="Q221" s="13" t="n">
        <v>84.6</v>
      </c>
    </row>
    <row r="222" customFormat="false" ht="12.8" hidden="false" customHeight="false" outlineLevel="0" collapsed="false">
      <c r="A222" s="1" t="n">
        <v>56.6</v>
      </c>
      <c r="B222" s="1" t="n">
        <v>19.3</v>
      </c>
      <c r="C222" s="1" t="n">
        <v>34.7</v>
      </c>
      <c r="D222" s="1" t="n">
        <v>36.8</v>
      </c>
      <c r="E222" s="1" t="n">
        <v>84.2</v>
      </c>
      <c r="F222" s="17" t="n">
        <v>9.99747085440161</v>
      </c>
      <c r="G222" s="1" t="n">
        <v>9.85</v>
      </c>
      <c r="H222" s="17" t="n">
        <v>-0.147470854401607</v>
      </c>
      <c r="J222" s="12" t="n">
        <v>7</v>
      </c>
      <c r="K222" s="13" t="s">
        <v>94</v>
      </c>
      <c r="L222" s="13" t="n">
        <v>9.94</v>
      </c>
      <c r="M222" s="13" t="n">
        <v>71.5</v>
      </c>
      <c r="N222" s="13" t="n">
        <v>25.6</v>
      </c>
      <c r="O222" s="13" t="n">
        <v>33.5</v>
      </c>
      <c r="P222" s="13" t="n">
        <v>35.8</v>
      </c>
      <c r="Q222" s="13" t="n">
        <v>86.3</v>
      </c>
    </row>
    <row r="223" customFormat="false" ht="12.8" hidden="false" customHeight="false" outlineLevel="0" collapsed="false">
      <c r="A223" s="1" t="n">
        <v>55.1</v>
      </c>
      <c r="B223" s="1" t="n">
        <v>19.6</v>
      </c>
      <c r="C223" s="1" t="n">
        <v>34.7</v>
      </c>
      <c r="D223" s="1" t="n">
        <v>38.7</v>
      </c>
      <c r="E223" s="1" t="n">
        <v>86.1</v>
      </c>
      <c r="F223" s="17" t="n">
        <v>10.0181646852117</v>
      </c>
      <c r="G223" s="1" t="n">
        <v>10.13</v>
      </c>
      <c r="H223" s="17" t="n">
        <v>0.111835314788255</v>
      </c>
      <c r="J223" s="12" t="n">
        <v>7</v>
      </c>
      <c r="K223" s="13" t="s">
        <v>95</v>
      </c>
      <c r="L223" s="13" t="n">
        <v>10.17</v>
      </c>
      <c r="M223" s="13" t="n">
        <v>65</v>
      </c>
      <c r="N223" s="13" t="n">
        <v>35.6</v>
      </c>
      <c r="O223" s="13" t="n">
        <v>32.4</v>
      </c>
      <c r="P223" s="13" t="n">
        <v>38.3</v>
      </c>
      <c r="Q223" s="13" t="n">
        <v>81.8</v>
      </c>
    </row>
    <row r="224" customFormat="false" ht="12.8" hidden="false" customHeight="false" outlineLevel="0" collapsed="false">
      <c r="A224" s="1" t="n">
        <v>60.1</v>
      </c>
      <c r="B224" s="1" t="n">
        <v>24.5</v>
      </c>
      <c r="C224" s="1" t="n">
        <v>34.2</v>
      </c>
      <c r="D224" s="1" t="n">
        <v>35.8</v>
      </c>
      <c r="E224" s="1" t="n">
        <v>89.3</v>
      </c>
      <c r="F224" s="17" t="n">
        <v>9.97958269356548</v>
      </c>
      <c r="G224" s="1" t="n">
        <v>9.52</v>
      </c>
      <c r="H224" s="17" t="n">
        <v>-0.459582693565482</v>
      </c>
      <c r="J224" s="12" t="n">
        <v>7</v>
      </c>
      <c r="K224" s="13" t="s">
        <v>97</v>
      </c>
      <c r="L224" s="13" t="n">
        <v>9.97</v>
      </c>
      <c r="M224" s="13" t="n">
        <v>59.3</v>
      </c>
      <c r="N224" s="13" t="n">
        <v>21.4</v>
      </c>
      <c r="O224" s="13" t="n">
        <v>33.4</v>
      </c>
      <c r="P224" s="13" t="n">
        <v>36.7</v>
      </c>
      <c r="Q224" s="13" t="n">
        <v>81.8</v>
      </c>
    </row>
    <row r="225" customFormat="false" ht="12.8" hidden="false" customHeight="false" outlineLevel="0" collapsed="false">
      <c r="A225" s="1" t="n">
        <v>53.5</v>
      </c>
      <c r="B225" s="1" t="n">
        <v>13.5</v>
      </c>
      <c r="C225" s="1" t="n">
        <v>32.4</v>
      </c>
      <c r="D225" s="1" t="n">
        <v>32.6</v>
      </c>
      <c r="E225" s="1" t="n">
        <v>84.4</v>
      </c>
      <c r="F225" s="17" t="n">
        <v>9.94693240073265</v>
      </c>
      <c r="G225" s="1" t="n">
        <v>10.31</v>
      </c>
      <c r="H225" s="17" t="n">
        <v>0.363067599267348</v>
      </c>
      <c r="J225" s="12" t="n">
        <v>7</v>
      </c>
      <c r="K225" s="13" t="s">
        <v>98</v>
      </c>
      <c r="L225" s="13" t="n">
        <v>10.36</v>
      </c>
      <c r="M225" s="13" t="n">
        <v>57.1</v>
      </c>
      <c r="N225" s="13" t="n">
        <v>20.2</v>
      </c>
      <c r="O225" s="13" t="n">
        <v>34.4</v>
      </c>
      <c r="P225" s="13" t="n">
        <v>33.7</v>
      </c>
      <c r="Q225" s="13" t="n">
        <v>84.6</v>
      </c>
    </row>
    <row r="226" customFormat="false" ht="12.8" hidden="false" customHeight="false" outlineLevel="0" collapsed="false">
      <c r="A226" s="1" t="n">
        <v>61.4</v>
      </c>
      <c r="B226" s="1" t="n">
        <v>28.4</v>
      </c>
      <c r="C226" s="1" t="n">
        <v>33.5</v>
      </c>
      <c r="D226" s="1" t="n">
        <v>34.2</v>
      </c>
      <c r="E226" s="1" t="n">
        <v>84.8</v>
      </c>
      <c r="F226" s="17" t="n">
        <v>9.9794025882655</v>
      </c>
      <c r="G226" s="1" t="n">
        <v>9.85</v>
      </c>
      <c r="H226" s="17" t="n">
        <v>-0.129402588265505</v>
      </c>
      <c r="J226" s="12" t="n">
        <v>7</v>
      </c>
      <c r="K226" s="13" t="s">
        <v>99</v>
      </c>
      <c r="L226" s="13" t="n">
        <v>10.47</v>
      </c>
      <c r="M226" s="13" t="n">
        <v>57</v>
      </c>
      <c r="N226" s="13" t="n">
        <v>27.2</v>
      </c>
      <c r="O226" s="13" t="n">
        <v>35.8</v>
      </c>
      <c r="P226" s="13" t="n">
        <v>31.1</v>
      </c>
      <c r="Q226" s="13" t="n">
        <v>77</v>
      </c>
    </row>
    <row r="227" customFormat="false" ht="12.8" hidden="false" customHeight="false" outlineLevel="0" collapsed="false">
      <c r="A227" s="1" t="n">
        <v>63.7</v>
      </c>
      <c r="B227" s="1" t="n">
        <v>22.2</v>
      </c>
      <c r="C227" s="1" t="n">
        <v>34</v>
      </c>
      <c r="D227" s="1" t="n">
        <v>31.4</v>
      </c>
      <c r="E227" s="1" t="n">
        <v>87.1</v>
      </c>
      <c r="F227" s="17" t="n">
        <v>9.9113373430187</v>
      </c>
      <c r="G227" s="1" t="n">
        <v>9.62</v>
      </c>
      <c r="H227" s="17" t="n">
        <v>-0.2913373430187</v>
      </c>
      <c r="J227" s="12" t="n">
        <v>7</v>
      </c>
      <c r="K227" s="13" t="s">
        <v>100</v>
      </c>
      <c r="L227" s="13" t="n">
        <v>10.21</v>
      </c>
      <c r="M227" s="13" t="n">
        <v>55</v>
      </c>
      <c r="N227" s="13" t="n">
        <v>34.1</v>
      </c>
      <c r="O227" s="13" t="n">
        <v>33.5</v>
      </c>
      <c r="P227" s="13" t="n">
        <v>32.5</v>
      </c>
      <c r="Q227" s="13" t="n">
        <v>80.6</v>
      </c>
    </row>
    <row r="228" customFormat="false" ht="12.8" hidden="false" customHeight="false" outlineLevel="0" collapsed="false">
      <c r="A228" s="1" t="n">
        <v>64.1</v>
      </c>
      <c r="B228" s="1" t="n">
        <v>24.4</v>
      </c>
      <c r="C228" s="1" t="n">
        <v>32.5</v>
      </c>
      <c r="D228" s="1" t="n">
        <v>33.4</v>
      </c>
      <c r="E228" s="1" t="n">
        <v>86</v>
      </c>
      <c r="F228" s="17" t="n">
        <v>9.88257848164372</v>
      </c>
      <c r="G228" s="1" t="n">
        <v>10.11</v>
      </c>
      <c r="H228" s="17" t="n">
        <v>0.227421518356282</v>
      </c>
      <c r="J228" s="12" t="n">
        <v>7</v>
      </c>
      <c r="K228" s="13" t="s">
        <v>101</v>
      </c>
      <c r="L228" s="13" t="n">
        <v>10.18</v>
      </c>
      <c r="M228" s="13" t="n">
        <v>63</v>
      </c>
      <c r="N228" s="13" t="n">
        <v>19.2</v>
      </c>
      <c r="O228" s="13" t="n">
        <v>33.2</v>
      </c>
      <c r="P228" s="13" t="n">
        <v>33.7</v>
      </c>
      <c r="Q228" s="13" t="n">
        <v>81</v>
      </c>
    </row>
    <row r="229" customFormat="false" ht="12.8" hidden="false" customHeight="false" outlineLevel="0" collapsed="false">
      <c r="A229" s="1" t="n">
        <v>62.9</v>
      </c>
      <c r="B229" s="1" t="n">
        <v>32.3</v>
      </c>
      <c r="C229" s="1" t="n">
        <v>33</v>
      </c>
      <c r="D229" s="1" t="n">
        <v>37.9</v>
      </c>
      <c r="E229" s="1" t="n">
        <v>85.1</v>
      </c>
      <c r="F229" s="17" t="n">
        <v>9.96967036837402</v>
      </c>
      <c r="G229" s="1" t="n">
        <v>10.01</v>
      </c>
      <c r="H229" s="17" t="n">
        <v>0.0403296316259763</v>
      </c>
      <c r="J229" s="12" t="n">
        <v>7</v>
      </c>
      <c r="K229" s="13" t="s">
        <v>102</v>
      </c>
      <c r="L229" s="13" t="n">
        <v>10.13</v>
      </c>
      <c r="M229" s="13" t="n">
        <v>68</v>
      </c>
      <c r="N229" s="13" t="n">
        <v>17.1</v>
      </c>
      <c r="O229" s="13" t="n">
        <v>31</v>
      </c>
      <c r="P229" s="13" t="n">
        <v>29.9</v>
      </c>
      <c r="Q229" s="13" t="n">
        <v>79.1</v>
      </c>
    </row>
    <row r="230" customFormat="false" ht="12.8" hidden="false" customHeight="false" outlineLevel="0" collapsed="false">
      <c r="A230" s="1" t="n">
        <v>77.9</v>
      </c>
      <c r="B230" s="1" t="n">
        <v>29.1</v>
      </c>
      <c r="C230" s="1" t="n">
        <v>33.7</v>
      </c>
      <c r="D230" s="1" t="n">
        <v>37.4</v>
      </c>
      <c r="E230" s="1" t="n">
        <v>87.1</v>
      </c>
      <c r="F230" s="17" t="n">
        <v>9.73826208437619</v>
      </c>
      <c r="G230" s="1" t="n">
        <v>9.75</v>
      </c>
      <c r="H230" s="17" t="n">
        <v>0.011737915623808</v>
      </c>
      <c r="J230" s="12" t="n">
        <v>7</v>
      </c>
      <c r="K230" s="13" t="s">
        <v>103</v>
      </c>
      <c r="L230" s="13" t="n">
        <v>10.31</v>
      </c>
      <c r="M230" s="13" t="n">
        <v>57.9</v>
      </c>
      <c r="N230" s="13" t="n">
        <v>21.5</v>
      </c>
      <c r="O230" s="13" t="n">
        <v>34.1</v>
      </c>
      <c r="P230" s="13" t="n">
        <v>33.3</v>
      </c>
      <c r="Q230" s="13" t="n">
        <v>83.9</v>
      </c>
    </row>
    <row r="231" customFormat="false" ht="12.8" hidden="false" customHeight="false" outlineLevel="0" collapsed="false">
      <c r="A231" s="1" t="n">
        <v>59.8</v>
      </c>
      <c r="B231" s="1" t="n">
        <v>27.9</v>
      </c>
      <c r="C231" s="1" t="n">
        <v>33.8</v>
      </c>
      <c r="D231" s="1" t="n">
        <v>31.3</v>
      </c>
      <c r="E231" s="1" t="n">
        <v>84.8</v>
      </c>
      <c r="F231" s="17" t="n">
        <v>10.0127234591763</v>
      </c>
      <c r="G231" s="1" t="n">
        <v>9.62</v>
      </c>
      <c r="H231" s="17" t="n">
        <v>-0.392723459176347</v>
      </c>
      <c r="J231" s="12" t="n">
        <v>7</v>
      </c>
      <c r="K231" s="13" t="s">
        <v>104</v>
      </c>
      <c r="L231" s="13" t="n">
        <v>10.78</v>
      </c>
      <c r="M231" s="13" t="n">
        <v>58.9</v>
      </c>
      <c r="N231" s="13" t="n">
        <v>24.8</v>
      </c>
      <c r="O231" s="13" t="n">
        <v>34.5</v>
      </c>
      <c r="P231" s="13" t="n">
        <v>34.8</v>
      </c>
      <c r="Q231" s="13" t="n">
        <v>85.1</v>
      </c>
    </row>
    <row r="232" customFormat="false" ht="12.8" hidden="false" customHeight="false" outlineLevel="0" collapsed="false">
      <c r="A232" s="1" t="n">
        <v>55.7</v>
      </c>
      <c r="B232" s="1" t="n">
        <v>17.2</v>
      </c>
      <c r="C232" s="1" t="n">
        <v>32.1</v>
      </c>
      <c r="D232" s="1" t="n">
        <v>32.2</v>
      </c>
      <c r="E232" s="1" t="n">
        <v>82.7</v>
      </c>
      <c r="F232" s="17" t="n">
        <v>9.93901400695341</v>
      </c>
      <c r="G232" s="1" t="n">
        <v>9.67</v>
      </c>
      <c r="H232" s="17" t="n">
        <v>-0.269014006953414</v>
      </c>
      <c r="J232" s="12" t="n">
        <v>7</v>
      </c>
      <c r="K232" s="13" t="s">
        <v>105</v>
      </c>
      <c r="L232" s="13" t="n">
        <v>10.41</v>
      </c>
      <c r="M232" s="13" t="n">
        <v>59.3</v>
      </c>
      <c r="N232" s="13" t="n">
        <v>25.6</v>
      </c>
      <c r="O232" s="13" t="n">
        <v>34.5</v>
      </c>
      <c r="P232" s="13" t="n">
        <v>33.8</v>
      </c>
      <c r="Q232" s="13" t="n">
        <v>84.7</v>
      </c>
    </row>
    <row r="233" customFormat="false" ht="12.8" hidden="false" customHeight="false" outlineLevel="0" collapsed="false">
      <c r="A233" s="1" t="n">
        <v>61.7</v>
      </c>
      <c r="B233" s="1" t="n">
        <v>27.6</v>
      </c>
      <c r="C233" s="1" t="n">
        <v>33.6</v>
      </c>
      <c r="D233" s="1" t="n">
        <v>34.6</v>
      </c>
      <c r="E233" s="1" t="n">
        <v>83.1</v>
      </c>
      <c r="F233" s="17" t="n">
        <v>9.96969692707248</v>
      </c>
      <c r="G233" s="1" t="n">
        <v>9.82</v>
      </c>
      <c r="H233" s="17" t="n">
        <v>-0.149696927072482</v>
      </c>
      <c r="J233" s="12" t="n">
        <v>7</v>
      </c>
      <c r="K233" s="13" t="s">
        <v>106</v>
      </c>
      <c r="L233" s="13" t="n">
        <v>10.12</v>
      </c>
      <c r="M233" s="13" t="n">
        <v>64.1</v>
      </c>
      <c r="N233" s="13" t="n">
        <v>38.3</v>
      </c>
      <c r="O233" s="13" t="n">
        <v>34</v>
      </c>
      <c r="P233" s="13" t="n">
        <v>38.9</v>
      </c>
      <c r="Q233" s="13" t="n">
        <v>85.1</v>
      </c>
    </row>
    <row r="234" customFormat="false" ht="12.8" hidden="false" customHeight="false" outlineLevel="0" collapsed="false">
      <c r="A234" s="1" t="n">
        <v>55.5</v>
      </c>
      <c r="B234" s="1" t="n">
        <v>14.5</v>
      </c>
      <c r="C234" s="1" t="n">
        <v>32.3</v>
      </c>
      <c r="D234" s="1" t="n">
        <v>32.6</v>
      </c>
      <c r="E234" s="1" t="n">
        <v>83.8</v>
      </c>
      <c r="F234" s="17" t="n">
        <v>9.92321178434861</v>
      </c>
      <c r="G234" s="1" t="n">
        <v>9.77</v>
      </c>
      <c r="H234" s="17" t="n">
        <v>-0.153211784348606</v>
      </c>
      <c r="J234" s="12" t="n">
        <v>7</v>
      </c>
      <c r="K234" s="13" t="s">
        <v>107</v>
      </c>
      <c r="L234" s="13" t="n">
        <v>10.25</v>
      </c>
      <c r="M234" s="13" t="n">
        <v>66.6</v>
      </c>
      <c r="N234" s="13" t="n">
        <v>30.8</v>
      </c>
      <c r="O234" s="13" t="n">
        <v>34.3</v>
      </c>
      <c r="P234" s="13" t="n">
        <v>37.5</v>
      </c>
      <c r="Q234" s="13" t="n">
        <v>82.8</v>
      </c>
    </row>
    <row r="235" customFormat="false" ht="12.8" hidden="false" customHeight="false" outlineLevel="0" collapsed="false">
      <c r="A235" s="1" t="n">
        <v>48.1</v>
      </c>
      <c r="B235" s="1" t="n">
        <v>9.7</v>
      </c>
      <c r="C235" s="1" t="n">
        <v>33.2</v>
      </c>
      <c r="D235" s="1" t="n">
        <v>30.5</v>
      </c>
      <c r="E235" s="1" t="n">
        <v>83.5</v>
      </c>
      <c r="F235" s="17" t="n">
        <v>10.019276676775</v>
      </c>
      <c r="G235" s="1" t="n">
        <v>9.76</v>
      </c>
      <c r="H235" s="17" t="n">
        <v>-0.259276676774956</v>
      </c>
      <c r="J235" s="12" t="n">
        <v>7</v>
      </c>
      <c r="K235" s="13" t="s">
        <v>108</v>
      </c>
      <c r="L235" s="13" t="n">
        <v>10.09</v>
      </c>
      <c r="M235" s="13" t="n">
        <v>60.1</v>
      </c>
      <c r="N235" s="13" t="n">
        <v>20.7</v>
      </c>
      <c r="O235" s="13" t="n">
        <v>34.5</v>
      </c>
      <c r="P235" s="13" t="n">
        <v>34.1</v>
      </c>
      <c r="Q235" s="13" t="n">
        <v>85.9</v>
      </c>
    </row>
    <row r="236" customFormat="false" ht="12.8" hidden="false" customHeight="false" outlineLevel="0" collapsed="false">
      <c r="A236" s="1" t="n">
        <v>47.7</v>
      </c>
      <c r="B236" s="1" t="n">
        <v>16</v>
      </c>
      <c r="C236" s="1" t="n">
        <v>33.5</v>
      </c>
      <c r="D236" s="1" t="n">
        <v>32.2</v>
      </c>
      <c r="E236" s="1" t="n">
        <v>83.4</v>
      </c>
      <c r="F236" s="17" t="n">
        <v>10.0822102537183</v>
      </c>
      <c r="G236" s="1" t="n">
        <v>9.79</v>
      </c>
      <c r="H236" s="17" t="n">
        <v>-0.292210253718279</v>
      </c>
      <c r="J236" s="12" t="n">
        <v>7</v>
      </c>
      <c r="K236" s="13" t="s">
        <v>109</v>
      </c>
      <c r="L236" s="13" t="n">
        <v>10.31</v>
      </c>
      <c r="M236" s="13" t="n">
        <v>51.6</v>
      </c>
      <c r="N236" s="13" t="n">
        <v>21.5</v>
      </c>
      <c r="O236" s="13" t="n">
        <v>34.1</v>
      </c>
      <c r="P236" s="13" t="n">
        <v>39</v>
      </c>
      <c r="Q236" s="13" t="n">
        <v>87.5</v>
      </c>
    </row>
    <row r="237" customFormat="false" ht="12.8" hidden="false" customHeight="false" outlineLevel="0" collapsed="false">
      <c r="A237" s="1" t="n">
        <v>53.8</v>
      </c>
      <c r="B237" s="1" t="n">
        <v>11.6</v>
      </c>
      <c r="C237" s="1" t="n">
        <v>34.4</v>
      </c>
      <c r="D237" s="1" t="n">
        <v>32</v>
      </c>
      <c r="E237" s="1" t="n">
        <v>82.3</v>
      </c>
      <c r="F237" s="17" t="n">
        <v>9.97696715885171</v>
      </c>
      <c r="G237" s="1" t="n">
        <v>9.91</v>
      </c>
      <c r="H237" s="17" t="n">
        <v>-0.0669671588517051</v>
      </c>
      <c r="J237" s="12" t="n">
        <v>7</v>
      </c>
      <c r="K237" s="13" t="s">
        <v>110</v>
      </c>
      <c r="L237" s="13" t="n">
        <v>9.44</v>
      </c>
      <c r="M237" s="13" t="n">
        <v>60.2</v>
      </c>
      <c r="N237" s="13" t="n">
        <v>28.8</v>
      </c>
      <c r="O237" s="13" t="n">
        <v>33.9</v>
      </c>
      <c r="P237" s="13" t="n">
        <v>33.9</v>
      </c>
      <c r="Q237" s="13" t="n">
        <v>90.1</v>
      </c>
    </row>
    <row r="238" customFormat="false" ht="12.8" hidden="false" customHeight="false" outlineLevel="0" collapsed="false">
      <c r="A238" s="1" t="n">
        <v>48.2</v>
      </c>
      <c r="B238" s="1" t="n">
        <v>13.5</v>
      </c>
      <c r="C238" s="1" t="n">
        <v>33.4</v>
      </c>
      <c r="D238" s="1" t="n">
        <v>31.9</v>
      </c>
      <c r="E238" s="1" t="n">
        <v>82.6</v>
      </c>
      <c r="F238" s="17" t="n">
        <v>10.0517823622022</v>
      </c>
      <c r="G238" s="1" t="n">
        <v>9.92</v>
      </c>
      <c r="H238" s="17" t="n">
        <v>-0.131782362202207</v>
      </c>
      <c r="J238" s="12" t="n">
        <v>8</v>
      </c>
      <c r="K238" s="13" t="s">
        <v>42</v>
      </c>
      <c r="L238" s="13" t="n">
        <v>10.28</v>
      </c>
      <c r="M238" s="13" t="n">
        <v>56.1</v>
      </c>
      <c r="N238" s="13" t="n">
        <v>16</v>
      </c>
      <c r="O238" s="13" t="n">
        <v>32.2</v>
      </c>
      <c r="P238" s="13" t="n">
        <v>33.3</v>
      </c>
      <c r="Q238" s="13" t="n">
        <v>87.9</v>
      </c>
    </row>
    <row r="239" customFormat="false" ht="12.8" hidden="false" customHeight="false" outlineLevel="0" collapsed="false">
      <c r="A239" s="1" t="n">
        <v>70.4</v>
      </c>
      <c r="B239" s="1" t="n">
        <v>24.2</v>
      </c>
      <c r="C239" s="1" t="n">
        <v>34.2</v>
      </c>
      <c r="D239" s="1" t="n">
        <v>36.1</v>
      </c>
      <c r="E239" s="1" t="n">
        <v>84.8</v>
      </c>
      <c r="F239" s="17" t="n">
        <v>9.82326326576201</v>
      </c>
      <c r="G239" s="1" t="n">
        <v>9.55</v>
      </c>
      <c r="H239" s="17" t="n">
        <v>-0.273263265762012</v>
      </c>
      <c r="J239" s="12" t="n">
        <v>8</v>
      </c>
      <c r="K239" s="13" t="s">
        <v>45</v>
      </c>
      <c r="L239" s="13" t="n">
        <v>9.85</v>
      </c>
      <c r="M239" s="13" t="n">
        <v>63.2</v>
      </c>
      <c r="N239" s="13" t="n">
        <v>29.2</v>
      </c>
      <c r="O239" s="13" t="n">
        <v>31.6</v>
      </c>
      <c r="P239" s="13" t="n">
        <v>32.9</v>
      </c>
      <c r="Q239" s="13" t="n">
        <v>88.4</v>
      </c>
    </row>
    <row r="240" customFormat="false" ht="12.8" hidden="false" customHeight="false" outlineLevel="0" collapsed="false">
      <c r="A240" s="1" t="n">
        <v>72.3</v>
      </c>
      <c r="B240" s="1" t="n">
        <v>33.2</v>
      </c>
      <c r="C240" s="1" t="n">
        <v>33.1</v>
      </c>
      <c r="D240" s="1" t="n">
        <v>38.5</v>
      </c>
      <c r="E240" s="1" t="n">
        <v>83.8</v>
      </c>
      <c r="F240" s="17" t="n">
        <v>9.83879698382937</v>
      </c>
      <c r="G240" s="1" t="n">
        <v>9.65</v>
      </c>
      <c r="H240" s="17" t="n">
        <v>-0.188796983829374</v>
      </c>
      <c r="J240" s="12" t="n">
        <v>8</v>
      </c>
      <c r="K240" s="13" t="s">
        <v>46</v>
      </c>
      <c r="L240" s="13" t="n">
        <v>9.51</v>
      </c>
      <c r="M240" s="13" t="n">
        <v>65.7</v>
      </c>
      <c r="N240" s="13" t="n">
        <v>21.8</v>
      </c>
      <c r="O240" s="13" t="n">
        <v>33.2</v>
      </c>
      <c r="P240" s="13" t="n">
        <v>32.8</v>
      </c>
      <c r="Q240" s="13" t="n">
        <v>90.2</v>
      </c>
    </row>
    <row r="241" customFormat="false" ht="12.8" hidden="false" customHeight="false" outlineLevel="0" collapsed="false">
      <c r="A241" s="1" t="n">
        <v>67</v>
      </c>
      <c r="B241" s="1" t="n">
        <v>27.5</v>
      </c>
      <c r="C241" s="1" t="n">
        <v>33.6</v>
      </c>
      <c r="D241" s="1" t="n">
        <v>32.8</v>
      </c>
      <c r="E241" s="1" t="n">
        <v>82.9</v>
      </c>
      <c r="F241" s="17" t="n">
        <v>9.89410663339151</v>
      </c>
      <c r="G241" s="1" t="n">
        <v>9.88</v>
      </c>
      <c r="H241" s="17" t="n">
        <v>-0.0141066333915134</v>
      </c>
      <c r="J241" s="12" t="n">
        <v>8</v>
      </c>
      <c r="K241" s="13" t="s">
        <v>48</v>
      </c>
      <c r="L241" s="13" t="n">
        <v>10.1</v>
      </c>
      <c r="M241" s="13" t="n">
        <v>65.8</v>
      </c>
      <c r="N241" s="13" t="n">
        <v>26.6</v>
      </c>
      <c r="O241" s="13" t="n">
        <v>32.2</v>
      </c>
      <c r="P241" s="13" t="n">
        <v>33.9</v>
      </c>
      <c r="Q241" s="13" t="n">
        <v>89.4</v>
      </c>
    </row>
    <row r="242" customFormat="false" ht="12.8" hidden="false" customHeight="false" outlineLevel="0" collapsed="false">
      <c r="A242" s="1" t="n">
        <v>67.6</v>
      </c>
      <c r="B242" s="1" t="n">
        <v>24.3</v>
      </c>
      <c r="C242" s="1" t="n">
        <v>32.9</v>
      </c>
      <c r="D242" s="1" t="n">
        <v>33.6</v>
      </c>
      <c r="E242" s="1" t="n">
        <v>81.8</v>
      </c>
      <c r="F242" s="17" t="n">
        <v>9.83903077191155</v>
      </c>
      <c r="G242" s="1" t="n">
        <v>9.94</v>
      </c>
      <c r="H242" s="17" t="n">
        <v>0.100969228088449</v>
      </c>
      <c r="J242" s="12" t="n">
        <v>8</v>
      </c>
      <c r="K242" s="13" t="s">
        <v>49</v>
      </c>
      <c r="L242" s="13" t="n">
        <v>10.01</v>
      </c>
      <c r="M242" s="13" t="n">
        <v>64.3</v>
      </c>
      <c r="N242" s="13" t="n">
        <v>32.8</v>
      </c>
      <c r="O242" s="13" t="n">
        <v>34</v>
      </c>
      <c r="P242" s="13" t="n">
        <v>36</v>
      </c>
      <c r="Q242" s="13" t="n">
        <v>88.6</v>
      </c>
    </row>
    <row r="243" customFormat="false" ht="12.8" hidden="false" customHeight="false" outlineLevel="0" collapsed="false">
      <c r="A243" s="1" t="n">
        <v>69</v>
      </c>
      <c r="B243" s="1" t="n">
        <v>22.5</v>
      </c>
      <c r="C243" s="1" t="n">
        <v>33.2</v>
      </c>
      <c r="D243" s="1" t="n">
        <v>33.4</v>
      </c>
      <c r="E243" s="1" t="n">
        <v>82.6</v>
      </c>
      <c r="F243" s="17" t="n">
        <v>9.81086811814173</v>
      </c>
      <c r="G243" s="1" t="n">
        <v>9.89</v>
      </c>
      <c r="H243" s="17" t="n">
        <v>0.079131881858272</v>
      </c>
      <c r="J243" s="12" t="n">
        <v>8</v>
      </c>
      <c r="K243" s="13" t="s">
        <v>50</v>
      </c>
      <c r="L243" s="13" t="n">
        <v>9.75</v>
      </c>
      <c r="M243" s="13" t="n">
        <v>79.2</v>
      </c>
      <c r="N243" s="13" t="n">
        <v>30.6</v>
      </c>
      <c r="O243" s="13" t="n">
        <v>33</v>
      </c>
      <c r="P243" s="13" t="n">
        <v>35.8</v>
      </c>
      <c r="Q243" s="13" t="n">
        <v>90.2</v>
      </c>
    </row>
    <row r="244" customFormat="false" ht="12.8" hidden="false" customHeight="false" outlineLevel="0" collapsed="false">
      <c r="A244" s="1" t="n">
        <v>64.5</v>
      </c>
      <c r="B244" s="1" t="n">
        <v>31.2</v>
      </c>
      <c r="C244" s="1" t="n">
        <v>34</v>
      </c>
      <c r="D244" s="1" t="n">
        <v>36.2</v>
      </c>
      <c r="E244" s="1" t="n">
        <v>84.6</v>
      </c>
      <c r="F244" s="17" t="n">
        <v>9.96499185885136</v>
      </c>
      <c r="G244" s="1" t="n">
        <v>9.69</v>
      </c>
      <c r="H244" s="17" t="n">
        <v>-0.274991858851356</v>
      </c>
      <c r="J244" s="12" t="n">
        <v>8</v>
      </c>
      <c r="K244" s="13" t="s">
        <v>51</v>
      </c>
      <c r="L244" s="13" t="n">
        <v>9.5</v>
      </c>
      <c r="M244" s="13" t="n">
        <v>62.8</v>
      </c>
      <c r="N244" s="13" t="n">
        <v>25.8</v>
      </c>
      <c r="O244" s="13" t="n">
        <v>33.5</v>
      </c>
      <c r="P244" s="13" t="n">
        <v>32.2</v>
      </c>
      <c r="Q244" s="13" t="n">
        <v>88.7</v>
      </c>
    </row>
    <row r="245" customFormat="false" ht="12.8" hidden="false" customHeight="false" outlineLevel="0" collapsed="false">
      <c r="A245" s="1" t="n">
        <v>65.5</v>
      </c>
      <c r="B245" s="1" t="n">
        <v>24.6</v>
      </c>
      <c r="C245" s="1" t="n">
        <v>34.8</v>
      </c>
      <c r="D245" s="1" t="n">
        <v>36.2</v>
      </c>
      <c r="E245" s="1" t="n">
        <v>82.7</v>
      </c>
      <c r="F245" s="17" t="n">
        <v>9.91391925406025</v>
      </c>
      <c r="G245" s="1" t="n">
        <v>9.93</v>
      </c>
      <c r="H245" s="17" t="n">
        <v>0.0160807459397461</v>
      </c>
      <c r="J245" s="12" t="n">
        <v>8</v>
      </c>
      <c r="K245" s="13" t="s">
        <v>52</v>
      </c>
      <c r="L245" s="13" t="n">
        <v>9.52</v>
      </c>
      <c r="M245" s="13" t="n">
        <v>58.4</v>
      </c>
      <c r="N245" s="13" t="n">
        <v>16.7</v>
      </c>
      <c r="O245" s="13" t="n">
        <v>32.4</v>
      </c>
      <c r="P245" s="13" t="n">
        <v>32.2</v>
      </c>
      <c r="Q245" s="13" t="n">
        <v>86.8</v>
      </c>
    </row>
    <row r="246" customFormat="false" ht="12.8" hidden="false" customHeight="false" outlineLevel="0" collapsed="false">
      <c r="A246" s="1" t="n">
        <v>59.7</v>
      </c>
      <c r="B246" s="1" t="n">
        <v>17.7</v>
      </c>
      <c r="C246" s="1" t="n">
        <v>34.3</v>
      </c>
      <c r="D246" s="1" t="n">
        <v>34.6</v>
      </c>
      <c r="E246" s="1" t="n">
        <v>83.8</v>
      </c>
      <c r="F246" s="17" t="n">
        <v>9.93285809491705</v>
      </c>
      <c r="G246" s="1" t="n">
        <v>9.8</v>
      </c>
      <c r="H246" s="17" t="n">
        <v>-0.132858094917047</v>
      </c>
      <c r="J246" s="12" t="n">
        <v>8</v>
      </c>
      <c r="K246" s="13" t="s">
        <v>53</v>
      </c>
      <c r="L246" s="13" t="n">
        <v>9.82</v>
      </c>
      <c r="M246" s="13" t="n">
        <v>63.8</v>
      </c>
      <c r="N246" s="13" t="n">
        <v>25.9</v>
      </c>
      <c r="O246" s="13" t="n">
        <v>33.6</v>
      </c>
      <c r="P246" s="13" t="n">
        <v>36</v>
      </c>
      <c r="Q246" s="13" t="n">
        <v>86.4</v>
      </c>
    </row>
    <row r="247" customFormat="false" ht="12.8" hidden="false" customHeight="false" outlineLevel="0" collapsed="false">
      <c r="A247" s="1" t="n">
        <v>57</v>
      </c>
      <c r="B247" s="1" t="n">
        <v>16.8</v>
      </c>
      <c r="C247" s="1" t="n">
        <v>33.2</v>
      </c>
      <c r="D247" s="1" t="n">
        <v>31.1</v>
      </c>
      <c r="E247" s="1" t="n">
        <v>82.6</v>
      </c>
      <c r="F247" s="17" t="n">
        <v>9.94587568180458</v>
      </c>
      <c r="G247" s="1" t="n">
        <v>10.03</v>
      </c>
      <c r="H247" s="17" t="n">
        <v>0.0841243181954212</v>
      </c>
      <c r="J247" s="12" t="n">
        <v>8</v>
      </c>
      <c r="K247" s="13" t="s">
        <v>54</v>
      </c>
      <c r="L247" s="13" t="n">
        <v>9.68</v>
      </c>
      <c r="M247" s="13" t="n">
        <v>57.4</v>
      </c>
      <c r="N247" s="13" t="n">
        <v>14.5</v>
      </c>
      <c r="O247" s="13" t="n">
        <v>32.9</v>
      </c>
      <c r="P247" s="13" t="n">
        <v>31.8</v>
      </c>
      <c r="Q247" s="13" t="n">
        <v>87.3</v>
      </c>
    </row>
    <row r="248" customFormat="false" ht="12.8" hidden="false" customHeight="false" outlineLevel="0" collapsed="false">
      <c r="A248" s="1" t="n">
        <v>64.6</v>
      </c>
      <c r="B248" s="1" t="n">
        <v>18.1</v>
      </c>
      <c r="C248" s="1" t="n">
        <v>33.4</v>
      </c>
      <c r="D248" s="1" t="n">
        <v>34.8</v>
      </c>
      <c r="E248" s="1" t="n">
        <v>82.1</v>
      </c>
      <c r="F248" s="17" t="n">
        <v>9.8407788331424</v>
      </c>
      <c r="G248" s="1" t="n">
        <v>9.99</v>
      </c>
      <c r="H248" s="17" t="n">
        <v>0.149221166857602</v>
      </c>
      <c r="J248" s="12" t="n">
        <v>8</v>
      </c>
      <c r="K248" s="13" t="s">
        <v>56</v>
      </c>
      <c r="L248" s="13" t="n">
        <v>9.67</v>
      </c>
      <c r="M248" s="13" t="n">
        <v>51</v>
      </c>
      <c r="N248" s="13" t="n">
        <v>10.5</v>
      </c>
      <c r="O248" s="13" t="n">
        <v>33.1</v>
      </c>
      <c r="P248" s="13" t="n">
        <v>31.9</v>
      </c>
      <c r="Q248" s="13" t="n">
        <v>87.2</v>
      </c>
    </row>
    <row r="249" customFormat="false" ht="12.8" hidden="false" customHeight="false" outlineLevel="0" collapsed="false">
      <c r="A249" s="1" t="n">
        <v>62.6</v>
      </c>
      <c r="B249" s="1" t="n">
        <v>19.5</v>
      </c>
      <c r="C249" s="1" t="n">
        <v>33.8</v>
      </c>
      <c r="D249" s="1" t="n">
        <v>32.3</v>
      </c>
      <c r="E249" s="1" t="n">
        <v>83.6</v>
      </c>
      <c r="F249" s="17" t="n">
        <v>9.89776657389774</v>
      </c>
      <c r="G249" s="1" t="n">
        <v>9.97</v>
      </c>
      <c r="H249" s="17" t="n">
        <v>0.0722334261022652</v>
      </c>
      <c r="J249" s="12" t="n">
        <v>8</v>
      </c>
      <c r="K249" s="13" t="s">
        <v>58</v>
      </c>
      <c r="L249" s="13" t="n">
        <v>9.73</v>
      </c>
      <c r="M249" s="13" t="n">
        <v>51.6</v>
      </c>
      <c r="N249" s="13" t="n">
        <v>17.2</v>
      </c>
      <c r="O249" s="13" t="n">
        <v>32.9</v>
      </c>
      <c r="P249" s="13" t="n">
        <v>32.4</v>
      </c>
      <c r="Q249" s="13" t="n">
        <v>87</v>
      </c>
    </row>
    <row r="250" customFormat="false" ht="12.8" hidden="false" customHeight="false" outlineLevel="0" collapsed="false">
      <c r="A250" s="1" t="n">
        <v>62.8</v>
      </c>
      <c r="B250" s="1" t="n">
        <v>17.8</v>
      </c>
      <c r="C250" s="1" t="n">
        <v>34.8</v>
      </c>
      <c r="D250" s="1" t="n">
        <v>30.5</v>
      </c>
      <c r="E250" s="1" t="n">
        <v>80.3</v>
      </c>
      <c r="F250" s="17" t="n">
        <v>9.90891773273155</v>
      </c>
      <c r="G250" s="1" t="n">
        <v>10.03</v>
      </c>
      <c r="H250" s="17" t="n">
        <v>0.121082267268452</v>
      </c>
      <c r="J250" s="12" t="n">
        <v>8</v>
      </c>
      <c r="K250" s="13" t="s">
        <v>60</v>
      </c>
      <c r="L250" s="13" t="n">
        <v>9.85</v>
      </c>
      <c r="M250" s="13" t="n">
        <v>54.6</v>
      </c>
      <c r="N250" s="13" t="n">
        <v>14.2</v>
      </c>
      <c r="O250" s="13" t="n">
        <v>34</v>
      </c>
      <c r="P250" s="13" t="n">
        <v>33.3</v>
      </c>
      <c r="Q250" s="13" t="n">
        <v>86.1</v>
      </c>
    </row>
    <row r="251" customFormat="false" ht="12.8" hidden="false" customHeight="false" outlineLevel="0" collapsed="false">
      <c r="A251" s="1" t="n">
        <v>50.2</v>
      </c>
      <c r="B251" s="1" t="n">
        <v>13.8</v>
      </c>
      <c r="C251" s="1" t="n">
        <v>34.1</v>
      </c>
      <c r="D251" s="1" t="n">
        <v>31.6</v>
      </c>
      <c r="E251" s="1" t="n">
        <v>80.7</v>
      </c>
      <c r="F251" s="17" t="n">
        <v>10.0424815355232</v>
      </c>
      <c r="G251" s="1" t="n">
        <v>10.24</v>
      </c>
      <c r="H251" s="17" t="n">
        <v>0.197518464476836</v>
      </c>
      <c r="J251" s="12" t="n">
        <v>8</v>
      </c>
      <c r="K251" s="13" t="s">
        <v>62</v>
      </c>
      <c r="L251" s="13" t="n">
        <v>9.92</v>
      </c>
      <c r="M251" s="13" t="n">
        <v>51.8</v>
      </c>
      <c r="N251" s="13" t="n">
        <v>13.8</v>
      </c>
      <c r="O251" s="13" t="n">
        <v>32.8</v>
      </c>
      <c r="P251" s="13" t="n">
        <v>32.9</v>
      </c>
      <c r="Q251" s="13" t="n">
        <v>86.5</v>
      </c>
    </row>
    <row r="252" customFormat="false" ht="12.8" hidden="false" customHeight="false" outlineLevel="0" collapsed="false">
      <c r="A252" s="1" t="n">
        <v>56.8</v>
      </c>
      <c r="B252" s="1" t="n">
        <v>15.5</v>
      </c>
      <c r="C252" s="1" t="n">
        <v>33.7</v>
      </c>
      <c r="D252" s="1" t="n">
        <v>32.8</v>
      </c>
      <c r="E252" s="1" t="n">
        <v>82.4</v>
      </c>
      <c r="F252" s="17" t="n">
        <v>9.94641446233004</v>
      </c>
      <c r="G252" s="1" t="n">
        <v>10.16</v>
      </c>
      <c r="H252" s="17" t="n">
        <v>0.213585537669958</v>
      </c>
      <c r="J252" s="12" t="n">
        <v>8</v>
      </c>
      <c r="K252" s="13" t="s">
        <v>64</v>
      </c>
      <c r="L252" s="13" t="n">
        <v>9.21</v>
      </c>
      <c r="M252" s="13" t="n">
        <v>72.1</v>
      </c>
      <c r="N252" s="13" t="n">
        <v>28.4</v>
      </c>
      <c r="O252" s="13" t="n">
        <v>35.5</v>
      </c>
      <c r="P252" s="13" t="n">
        <v>38.7</v>
      </c>
      <c r="Q252" s="13" t="n">
        <v>88.6</v>
      </c>
    </row>
    <row r="253" customFormat="false" ht="12.8" hidden="false" customHeight="false" outlineLevel="0" collapsed="false">
      <c r="A253" s="1" t="n">
        <v>56.3</v>
      </c>
      <c r="B253" s="1" t="n">
        <v>20.8</v>
      </c>
      <c r="C253" s="1" t="n">
        <v>35.5</v>
      </c>
      <c r="D253" s="1" t="n">
        <v>37.1</v>
      </c>
      <c r="E253" s="1" t="n">
        <v>79</v>
      </c>
      <c r="F253" s="17" t="n">
        <v>10.0335115907034</v>
      </c>
      <c r="G253" s="1" t="n">
        <v>10.02</v>
      </c>
      <c r="H253" s="17" t="n">
        <v>-0.0135115907033967</v>
      </c>
      <c r="J253" s="12" t="n">
        <v>8</v>
      </c>
      <c r="K253" s="13" t="s">
        <v>66</v>
      </c>
      <c r="L253" s="13" t="n">
        <v>9.59</v>
      </c>
      <c r="M253" s="13" t="n">
        <v>73.7</v>
      </c>
      <c r="N253" s="13" t="n">
        <v>28.4</v>
      </c>
      <c r="O253" s="13" t="n">
        <v>33</v>
      </c>
      <c r="P253" s="13" t="n">
        <v>38.4</v>
      </c>
      <c r="Q253" s="13" t="n">
        <v>87.5</v>
      </c>
    </row>
    <row r="254" customFormat="false" ht="12.8" hidden="false" customHeight="false" outlineLevel="0" collapsed="false">
      <c r="A254" s="1" t="n">
        <v>57.5</v>
      </c>
      <c r="B254" s="1" t="n">
        <v>17.9</v>
      </c>
      <c r="C254" s="1" t="n">
        <v>35.2</v>
      </c>
      <c r="D254" s="1" t="n">
        <v>32.7</v>
      </c>
      <c r="E254" s="1" t="n">
        <v>79.8</v>
      </c>
      <c r="F254" s="17" t="n">
        <v>9.99346697913066</v>
      </c>
      <c r="G254" s="1" t="n">
        <v>10.19</v>
      </c>
      <c r="H254" s="17" t="n">
        <v>0.196533020869335</v>
      </c>
      <c r="J254" s="12" t="n">
        <v>8</v>
      </c>
      <c r="K254" s="13" t="s">
        <v>67</v>
      </c>
      <c r="L254" s="13" t="n">
        <v>9.7</v>
      </c>
      <c r="M254" s="13" t="n">
        <v>69.1</v>
      </c>
      <c r="N254" s="13" t="n">
        <v>27.4</v>
      </c>
      <c r="O254" s="13" t="n">
        <v>33.6</v>
      </c>
      <c r="P254" s="13" t="n">
        <v>33.8</v>
      </c>
      <c r="Q254" s="13" t="n">
        <v>87.1</v>
      </c>
    </row>
    <row r="255" customFormat="false" ht="12.8" hidden="false" customHeight="false" outlineLevel="0" collapsed="false">
      <c r="A255" s="1" t="n">
        <v>58</v>
      </c>
      <c r="B255" s="1" t="n">
        <v>23.6</v>
      </c>
      <c r="C255" s="1" t="n">
        <v>33.7</v>
      </c>
      <c r="D255" s="1" t="n">
        <v>31</v>
      </c>
      <c r="E255" s="1" t="n">
        <v>84.6</v>
      </c>
      <c r="F255" s="17" t="n">
        <v>10.0012305594895</v>
      </c>
      <c r="G255" s="1" t="n">
        <v>9.93</v>
      </c>
      <c r="H255" s="17" t="n">
        <v>-0.0712305594894893</v>
      </c>
      <c r="J255" s="12" t="n">
        <v>8</v>
      </c>
      <c r="K255" s="13" t="s">
        <v>69</v>
      </c>
      <c r="L255" s="13" t="n">
        <v>9.71</v>
      </c>
      <c r="M255" s="13" t="n">
        <v>69.9</v>
      </c>
      <c r="N255" s="13" t="n">
        <v>22.7</v>
      </c>
      <c r="O255" s="13" t="n">
        <v>32.8</v>
      </c>
      <c r="P255" s="13" t="n">
        <v>32.8</v>
      </c>
      <c r="Q255" s="13" t="n">
        <v>86.2</v>
      </c>
    </row>
    <row r="256" customFormat="false" ht="12.8" hidden="false" customHeight="false" outlineLevel="0" collapsed="false">
      <c r="A256" s="1" t="n">
        <v>71.5</v>
      </c>
      <c r="B256" s="1" t="n">
        <v>25.6</v>
      </c>
      <c r="C256" s="1" t="n">
        <v>33.5</v>
      </c>
      <c r="D256" s="1" t="n">
        <v>35.8</v>
      </c>
      <c r="E256" s="1" t="n">
        <v>86.3</v>
      </c>
      <c r="F256" s="17" t="n">
        <v>9.80223250152769</v>
      </c>
      <c r="G256" s="1" t="n">
        <v>9.94</v>
      </c>
      <c r="H256" s="17" t="n">
        <v>0.137767498472311</v>
      </c>
      <c r="J256" s="12" t="n">
        <v>8</v>
      </c>
      <c r="K256" s="13" t="s">
        <v>75</v>
      </c>
      <c r="L256" s="13" t="n">
        <v>9.55</v>
      </c>
      <c r="M256" s="13" t="n">
        <v>70.2</v>
      </c>
      <c r="N256" s="13" t="n">
        <v>27.2</v>
      </c>
      <c r="O256" s="13" t="n">
        <v>32.7</v>
      </c>
      <c r="P256" s="13" t="n">
        <v>34.7</v>
      </c>
      <c r="Q256" s="13" t="n">
        <v>86.7</v>
      </c>
    </row>
    <row r="257" customFormat="false" ht="12.8" hidden="false" customHeight="false" outlineLevel="0" collapsed="false">
      <c r="A257" s="1" t="n">
        <v>65</v>
      </c>
      <c r="B257" s="1" t="n">
        <v>35.6</v>
      </c>
      <c r="C257" s="1" t="n">
        <v>32.4</v>
      </c>
      <c r="D257" s="1" t="n">
        <v>38.3</v>
      </c>
      <c r="E257" s="1" t="n">
        <v>81.8</v>
      </c>
      <c r="F257" s="17" t="n">
        <v>9.95062883779484</v>
      </c>
      <c r="G257" s="1" t="n">
        <v>10.17</v>
      </c>
      <c r="H257" s="17" t="n">
        <v>0.21937116220516</v>
      </c>
      <c r="J257" s="12" t="n">
        <v>8</v>
      </c>
      <c r="K257" s="13" t="s">
        <v>76</v>
      </c>
      <c r="L257" s="13" t="n">
        <v>9.63</v>
      </c>
      <c r="M257" s="13" t="n">
        <v>65.9</v>
      </c>
      <c r="N257" s="13" t="n">
        <v>25.3</v>
      </c>
      <c r="O257" s="13" t="n">
        <v>33.4</v>
      </c>
      <c r="P257" s="13" t="n">
        <v>35.3</v>
      </c>
      <c r="Q257" s="13" t="n">
        <v>87.9</v>
      </c>
    </row>
    <row r="258" customFormat="false" ht="12.8" hidden="false" customHeight="false" outlineLevel="0" collapsed="false">
      <c r="A258" s="1" t="n">
        <v>59.3</v>
      </c>
      <c r="B258" s="1" t="n">
        <v>21.4</v>
      </c>
      <c r="C258" s="1" t="n">
        <v>33.4</v>
      </c>
      <c r="D258" s="1" t="n">
        <v>36.7</v>
      </c>
      <c r="E258" s="1" t="n">
        <v>81.8</v>
      </c>
      <c r="F258" s="17" t="n">
        <v>9.94322720517779</v>
      </c>
      <c r="G258" s="1" t="n">
        <v>9.97</v>
      </c>
      <c r="H258" s="17" t="n">
        <v>0.026772794822211</v>
      </c>
      <c r="J258" s="12" t="n">
        <v>8</v>
      </c>
      <c r="K258" s="13" t="s">
        <v>78</v>
      </c>
      <c r="L258" s="13" t="n">
        <v>9.8</v>
      </c>
      <c r="M258" s="13" t="n">
        <v>65.9</v>
      </c>
      <c r="N258" s="13" t="n">
        <v>26.4</v>
      </c>
      <c r="O258" s="13" t="n">
        <v>34.2</v>
      </c>
      <c r="P258" s="13" t="n">
        <v>35.3</v>
      </c>
      <c r="Q258" s="13" t="n">
        <v>87.3</v>
      </c>
    </row>
    <row r="259" customFormat="false" ht="12.8" hidden="false" customHeight="false" outlineLevel="0" collapsed="false">
      <c r="A259" s="1" t="n">
        <v>57.1</v>
      </c>
      <c r="B259" s="1" t="n">
        <v>20.2</v>
      </c>
      <c r="C259" s="1" t="n">
        <v>34.4</v>
      </c>
      <c r="D259" s="1" t="n">
        <v>33.7</v>
      </c>
      <c r="E259" s="1" t="n">
        <v>84.6</v>
      </c>
      <c r="F259" s="17" t="n">
        <v>9.99711741011211</v>
      </c>
      <c r="G259" s="1" t="n">
        <v>10.36</v>
      </c>
      <c r="H259" s="17" t="n">
        <v>0.36288258988789</v>
      </c>
      <c r="J259" s="12" t="n">
        <v>8</v>
      </c>
      <c r="K259" s="13" t="s">
        <v>80</v>
      </c>
      <c r="L259" s="13" t="n">
        <v>9.61</v>
      </c>
      <c r="M259" s="13" t="n">
        <v>62.8</v>
      </c>
      <c r="N259" s="13" t="n">
        <v>18.8</v>
      </c>
      <c r="O259" s="13" t="n">
        <v>34.3</v>
      </c>
      <c r="P259" s="13" t="n">
        <v>35</v>
      </c>
      <c r="Q259" s="13" t="n">
        <v>87.5</v>
      </c>
    </row>
    <row r="260" customFormat="false" ht="12.8" hidden="false" customHeight="false" outlineLevel="0" collapsed="false">
      <c r="A260" s="1" t="n">
        <v>57</v>
      </c>
      <c r="B260" s="1" t="n">
        <v>27.2</v>
      </c>
      <c r="C260" s="1" t="n">
        <v>35.8</v>
      </c>
      <c r="D260" s="1" t="n">
        <v>31.1</v>
      </c>
      <c r="E260" s="1" t="n">
        <v>77</v>
      </c>
      <c r="F260" s="17" t="n">
        <v>10.0978683072014</v>
      </c>
      <c r="G260" s="1" t="n">
        <v>10.47</v>
      </c>
      <c r="H260" s="17" t="n">
        <v>0.3721316927986</v>
      </c>
      <c r="J260" s="12" t="n">
        <v>8</v>
      </c>
      <c r="K260" s="13" t="s">
        <v>81</v>
      </c>
      <c r="L260" s="13" t="n">
        <v>9.93</v>
      </c>
      <c r="M260" s="13" t="n">
        <v>57.7</v>
      </c>
      <c r="N260" s="13" t="n">
        <v>17.2</v>
      </c>
      <c r="O260" s="13" t="n">
        <v>32.9</v>
      </c>
      <c r="P260" s="13" t="n">
        <v>31.7</v>
      </c>
      <c r="Q260" s="13" t="n">
        <v>86.8</v>
      </c>
    </row>
    <row r="261" customFormat="false" ht="12.8" hidden="false" customHeight="false" outlineLevel="0" collapsed="false">
      <c r="A261" s="1" t="n">
        <v>55</v>
      </c>
      <c r="B261" s="1" t="n">
        <v>34.1</v>
      </c>
      <c r="C261" s="1" t="n">
        <v>33.5</v>
      </c>
      <c r="D261" s="1" t="n">
        <v>32.5</v>
      </c>
      <c r="E261" s="1" t="n">
        <v>80.6</v>
      </c>
      <c r="F261" s="17" t="n">
        <v>10.1263071547202</v>
      </c>
      <c r="G261" s="1" t="n">
        <v>10.21</v>
      </c>
      <c r="H261" s="17" t="n">
        <v>0.0836928452798347</v>
      </c>
      <c r="J261" s="12" t="n">
        <v>8</v>
      </c>
      <c r="K261" s="13" t="s">
        <v>83</v>
      </c>
      <c r="L261" s="13" t="n">
        <v>9.77</v>
      </c>
      <c r="M261" s="13" t="n">
        <v>65.7</v>
      </c>
      <c r="N261" s="13" t="n">
        <v>19.2</v>
      </c>
      <c r="O261" s="13" t="n">
        <v>33.4</v>
      </c>
      <c r="P261" s="13" t="n">
        <v>34.3</v>
      </c>
      <c r="Q261" s="13" t="n">
        <v>85.9</v>
      </c>
    </row>
    <row r="262" customFormat="false" ht="12.8" hidden="false" customHeight="false" outlineLevel="0" collapsed="false">
      <c r="A262" s="1" t="n">
        <v>63</v>
      </c>
      <c r="B262" s="1" t="n">
        <v>19.2</v>
      </c>
      <c r="C262" s="1" t="n">
        <v>33.2</v>
      </c>
      <c r="D262" s="1" t="n">
        <v>33.7</v>
      </c>
      <c r="E262" s="1" t="n">
        <v>81</v>
      </c>
      <c r="F262" s="17" t="n">
        <v>9.87130660833686</v>
      </c>
      <c r="G262" s="1" t="n">
        <v>10.18</v>
      </c>
      <c r="H262" s="17" t="n">
        <v>0.308693391663141</v>
      </c>
      <c r="J262" s="12" t="n">
        <v>8</v>
      </c>
      <c r="K262" s="13" t="s">
        <v>84</v>
      </c>
      <c r="L262" s="13" t="n">
        <v>9.88</v>
      </c>
      <c r="M262" s="13" t="n">
        <v>65</v>
      </c>
      <c r="N262" s="13" t="n">
        <v>16.7</v>
      </c>
      <c r="O262" s="13" t="n">
        <v>33.6</v>
      </c>
      <c r="P262" s="13" t="n">
        <v>31.6</v>
      </c>
      <c r="Q262" s="13" t="n">
        <v>87.6</v>
      </c>
    </row>
    <row r="263" customFormat="false" ht="12.8" hidden="false" customHeight="false" outlineLevel="0" collapsed="false">
      <c r="A263" s="1" t="n">
        <v>68</v>
      </c>
      <c r="B263" s="1" t="n">
        <v>17.1</v>
      </c>
      <c r="C263" s="1" t="n">
        <v>31</v>
      </c>
      <c r="D263" s="1" t="n">
        <v>29.9</v>
      </c>
      <c r="E263" s="1" t="n">
        <v>79.1</v>
      </c>
      <c r="F263" s="17" t="n">
        <v>9.73332172129224</v>
      </c>
      <c r="G263" s="1" t="n">
        <v>10.13</v>
      </c>
      <c r="H263" s="17" t="n">
        <v>0.396678278707761</v>
      </c>
      <c r="J263" s="12" t="n">
        <v>8</v>
      </c>
      <c r="K263" s="13" t="s">
        <v>88</v>
      </c>
      <c r="L263" s="13" t="n">
        <v>9.89</v>
      </c>
      <c r="M263" s="13" t="n">
        <v>64.1</v>
      </c>
      <c r="N263" s="13" t="n">
        <v>17.9</v>
      </c>
      <c r="O263" s="13" t="n">
        <v>33.6</v>
      </c>
      <c r="P263" s="13" t="n">
        <v>31.3</v>
      </c>
      <c r="Q263" s="13" t="n">
        <v>84.9</v>
      </c>
    </row>
    <row r="264" customFormat="false" ht="12.8" hidden="false" customHeight="false" outlineLevel="0" collapsed="false">
      <c r="A264" s="1" t="n">
        <v>57.9</v>
      </c>
      <c r="B264" s="1" t="n">
        <v>21.5</v>
      </c>
      <c r="C264" s="1" t="n">
        <v>34.1</v>
      </c>
      <c r="D264" s="1" t="n">
        <v>33.3</v>
      </c>
      <c r="E264" s="1" t="n">
        <v>83.9</v>
      </c>
      <c r="F264" s="17" t="n">
        <v>9.98970264904447</v>
      </c>
      <c r="G264" s="1" t="n">
        <v>10.31</v>
      </c>
      <c r="H264" s="17" t="n">
        <v>0.320297350955528</v>
      </c>
      <c r="J264" s="12" t="n">
        <v>8</v>
      </c>
      <c r="K264" s="13" t="s">
        <v>89</v>
      </c>
      <c r="L264" s="13" t="n">
        <v>10.13</v>
      </c>
      <c r="M264" s="13" t="n">
        <v>51.5</v>
      </c>
      <c r="N264" s="13" t="n">
        <v>13.1</v>
      </c>
      <c r="O264" s="13" t="n">
        <v>33.7</v>
      </c>
      <c r="P264" s="13" t="n">
        <v>32.7</v>
      </c>
      <c r="Q264" s="13" t="n">
        <v>85</v>
      </c>
    </row>
    <row r="265" customFormat="false" ht="12.8" hidden="false" customHeight="false" outlineLevel="0" collapsed="false">
      <c r="A265" s="1" t="n">
        <v>58.9</v>
      </c>
      <c r="B265" s="1" t="n">
        <v>24.8</v>
      </c>
      <c r="C265" s="1" t="n">
        <v>34.5</v>
      </c>
      <c r="D265" s="1" t="n">
        <v>34.8</v>
      </c>
      <c r="E265" s="1" t="n">
        <v>85.1</v>
      </c>
      <c r="F265" s="17" t="n">
        <v>10.0093972490352</v>
      </c>
      <c r="G265" s="1" t="n">
        <v>10.78</v>
      </c>
      <c r="H265" s="17" t="n">
        <v>0.770602750964828</v>
      </c>
      <c r="J265" s="12" t="n">
        <v>8</v>
      </c>
      <c r="K265" s="13" t="s">
        <v>90</v>
      </c>
      <c r="L265" s="13" t="n">
        <v>10.12</v>
      </c>
      <c r="M265" s="13" t="n">
        <v>57.9</v>
      </c>
      <c r="N265" s="13" t="n">
        <v>15.4</v>
      </c>
      <c r="O265" s="13" t="n">
        <v>33.6</v>
      </c>
      <c r="P265" s="13" t="n">
        <v>33.3</v>
      </c>
      <c r="Q265" s="13" t="n">
        <v>86.5</v>
      </c>
    </row>
    <row r="266" customFormat="false" ht="12.8" hidden="false" customHeight="false" outlineLevel="0" collapsed="false">
      <c r="A266" s="1" t="n">
        <v>59.3</v>
      </c>
      <c r="B266" s="1" t="n">
        <v>25.6</v>
      </c>
      <c r="C266" s="1" t="n">
        <v>34.5</v>
      </c>
      <c r="D266" s="1" t="n">
        <v>33.8</v>
      </c>
      <c r="E266" s="1" t="n">
        <v>84.7</v>
      </c>
      <c r="F266" s="17" t="n">
        <v>10.0124221364388</v>
      </c>
      <c r="G266" s="1" t="n">
        <v>10.41</v>
      </c>
      <c r="H266" s="17" t="n">
        <v>0.397577863561201</v>
      </c>
      <c r="J266" s="12" t="n">
        <v>8</v>
      </c>
      <c r="K266" s="13" t="s">
        <v>91</v>
      </c>
      <c r="L266" s="13" t="n">
        <v>9.91</v>
      </c>
      <c r="M266" s="13" t="n">
        <v>59</v>
      </c>
      <c r="N266" s="13" t="n">
        <v>20.4</v>
      </c>
      <c r="O266" s="13" t="n">
        <v>35.1</v>
      </c>
      <c r="P266" s="13" t="n">
        <v>36.9</v>
      </c>
      <c r="Q266" s="13" t="n">
        <v>83.5</v>
      </c>
    </row>
    <row r="267" customFormat="false" ht="12.8" hidden="false" customHeight="false" outlineLevel="0" collapsed="false">
      <c r="A267" s="1" t="n">
        <v>64.1</v>
      </c>
      <c r="B267" s="1" t="n">
        <v>38.3</v>
      </c>
      <c r="C267" s="1" t="n">
        <v>34</v>
      </c>
      <c r="D267" s="1" t="n">
        <v>38.9</v>
      </c>
      <c r="E267" s="1" t="n">
        <v>85.1</v>
      </c>
      <c r="F267" s="17" t="n">
        <v>10.0251163495435</v>
      </c>
      <c r="G267" s="1" t="n">
        <v>10.12</v>
      </c>
      <c r="H267" s="17" t="n">
        <v>0.0948836504565005</v>
      </c>
      <c r="J267" s="12" t="n">
        <v>8</v>
      </c>
      <c r="K267" s="13" t="s">
        <v>92</v>
      </c>
      <c r="L267" s="13" t="n">
        <v>10.06</v>
      </c>
      <c r="M267" s="13" t="n">
        <v>61.5</v>
      </c>
      <c r="N267" s="13" t="n">
        <v>16.7</v>
      </c>
      <c r="O267" s="13" t="n">
        <v>34.3</v>
      </c>
      <c r="P267" s="13" t="n">
        <v>34.7</v>
      </c>
      <c r="Q267" s="13" t="n">
        <v>84.3</v>
      </c>
    </row>
    <row r="268" customFormat="false" ht="12.8" hidden="false" customHeight="false" outlineLevel="0" collapsed="false">
      <c r="A268" s="1" t="n">
        <v>66.6</v>
      </c>
      <c r="B268" s="1" t="n">
        <v>30.8</v>
      </c>
      <c r="C268" s="1" t="n">
        <v>34.3</v>
      </c>
      <c r="D268" s="1" t="n">
        <v>37.5</v>
      </c>
      <c r="E268" s="1" t="n">
        <v>82.8</v>
      </c>
      <c r="F268" s="17" t="n">
        <v>9.93488789034376</v>
      </c>
      <c r="G268" s="1" t="n">
        <v>10.25</v>
      </c>
      <c r="H268" s="17" t="n">
        <v>0.315112109656241</v>
      </c>
      <c r="J268" s="12" t="n">
        <v>8</v>
      </c>
      <c r="K268" s="13" t="s">
        <v>93</v>
      </c>
      <c r="L268" s="13" t="n">
        <v>9.86</v>
      </c>
      <c r="M268" s="13" t="n">
        <v>61.6</v>
      </c>
      <c r="N268" s="13" t="n">
        <v>25.5</v>
      </c>
      <c r="O268" s="13" t="n">
        <v>32.4</v>
      </c>
      <c r="P268" s="13" t="n">
        <v>32</v>
      </c>
      <c r="Q268" s="13" t="n">
        <v>87.7</v>
      </c>
    </row>
    <row r="269" customFormat="false" ht="12.8" hidden="false" customHeight="false" outlineLevel="0" collapsed="false">
      <c r="A269" s="1" t="n">
        <v>60.1</v>
      </c>
      <c r="B269" s="1" t="n">
        <v>20.7</v>
      </c>
      <c r="C269" s="1" t="n">
        <v>34.5</v>
      </c>
      <c r="D269" s="1" t="n">
        <v>34.1</v>
      </c>
      <c r="E269" s="1" t="n">
        <v>85.9</v>
      </c>
      <c r="F269" s="17" t="n">
        <v>9.9584319798828</v>
      </c>
      <c r="G269" s="1" t="n">
        <v>10.09</v>
      </c>
      <c r="H269" s="17" t="n">
        <v>0.131568020117204</v>
      </c>
      <c r="J269" s="12" t="n">
        <v>8</v>
      </c>
      <c r="K269" s="13" t="s">
        <v>94</v>
      </c>
      <c r="L269" s="13" t="n">
        <v>9.94</v>
      </c>
      <c r="M269" s="13" t="n">
        <v>72.4</v>
      </c>
      <c r="N269" s="13" t="n">
        <v>39.5</v>
      </c>
      <c r="O269" s="13" t="n">
        <v>33.5</v>
      </c>
      <c r="P269" s="13" t="n">
        <v>34.5</v>
      </c>
      <c r="Q269" s="13" t="n">
        <v>89.7</v>
      </c>
    </row>
    <row r="270" customFormat="false" ht="12.8" hidden="false" customHeight="false" outlineLevel="0" collapsed="false">
      <c r="A270" s="1" t="n">
        <v>51.6</v>
      </c>
      <c r="B270" s="1" t="n">
        <v>21.5</v>
      </c>
      <c r="C270" s="1" t="n">
        <v>34.1</v>
      </c>
      <c r="D270" s="1" t="n">
        <v>39</v>
      </c>
      <c r="E270" s="1" t="n">
        <v>87.5</v>
      </c>
      <c r="F270" s="17" t="n">
        <v>10.0708181458876</v>
      </c>
      <c r="G270" s="1" t="n">
        <v>10.31</v>
      </c>
      <c r="H270" s="17" t="n">
        <v>0.239181854112372</v>
      </c>
      <c r="J270" s="12" t="n">
        <v>8</v>
      </c>
      <c r="K270" s="13" t="s">
        <v>95</v>
      </c>
      <c r="L270" s="13" t="n">
        <v>10.05</v>
      </c>
      <c r="M270" s="13" t="n">
        <v>66.2</v>
      </c>
      <c r="N270" s="13" t="n">
        <v>34.8</v>
      </c>
      <c r="O270" s="13" t="n">
        <v>32.2</v>
      </c>
      <c r="P270" s="13" t="n">
        <v>38.9</v>
      </c>
      <c r="Q270" s="13" t="n">
        <v>85.9</v>
      </c>
    </row>
    <row r="271" customFormat="false" ht="12.8" hidden="false" customHeight="false" outlineLevel="0" collapsed="false">
      <c r="A271" s="1" t="n">
        <v>60.2</v>
      </c>
      <c r="B271" s="1" t="n">
        <v>28.8</v>
      </c>
      <c r="C271" s="1" t="n">
        <v>33.9</v>
      </c>
      <c r="D271" s="1" t="n">
        <v>33.9</v>
      </c>
      <c r="E271" s="1" t="n">
        <v>90.1</v>
      </c>
      <c r="F271" s="17" t="n">
        <v>10.011327519928</v>
      </c>
      <c r="G271" s="1" t="n">
        <v>9.44</v>
      </c>
      <c r="H271" s="17" t="n">
        <v>-0.571327519927962</v>
      </c>
      <c r="J271" s="12" t="n">
        <v>8</v>
      </c>
      <c r="K271" s="13" t="s">
        <v>97</v>
      </c>
      <c r="L271" s="13" t="n">
        <v>9.78</v>
      </c>
      <c r="M271" s="13" t="n">
        <v>60.8</v>
      </c>
      <c r="N271" s="13" t="n">
        <v>22.2</v>
      </c>
      <c r="O271" s="13" t="n">
        <v>33.4</v>
      </c>
      <c r="P271" s="13" t="n">
        <v>35.3</v>
      </c>
      <c r="Q271" s="13" t="n">
        <v>86.1</v>
      </c>
    </row>
    <row r="272" customFormat="false" ht="12.8" hidden="false" customHeight="false" outlineLevel="0" collapsed="false">
      <c r="A272" s="1" t="n">
        <v>56.1</v>
      </c>
      <c r="B272" s="1" t="n">
        <v>16</v>
      </c>
      <c r="C272" s="1" t="n">
        <v>32.2</v>
      </c>
      <c r="D272" s="1" t="n">
        <v>33.3</v>
      </c>
      <c r="E272" s="1" t="n">
        <v>87.9</v>
      </c>
      <c r="F272" s="17" t="n">
        <v>9.92314010962348</v>
      </c>
      <c r="G272" s="1" t="n">
        <v>10.28</v>
      </c>
      <c r="H272" s="17" t="n">
        <v>0.356859890376523</v>
      </c>
      <c r="J272" s="12" t="n">
        <v>8</v>
      </c>
      <c r="K272" s="13" t="s">
        <v>98</v>
      </c>
      <c r="L272" s="13" t="n">
        <v>10.15</v>
      </c>
      <c r="M272" s="13" t="n">
        <v>60.8</v>
      </c>
      <c r="N272" s="13" t="n">
        <v>19</v>
      </c>
      <c r="O272" s="13" t="n">
        <v>32.4</v>
      </c>
      <c r="P272" s="13" t="n">
        <v>33.3</v>
      </c>
      <c r="Q272" s="13" t="n">
        <v>88.2</v>
      </c>
    </row>
    <row r="273" customFormat="false" ht="12.8" hidden="false" customHeight="false" outlineLevel="0" collapsed="false">
      <c r="A273" s="1" t="n">
        <v>63.2</v>
      </c>
      <c r="B273" s="1" t="n">
        <v>29.2</v>
      </c>
      <c r="C273" s="1" t="n">
        <v>31.6</v>
      </c>
      <c r="D273" s="1" t="n">
        <v>32.9</v>
      </c>
      <c r="E273" s="1" t="n">
        <v>88.4</v>
      </c>
      <c r="F273" s="17" t="n">
        <v>9.91557825600167</v>
      </c>
      <c r="G273" s="1" t="n">
        <v>9.85</v>
      </c>
      <c r="H273" s="17" t="n">
        <v>-0.0655782560016736</v>
      </c>
      <c r="J273" s="12" t="n">
        <v>8</v>
      </c>
      <c r="K273" s="13" t="s">
        <v>99</v>
      </c>
      <c r="L273" s="13" t="n">
        <v>10.24</v>
      </c>
      <c r="M273" s="13" t="n">
        <v>56.6</v>
      </c>
      <c r="N273" s="13" t="n">
        <v>29</v>
      </c>
      <c r="O273" s="13" t="n">
        <v>35.3</v>
      </c>
      <c r="P273" s="13" t="n">
        <v>31.7</v>
      </c>
      <c r="Q273" s="13" t="n">
        <v>82.3</v>
      </c>
    </row>
    <row r="274" customFormat="false" ht="12.8" hidden="false" customHeight="false" outlineLevel="0" collapsed="false">
      <c r="A274" s="1" t="n">
        <v>65.7</v>
      </c>
      <c r="B274" s="1" t="n">
        <v>21.8</v>
      </c>
      <c r="C274" s="1" t="n">
        <v>33.2</v>
      </c>
      <c r="D274" s="1" t="n">
        <v>32.8</v>
      </c>
      <c r="E274" s="1" t="n">
        <v>90.2</v>
      </c>
      <c r="F274" s="17" t="n">
        <v>9.85554177682488</v>
      </c>
      <c r="G274" s="1" t="n">
        <v>9.51</v>
      </c>
      <c r="H274" s="17" t="n">
        <v>-0.345541776824884</v>
      </c>
      <c r="J274" s="12" t="n">
        <v>8</v>
      </c>
      <c r="K274" s="13" t="s">
        <v>100</v>
      </c>
      <c r="L274" s="13" t="n">
        <v>10.02</v>
      </c>
      <c r="M274" s="13" t="n">
        <v>57.9</v>
      </c>
      <c r="N274" s="13" t="n">
        <v>34.5</v>
      </c>
      <c r="O274" s="13" t="n">
        <v>33.2</v>
      </c>
      <c r="P274" s="13" t="n">
        <v>34</v>
      </c>
      <c r="Q274" s="13" t="n">
        <v>84.9</v>
      </c>
    </row>
    <row r="275" customFormat="false" ht="12.8" hidden="false" customHeight="false" outlineLevel="0" collapsed="false">
      <c r="A275" s="1" t="n">
        <v>65.8</v>
      </c>
      <c r="B275" s="1" t="n">
        <v>26.6</v>
      </c>
      <c r="C275" s="1" t="n">
        <v>32.2</v>
      </c>
      <c r="D275" s="1" t="n">
        <v>33.9</v>
      </c>
      <c r="E275" s="1" t="n">
        <v>89.4</v>
      </c>
      <c r="F275" s="17" t="n">
        <v>9.86758191160625</v>
      </c>
      <c r="G275" s="1" t="n">
        <v>10.1</v>
      </c>
      <c r="H275" s="17" t="n">
        <v>0.232418088393747</v>
      </c>
      <c r="J275" s="12" t="n">
        <v>8</v>
      </c>
      <c r="K275" s="13" t="s">
        <v>101</v>
      </c>
      <c r="L275" s="13" t="n">
        <v>9.98</v>
      </c>
      <c r="M275" s="13" t="n">
        <v>63.2</v>
      </c>
      <c r="N275" s="13" t="n">
        <v>20.1</v>
      </c>
      <c r="O275" s="13" t="n">
        <v>32.7</v>
      </c>
      <c r="P275" s="13" t="n">
        <v>34.1</v>
      </c>
      <c r="Q275" s="13" t="n">
        <v>85</v>
      </c>
    </row>
    <row r="276" customFormat="false" ht="12.8" hidden="false" customHeight="false" outlineLevel="0" collapsed="false">
      <c r="A276" s="1" t="n">
        <v>64.3</v>
      </c>
      <c r="B276" s="1" t="n">
        <v>32.8</v>
      </c>
      <c r="C276" s="1" t="n">
        <v>34</v>
      </c>
      <c r="D276" s="1" t="n">
        <v>36</v>
      </c>
      <c r="E276" s="1" t="n">
        <v>88.6</v>
      </c>
      <c r="F276" s="17" t="n">
        <v>9.98209461999936</v>
      </c>
      <c r="G276" s="1" t="n">
        <v>10.01</v>
      </c>
      <c r="H276" s="17" t="n">
        <v>0.0279053800006412</v>
      </c>
      <c r="J276" s="12" t="n">
        <v>8</v>
      </c>
      <c r="K276" s="13" t="s">
        <v>102</v>
      </c>
      <c r="L276" s="13" t="n">
        <v>10.05</v>
      </c>
      <c r="M276" s="13" t="n">
        <v>69.1</v>
      </c>
      <c r="N276" s="13" t="n">
        <v>17.9</v>
      </c>
      <c r="O276" s="13" t="n">
        <v>31.1</v>
      </c>
      <c r="P276" s="13" t="n">
        <v>34.9</v>
      </c>
      <c r="Q276" s="13" t="n">
        <v>83.8</v>
      </c>
    </row>
    <row r="277" customFormat="false" ht="12.8" hidden="false" customHeight="false" outlineLevel="0" collapsed="false">
      <c r="A277" s="1" t="n">
        <v>79.2</v>
      </c>
      <c r="B277" s="1" t="n">
        <v>30.6</v>
      </c>
      <c r="C277" s="1" t="n">
        <v>33</v>
      </c>
      <c r="D277" s="1" t="n">
        <v>35.8</v>
      </c>
      <c r="E277" s="1" t="n">
        <v>90.2</v>
      </c>
      <c r="F277" s="17" t="n">
        <v>9.71803213384117</v>
      </c>
      <c r="G277" s="1" t="n">
        <v>9.75</v>
      </c>
      <c r="H277" s="17" t="n">
        <v>0.0319678661588316</v>
      </c>
      <c r="J277" s="12" t="n">
        <v>8</v>
      </c>
      <c r="K277" s="13" t="s">
        <v>103</v>
      </c>
      <c r="L277" s="13" t="n">
        <v>10.11</v>
      </c>
      <c r="M277" s="13" t="n">
        <v>58.9</v>
      </c>
      <c r="N277" s="13" t="n">
        <v>22.8</v>
      </c>
      <c r="O277" s="13" t="n">
        <v>33.1</v>
      </c>
      <c r="P277" s="13" t="n">
        <v>34.5</v>
      </c>
      <c r="Q277" s="13" t="n">
        <v>87.5</v>
      </c>
    </row>
    <row r="278" customFormat="false" ht="12.8" hidden="false" customHeight="false" outlineLevel="0" collapsed="false">
      <c r="A278" s="1" t="n">
        <v>62.8</v>
      </c>
      <c r="B278" s="1" t="n">
        <v>25.8</v>
      </c>
      <c r="C278" s="1" t="n">
        <v>33.5</v>
      </c>
      <c r="D278" s="1" t="n">
        <v>32.2</v>
      </c>
      <c r="E278" s="1" t="n">
        <v>88.7</v>
      </c>
      <c r="F278" s="17" t="n">
        <v>9.94114665433599</v>
      </c>
      <c r="G278" s="1" t="n">
        <v>9.5</v>
      </c>
      <c r="H278" s="17" t="n">
        <v>-0.441146654335991</v>
      </c>
      <c r="J278" s="12" t="n">
        <v>8</v>
      </c>
      <c r="K278" s="13" t="s">
        <v>104</v>
      </c>
      <c r="L278" s="13" t="n">
        <v>10.55</v>
      </c>
      <c r="M278" s="13" t="n">
        <v>59.3</v>
      </c>
      <c r="N278" s="13" t="n">
        <v>24.6</v>
      </c>
      <c r="O278" s="13" t="n">
        <v>33.3</v>
      </c>
      <c r="P278" s="13" t="n">
        <v>36.9</v>
      </c>
      <c r="Q278" s="13" t="n">
        <v>88.7</v>
      </c>
    </row>
    <row r="279" customFormat="false" ht="12.8" hidden="false" customHeight="false" outlineLevel="0" collapsed="false">
      <c r="A279" s="1" t="n">
        <v>58.4</v>
      </c>
      <c r="B279" s="1" t="n">
        <v>16.7</v>
      </c>
      <c r="C279" s="1" t="n">
        <v>32.4</v>
      </c>
      <c r="D279" s="1" t="n">
        <v>32.2</v>
      </c>
      <c r="E279" s="1" t="n">
        <v>86.8</v>
      </c>
      <c r="F279" s="17" t="n">
        <v>9.90223147713318</v>
      </c>
      <c r="G279" s="1" t="n">
        <v>9.52</v>
      </c>
      <c r="H279" s="17" t="n">
        <v>-0.382231477133177</v>
      </c>
      <c r="J279" s="12" t="n">
        <v>8</v>
      </c>
      <c r="K279" s="13" t="s">
        <v>105</v>
      </c>
      <c r="L279" s="13" t="n">
        <v>10.06</v>
      </c>
      <c r="M279" s="13" t="n">
        <v>58.8</v>
      </c>
      <c r="N279" s="13" t="n">
        <v>23.5</v>
      </c>
      <c r="O279" s="13" t="n">
        <v>33.4</v>
      </c>
      <c r="P279" s="13" t="n">
        <v>36.5</v>
      </c>
      <c r="Q279" s="13" t="n">
        <v>88.1</v>
      </c>
    </row>
    <row r="280" customFormat="false" ht="12.8" hidden="false" customHeight="false" outlineLevel="0" collapsed="false">
      <c r="A280" s="1" t="n">
        <v>63.8</v>
      </c>
      <c r="B280" s="1" t="n">
        <v>25.9</v>
      </c>
      <c r="C280" s="1" t="n">
        <v>33.6</v>
      </c>
      <c r="D280" s="1" t="n">
        <v>36</v>
      </c>
      <c r="E280" s="1" t="n">
        <v>86.4</v>
      </c>
      <c r="F280" s="17" t="n">
        <v>9.92114778855823</v>
      </c>
      <c r="G280" s="1" t="n">
        <v>9.82</v>
      </c>
      <c r="H280" s="17" t="n">
        <v>-0.101147788558228</v>
      </c>
      <c r="J280" s="12" t="n">
        <v>8</v>
      </c>
      <c r="K280" s="13" t="s">
        <v>106</v>
      </c>
      <c r="L280" s="13" t="n">
        <v>10.08</v>
      </c>
      <c r="M280" s="13" t="n">
        <v>63.9</v>
      </c>
      <c r="N280" s="13" t="n">
        <v>37.3</v>
      </c>
      <c r="O280" s="13" t="n">
        <v>32.6</v>
      </c>
      <c r="P280" s="13" t="n">
        <v>37.9</v>
      </c>
      <c r="Q280" s="13" t="n">
        <v>88.4</v>
      </c>
    </row>
    <row r="281" customFormat="false" ht="12.8" hidden="false" customHeight="false" outlineLevel="0" collapsed="false">
      <c r="A281" s="1" t="n">
        <v>57.4</v>
      </c>
      <c r="B281" s="1" t="n">
        <v>14.5</v>
      </c>
      <c r="C281" s="1" t="n">
        <v>32.9</v>
      </c>
      <c r="D281" s="1" t="n">
        <v>31.8</v>
      </c>
      <c r="E281" s="1" t="n">
        <v>87.3</v>
      </c>
      <c r="F281" s="17" t="n">
        <v>9.91168536781212</v>
      </c>
      <c r="G281" s="1" t="n">
        <v>9.68</v>
      </c>
      <c r="H281" s="17" t="n">
        <v>-0.231685367812124</v>
      </c>
      <c r="J281" s="12" t="n">
        <v>8</v>
      </c>
      <c r="K281" s="13" t="s">
        <v>107</v>
      </c>
      <c r="L281" s="13" t="n">
        <v>10.08</v>
      </c>
      <c r="M281" s="13" t="n">
        <v>64.8</v>
      </c>
      <c r="N281" s="13" t="n">
        <v>34.9</v>
      </c>
      <c r="O281" s="13" t="n">
        <v>33.2</v>
      </c>
      <c r="P281" s="13" t="n">
        <v>38</v>
      </c>
      <c r="Q281" s="13" t="n">
        <v>86.8</v>
      </c>
    </row>
    <row r="282" customFormat="false" ht="12.8" hidden="false" customHeight="false" outlineLevel="0" collapsed="false">
      <c r="A282" s="1" t="n">
        <v>51</v>
      </c>
      <c r="B282" s="1" t="n">
        <v>10.5</v>
      </c>
      <c r="C282" s="1" t="n">
        <v>33.1</v>
      </c>
      <c r="D282" s="1" t="n">
        <v>31.9</v>
      </c>
      <c r="E282" s="1" t="n">
        <v>87.2</v>
      </c>
      <c r="F282" s="17" t="n">
        <v>9.97756441966813</v>
      </c>
      <c r="G282" s="1" t="n">
        <v>9.67</v>
      </c>
      <c r="H282" s="17" t="n">
        <v>-0.307564419668134</v>
      </c>
      <c r="J282" s="12" t="n">
        <v>8</v>
      </c>
      <c r="K282" s="13" t="s">
        <v>108</v>
      </c>
      <c r="L282" s="13" t="n">
        <v>9.77</v>
      </c>
      <c r="M282" s="13" t="n">
        <v>60.3</v>
      </c>
      <c r="N282" s="13" t="n">
        <v>20</v>
      </c>
      <c r="O282" s="13" t="n">
        <v>34.2</v>
      </c>
      <c r="P282" s="13" t="n">
        <v>33.6</v>
      </c>
      <c r="Q282" s="13" t="n">
        <v>89.3</v>
      </c>
    </row>
    <row r="283" customFormat="false" ht="12.8" hidden="false" customHeight="false" outlineLevel="0" collapsed="false">
      <c r="A283" s="1" t="n">
        <v>51.6</v>
      </c>
      <c r="B283" s="1" t="n">
        <v>17.2</v>
      </c>
      <c r="C283" s="1" t="n">
        <v>32.9</v>
      </c>
      <c r="D283" s="1" t="n">
        <v>32.4</v>
      </c>
      <c r="E283" s="1" t="n">
        <v>87</v>
      </c>
      <c r="F283" s="17" t="n">
        <v>10.019344892531</v>
      </c>
      <c r="G283" s="1" t="n">
        <v>9.73</v>
      </c>
      <c r="H283" s="17" t="n">
        <v>-0.289344892530995</v>
      </c>
      <c r="J283" s="12" t="n">
        <v>8</v>
      </c>
      <c r="K283" s="13" t="s">
        <v>109</v>
      </c>
      <c r="L283" s="13" t="n">
        <v>10.13</v>
      </c>
      <c r="M283" s="13" t="n">
        <v>54.1</v>
      </c>
      <c r="N283" s="13" t="n">
        <v>18.3</v>
      </c>
      <c r="O283" s="13" t="n">
        <v>33.6</v>
      </c>
      <c r="P283" s="13" t="n">
        <v>37.8</v>
      </c>
      <c r="Q283" s="13" t="n">
        <v>90.2</v>
      </c>
    </row>
    <row r="284" customFormat="false" ht="12.8" hidden="false" customHeight="false" outlineLevel="0" collapsed="false">
      <c r="A284" s="1" t="n">
        <v>54.6</v>
      </c>
      <c r="B284" s="1" t="n">
        <v>14.2</v>
      </c>
      <c r="C284" s="1" t="n">
        <v>34</v>
      </c>
      <c r="D284" s="1" t="n">
        <v>33.3</v>
      </c>
      <c r="E284" s="1" t="n">
        <v>86.1</v>
      </c>
      <c r="F284" s="17" t="n">
        <v>9.97450645733403</v>
      </c>
      <c r="G284" s="1" t="n">
        <v>9.85</v>
      </c>
      <c r="H284" s="17" t="n">
        <v>-0.124506457334029</v>
      </c>
      <c r="J284" s="12" t="n">
        <v>8</v>
      </c>
      <c r="K284" s="13" t="s">
        <v>110</v>
      </c>
      <c r="L284" s="13" t="n">
        <v>9.44</v>
      </c>
      <c r="M284" s="13" t="n">
        <v>59.8</v>
      </c>
      <c r="N284" s="13" t="n">
        <v>31.4</v>
      </c>
      <c r="O284" s="13" t="n">
        <v>33.2</v>
      </c>
      <c r="P284" s="13" t="n">
        <v>36</v>
      </c>
      <c r="Q284" s="13" t="n">
        <v>92.4</v>
      </c>
    </row>
    <row r="285" customFormat="false" ht="12.8" hidden="false" customHeight="false" outlineLevel="0" collapsed="false">
      <c r="A285" s="1" t="n">
        <v>51.8</v>
      </c>
      <c r="B285" s="1" t="n">
        <v>13.8</v>
      </c>
      <c r="C285" s="1" t="n">
        <v>32.8</v>
      </c>
      <c r="D285" s="1" t="n">
        <v>32.9</v>
      </c>
      <c r="E285" s="1" t="n">
        <v>86.5</v>
      </c>
      <c r="F285" s="17" t="n">
        <v>9.98399777894853</v>
      </c>
      <c r="G285" s="1" t="n">
        <v>9.92</v>
      </c>
      <c r="H285" s="17" t="n">
        <v>-0.0639977789485258</v>
      </c>
    </row>
    <row r="286" customFormat="false" ht="12.8" hidden="false" customHeight="false" outlineLevel="0" collapsed="false">
      <c r="A286" s="1" t="n">
        <v>72.1</v>
      </c>
      <c r="B286" s="1" t="n">
        <v>28.4</v>
      </c>
      <c r="C286" s="1" t="n">
        <v>35.5</v>
      </c>
      <c r="D286" s="1" t="n">
        <v>38.7</v>
      </c>
      <c r="E286" s="1" t="n">
        <v>88.6</v>
      </c>
      <c r="F286" s="17" t="n">
        <v>9.86005001700856</v>
      </c>
      <c r="G286" s="1" t="n">
        <v>9.21</v>
      </c>
      <c r="H286" s="17" t="n">
        <v>-0.65005001700856</v>
      </c>
    </row>
    <row r="287" customFormat="false" ht="12.8" hidden="false" customHeight="false" outlineLevel="0" collapsed="false">
      <c r="A287" s="1" t="n">
        <v>73.7</v>
      </c>
      <c r="B287" s="1" t="n">
        <v>28.4</v>
      </c>
      <c r="C287" s="1" t="n">
        <v>33</v>
      </c>
      <c r="D287" s="1" t="n">
        <v>38.4</v>
      </c>
      <c r="E287" s="1" t="n">
        <v>87.5</v>
      </c>
      <c r="F287" s="17" t="n">
        <v>9.77524870759231</v>
      </c>
      <c r="G287" s="1" t="n">
        <v>9.59</v>
      </c>
      <c r="H287" s="17" t="n">
        <v>-0.18524870759231</v>
      </c>
    </row>
    <row r="288" customFormat="false" ht="12.8" hidden="false" customHeight="false" outlineLevel="0" collapsed="false">
      <c r="A288" s="1" t="n">
        <v>69.1</v>
      </c>
      <c r="B288" s="1" t="n">
        <v>27.4</v>
      </c>
      <c r="C288" s="1" t="n">
        <v>33.6</v>
      </c>
      <c r="D288" s="1" t="n">
        <v>33.8</v>
      </c>
      <c r="E288" s="1" t="n">
        <v>87.1</v>
      </c>
      <c r="F288" s="17" t="n">
        <v>9.86002009139324</v>
      </c>
      <c r="G288" s="1" t="n">
        <v>9.7</v>
      </c>
      <c r="H288" s="17" t="n">
        <v>-0.160020091393235</v>
      </c>
    </row>
    <row r="289" customFormat="false" ht="12.8" hidden="false" customHeight="false" outlineLevel="0" collapsed="false">
      <c r="A289" s="1" t="n">
        <v>69.9</v>
      </c>
      <c r="B289" s="1" t="n">
        <v>22.7</v>
      </c>
      <c r="C289" s="1" t="n">
        <v>32.8</v>
      </c>
      <c r="D289" s="1" t="n">
        <v>32.8</v>
      </c>
      <c r="E289" s="1" t="n">
        <v>86.2</v>
      </c>
      <c r="F289" s="17" t="n">
        <v>9.79078262072065</v>
      </c>
      <c r="G289" s="1" t="n">
        <v>9.71</v>
      </c>
      <c r="H289" s="17" t="n">
        <v>-0.0807826207206492</v>
      </c>
    </row>
    <row r="290" customFormat="false" ht="12.8" hidden="false" customHeight="false" outlineLevel="0" collapsed="false">
      <c r="A290" s="1" t="n">
        <v>70.2</v>
      </c>
      <c r="B290" s="1" t="n">
        <v>27.2</v>
      </c>
      <c r="C290" s="1" t="n">
        <v>32.7</v>
      </c>
      <c r="D290" s="1" t="n">
        <v>34.7</v>
      </c>
      <c r="E290" s="1" t="n">
        <v>86.7</v>
      </c>
      <c r="F290" s="17" t="n">
        <v>9.81779369327632</v>
      </c>
      <c r="G290" s="1" t="n">
        <v>9.55</v>
      </c>
      <c r="H290" s="17" t="n">
        <v>-0.267793693276323</v>
      </c>
    </row>
    <row r="291" customFormat="false" ht="12.8" hidden="false" customHeight="false" outlineLevel="0" collapsed="false">
      <c r="A291" s="1" t="n">
        <v>65.9</v>
      </c>
      <c r="B291" s="1" t="n">
        <v>25.3</v>
      </c>
      <c r="C291" s="1" t="n">
        <v>33.4</v>
      </c>
      <c r="D291" s="1" t="n">
        <v>35.3</v>
      </c>
      <c r="E291" s="1" t="n">
        <v>87.9</v>
      </c>
      <c r="F291" s="17" t="n">
        <v>9.88154628253537</v>
      </c>
      <c r="G291" s="1" t="n">
        <v>9.63</v>
      </c>
      <c r="H291" s="17" t="n">
        <v>-0.251546282535371</v>
      </c>
    </row>
    <row r="292" customFormat="false" ht="12.8" hidden="false" customHeight="false" outlineLevel="0" collapsed="false">
      <c r="A292" s="1" t="n">
        <v>65.9</v>
      </c>
      <c r="B292" s="1" t="n">
        <v>26.4</v>
      </c>
      <c r="C292" s="1" t="n">
        <v>34.2</v>
      </c>
      <c r="D292" s="1" t="n">
        <v>35.3</v>
      </c>
      <c r="E292" s="1" t="n">
        <v>87.3</v>
      </c>
      <c r="F292" s="17" t="n">
        <v>9.91057142564309</v>
      </c>
      <c r="G292" s="1" t="n">
        <v>9.8</v>
      </c>
      <c r="H292" s="17" t="n">
        <v>-0.110571425643085</v>
      </c>
    </row>
    <row r="293" customFormat="false" ht="12.8" hidden="false" customHeight="false" outlineLevel="0" collapsed="false">
      <c r="A293" s="1" t="n">
        <v>62.8</v>
      </c>
      <c r="B293" s="1" t="n">
        <v>18.8</v>
      </c>
      <c r="C293" s="1" t="n">
        <v>34.3</v>
      </c>
      <c r="D293" s="1" t="n">
        <v>35</v>
      </c>
      <c r="E293" s="1" t="n">
        <v>87.5</v>
      </c>
      <c r="F293" s="17" t="n">
        <v>9.89538779015385</v>
      </c>
      <c r="G293" s="1" t="n">
        <v>9.61</v>
      </c>
      <c r="H293" s="17" t="n">
        <v>-0.285387790153854</v>
      </c>
    </row>
    <row r="294" customFormat="false" ht="12.8" hidden="false" customHeight="false" outlineLevel="0" collapsed="false">
      <c r="A294" s="1" t="n">
        <v>57.7</v>
      </c>
      <c r="B294" s="1" t="n">
        <v>17.2</v>
      </c>
      <c r="C294" s="1" t="n">
        <v>32.9</v>
      </c>
      <c r="D294" s="1" t="n">
        <v>31.7</v>
      </c>
      <c r="E294" s="1" t="n">
        <v>86.8</v>
      </c>
      <c r="F294" s="17" t="n">
        <v>9.93029560872387</v>
      </c>
      <c r="G294" s="1" t="n">
        <v>9.93</v>
      </c>
      <c r="H294" s="17" t="n">
        <v>-0.000295608723872576</v>
      </c>
    </row>
    <row r="295" customFormat="false" ht="12.8" hidden="false" customHeight="false" outlineLevel="0" collapsed="false">
      <c r="A295" s="1" t="n">
        <v>65.7</v>
      </c>
      <c r="B295" s="1" t="n">
        <v>19.2</v>
      </c>
      <c r="C295" s="1" t="n">
        <v>33.4</v>
      </c>
      <c r="D295" s="1" t="n">
        <v>34.3</v>
      </c>
      <c r="E295" s="1" t="n">
        <v>85.9</v>
      </c>
      <c r="F295" s="17" t="n">
        <v>9.83499698211144</v>
      </c>
      <c r="G295" s="1" t="n">
        <v>9.77</v>
      </c>
      <c r="H295" s="17" t="n">
        <v>-0.06499698211144</v>
      </c>
    </row>
    <row r="296" customFormat="false" ht="12.8" hidden="false" customHeight="false" outlineLevel="0" collapsed="false">
      <c r="A296" s="1" t="n">
        <v>65</v>
      </c>
      <c r="B296" s="1" t="n">
        <v>16.7</v>
      </c>
      <c r="C296" s="1" t="n">
        <v>33.6</v>
      </c>
      <c r="D296" s="1" t="n">
        <v>31.6</v>
      </c>
      <c r="E296" s="1" t="n">
        <v>87.6</v>
      </c>
      <c r="F296" s="17" t="n">
        <v>9.83517082636506</v>
      </c>
      <c r="G296" s="1" t="n">
        <v>9.88</v>
      </c>
      <c r="H296" s="17" t="n">
        <v>0.0448291736349429</v>
      </c>
    </row>
    <row r="297" customFormat="false" ht="12.8" hidden="false" customHeight="false" outlineLevel="0" collapsed="false">
      <c r="A297" s="1" t="n">
        <v>64.1</v>
      </c>
      <c r="B297" s="1" t="n">
        <v>17.9</v>
      </c>
      <c r="C297" s="1" t="n">
        <v>33.6</v>
      </c>
      <c r="D297" s="1" t="n">
        <v>31.3</v>
      </c>
      <c r="E297" s="1" t="n">
        <v>84.9</v>
      </c>
      <c r="F297" s="17" t="n">
        <v>9.85926184655411</v>
      </c>
      <c r="G297" s="1" t="n">
        <v>9.89</v>
      </c>
      <c r="H297" s="17" t="n">
        <v>0.0307381534458884</v>
      </c>
    </row>
    <row r="298" customFormat="false" ht="12.8" hidden="false" customHeight="false" outlineLevel="0" collapsed="false">
      <c r="A298" s="1" t="n">
        <v>51.5</v>
      </c>
      <c r="B298" s="1" t="n">
        <v>13.1</v>
      </c>
      <c r="C298" s="1" t="n">
        <v>33.7</v>
      </c>
      <c r="D298" s="1" t="n">
        <v>32.7</v>
      </c>
      <c r="E298" s="1" t="n">
        <v>85</v>
      </c>
      <c r="F298" s="17" t="n">
        <v>10.0051114454609</v>
      </c>
      <c r="G298" s="1" t="n">
        <v>10.13</v>
      </c>
      <c r="H298" s="17" t="n">
        <v>0.124888554539073</v>
      </c>
    </row>
    <row r="299" customFormat="false" ht="12.8" hidden="false" customHeight="false" outlineLevel="0" collapsed="false">
      <c r="A299" s="1" t="n">
        <v>57.9</v>
      </c>
      <c r="B299" s="1" t="n">
        <v>15.4</v>
      </c>
      <c r="C299" s="1" t="n">
        <v>33.6</v>
      </c>
      <c r="D299" s="1" t="n">
        <v>33.3</v>
      </c>
      <c r="E299" s="1" t="n">
        <v>86.5</v>
      </c>
      <c r="F299" s="17" t="n">
        <v>9.92581049662145</v>
      </c>
      <c r="G299" s="1" t="n">
        <v>10.12</v>
      </c>
      <c r="H299" s="17" t="n">
        <v>0.194189503378546</v>
      </c>
    </row>
    <row r="300" customFormat="false" ht="12.8" hidden="false" customHeight="false" outlineLevel="0" collapsed="false">
      <c r="A300" s="1" t="n">
        <v>59</v>
      </c>
      <c r="B300" s="1" t="n">
        <v>20.4</v>
      </c>
      <c r="C300" s="1" t="n">
        <v>35.1</v>
      </c>
      <c r="D300" s="1" t="n">
        <v>36.9</v>
      </c>
      <c r="E300" s="1" t="n">
        <v>83.5</v>
      </c>
      <c r="F300" s="17" t="n">
        <v>9.98076550026406</v>
      </c>
      <c r="G300" s="1" t="n">
        <v>9.91</v>
      </c>
      <c r="H300" s="17" t="n">
        <v>-0.0707655002640628</v>
      </c>
    </row>
    <row r="301" customFormat="false" ht="12.8" hidden="false" customHeight="false" outlineLevel="0" collapsed="false">
      <c r="A301" s="1" t="n">
        <v>61.5</v>
      </c>
      <c r="B301" s="1" t="n">
        <v>16.7</v>
      </c>
      <c r="C301" s="1" t="n">
        <v>34.3</v>
      </c>
      <c r="D301" s="1" t="n">
        <v>34.7</v>
      </c>
      <c r="E301" s="1" t="n">
        <v>84.3</v>
      </c>
      <c r="F301" s="17" t="n">
        <v>9.89745763617182</v>
      </c>
      <c r="G301" s="1" t="n">
        <v>10.06</v>
      </c>
      <c r="H301" s="17" t="n">
        <v>0.162542363828178</v>
      </c>
    </row>
    <row r="302" customFormat="false" ht="12.8" hidden="false" customHeight="false" outlineLevel="0" collapsed="false">
      <c r="A302" s="1" t="n">
        <v>61.6</v>
      </c>
      <c r="B302" s="1" t="n">
        <v>25.5</v>
      </c>
      <c r="C302" s="1" t="n">
        <v>32.4</v>
      </c>
      <c r="D302" s="1" t="n">
        <v>32</v>
      </c>
      <c r="E302" s="1" t="n">
        <v>87.7</v>
      </c>
      <c r="F302" s="17" t="n">
        <v>9.92969984776934</v>
      </c>
      <c r="G302" s="1" t="n">
        <v>9.86</v>
      </c>
      <c r="H302" s="17" t="n">
        <v>-0.0696998477693427</v>
      </c>
    </row>
    <row r="303" customFormat="false" ht="12.8" hidden="false" customHeight="false" outlineLevel="0" collapsed="false">
      <c r="A303" s="1" t="n">
        <v>72.4</v>
      </c>
      <c r="B303" s="1" t="n">
        <v>39.5</v>
      </c>
      <c r="C303" s="1" t="n">
        <v>33.5</v>
      </c>
      <c r="D303" s="1" t="n">
        <v>34.5</v>
      </c>
      <c r="E303" s="1" t="n">
        <v>89.7</v>
      </c>
      <c r="F303" s="17" t="n">
        <v>9.90955654333691</v>
      </c>
      <c r="G303" s="1" t="n">
        <v>9.94</v>
      </c>
      <c r="H303" s="17" t="n">
        <v>0.030443456663086</v>
      </c>
    </row>
    <row r="304" customFormat="false" ht="12.8" hidden="false" customHeight="false" outlineLevel="0" collapsed="false">
      <c r="A304" s="1" t="n">
        <v>66.2</v>
      </c>
      <c r="B304" s="1" t="n">
        <v>34.8</v>
      </c>
      <c r="C304" s="1" t="n">
        <v>32.2</v>
      </c>
      <c r="D304" s="1" t="n">
        <v>38.9</v>
      </c>
      <c r="E304" s="1" t="n">
        <v>85.9</v>
      </c>
      <c r="F304" s="17" t="n">
        <v>9.91992545222248</v>
      </c>
      <c r="G304" s="1" t="n">
        <v>10.05</v>
      </c>
      <c r="H304" s="17" t="n">
        <v>0.130074547777522</v>
      </c>
    </row>
    <row r="305" customFormat="false" ht="12.8" hidden="false" customHeight="false" outlineLevel="0" collapsed="false">
      <c r="A305" s="1" t="n">
        <v>60.8</v>
      </c>
      <c r="B305" s="1" t="n">
        <v>22.2</v>
      </c>
      <c r="C305" s="1" t="n">
        <v>33.4</v>
      </c>
      <c r="D305" s="1" t="n">
        <v>35.3</v>
      </c>
      <c r="E305" s="1" t="n">
        <v>86.1</v>
      </c>
      <c r="F305" s="17" t="n">
        <v>9.93096757204691</v>
      </c>
      <c r="G305" s="1" t="n">
        <v>9.78</v>
      </c>
      <c r="H305" s="17" t="n">
        <v>-0.150967572046905</v>
      </c>
    </row>
    <row r="306" customFormat="false" ht="12.8" hidden="false" customHeight="false" outlineLevel="0" collapsed="false">
      <c r="A306" s="1" t="n">
        <v>60.8</v>
      </c>
      <c r="B306" s="1" t="n">
        <v>19</v>
      </c>
      <c r="C306" s="1" t="n">
        <v>32.4</v>
      </c>
      <c r="D306" s="1" t="n">
        <v>33.3</v>
      </c>
      <c r="E306" s="1" t="n">
        <v>88.2</v>
      </c>
      <c r="F306" s="17" t="n">
        <v>9.883691365802</v>
      </c>
      <c r="G306" s="1" t="n">
        <v>10.15</v>
      </c>
      <c r="H306" s="17" t="n">
        <v>0.266308634198001</v>
      </c>
    </row>
    <row r="307" customFormat="false" ht="12.8" hidden="false" customHeight="false" outlineLevel="0" collapsed="false">
      <c r="A307" s="1" t="n">
        <v>56.6</v>
      </c>
      <c r="B307" s="1" t="n">
        <v>29</v>
      </c>
      <c r="C307" s="1" t="n">
        <v>35.3</v>
      </c>
      <c r="D307" s="1" t="n">
        <v>31.7</v>
      </c>
      <c r="E307" s="1" t="n">
        <v>82.3</v>
      </c>
      <c r="F307" s="17" t="n">
        <v>10.1055844824879</v>
      </c>
      <c r="G307" s="1" t="n">
        <v>10.24</v>
      </c>
      <c r="H307" s="17" t="n">
        <v>0.134415517512142</v>
      </c>
    </row>
    <row r="308" customFormat="false" ht="12.8" hidden="false" customHeight="false" outlineLevel="0" collapsed="false">
      <c r="A308" s="1" t="n">
        <v>57.9</v>
      </c>
      <c r="B308" s="1" t="n">
        <v>34.5</v>
      </c>
      <c r="C308" s="1" t="n">
        <v>33.2</v>
      </c>
      <c r="D308" s="1" t="n">
        <v>34</v>
      </c>
      <c r="E308" s="1" t="n">
        <v>84.9</v>
      </c>
      <c r="F308" s="17" t="n">
        <v>10.076075776771</v>
      </c>
      <c r="G308" s="1" t="n">
        <v>10.02</v>
      </c>
      <c r="H308" s="17" t="n">
        <v>-0.0560757767709603</v>
      </c>
    </row>
    <row r="309" customFormat="false" ht="12.8" hidden="false" customHeight="false" outlineLevel="0" collapsed="false">
      <c r="A309" s="1" t="n">
        <v>63.2</v>
      </c>
      <c r="B309" s="1" t="n">
        <v>20.1</v>
      </c>
      <c r="C309" s="1" t="n">
        <v>32.7</v>
      </c>
      <c r="D309" s="1" t="n">
        <v>34.1</v>
      </c>
      <c r="E309" s="1" t="n">
        <v>85</v>
      </c>
      <c r="F309" s="17" t="n">
        <v>9.86288622552282</v>
      </c>
      <c r="G309" s="1" t="n">
        <v>9.98</v>
      </c>
      <c r="H309" s="17" t="n">
        <v>0.117113774477177</v>
      </c>
    </row>
    <row r="310" customFormat="false" ht="12.8" hidden="false" customHeight="false" outlineLevel="0" collapsed="false">
      <c r="A310" s="1" t="n">
        <v>69.1</v>
      </c>
      <c r="B310" s="1" t="n">
        <v>17.9</v>
      </c>
      <c r="C310" s="1" t="n">
        <v>31.1</v>
      </c>
      <c r="D310" s="1" t="n">
        <v>34.9</v>
      </c>
      <c r="E310" s="1" t="n">
        <v>83.8</v>
      </c>
      <c r="F310" s="17" t="n">
        <v>9.71537006166372</v>
      </c>
      <c r="G310" s="1" t="n">
        <v>10.05</v>
      </c>
      <c r="H310" s="17" t="n">
        <v>0.334629938336278</v>
      </c>
    </row>
    <row r="311" customFormat="false" ht="12.8" hidden="false" customHeight="false" outlineLevel="0" collapsed="false">
      <c r="A311" s="1" t="n">
        <v>58.9</v>
      </c>
      <c r="B311" s="1" t="n">
        <v>22.8</v>
      </c>
      <c r="C311" s="1" t="n">
        <v>33.1</v>
      </c>
      <c r="D311" s="1" t="n">
        <v>34.5</v>
      </c>
      <c r="E311" s="1" t="n">
        <v>87.5</v>
      </c>
      <c r="F311" s="17" t="n">
        <v>9.95867813127478</v>
      </c>
      <c r="G311" s="1" t="n">
        <v>10.11</v>
      </c>
      <c r="H311" s="17" t="n">
        <v>0.151321868725221</v>
      </c>
    </row>
    <row r="312" customFormat="false" ht="12.8" hidden="false" customHeight="false" outlineLevel="0" collapsed="false">
      <c r="A312" s="1" t="n">
        <v>59.3</v>
      </c>
      <c r="B312" s="1" t="n">
        <v>24.6</v>
      </c>
      <c r="C312" s="1" t="n">
        <v>33.3</v>
      </c>
      <c r="D312" s="1" t="n">
        <v>36.9</v>
      </c>
      <c r="E312" s="1" t="n">
        <v>88.7</v>
      </c>
      <c r="F312" s="17" t="n">
        <v>9.96766361539236</v>
      </c>
      <c r="G312" s="1" t="n">
        <v>10.55</v>
      </c>
      <c r="H312" s="17" t="n">
        <v>0.582336384607645</v>
      </c>
    </row>
    <row r="313" customFormat="false" ht="12.8" hidden="false" customHeight="false" outlineLevel="0" collapsed="false">
      <c r="A313" s="1" t="n">
        <v>58.8</v>
      </c>
      <c r="B313" s="1" t="n">
        <v>23.5</v>
      </c>
      <c r="C313" s="1" t="n">
        <v>33.4</v>
      </c>
      <c r="D313" s="1" t="n">
        <v>36.5</v>
      </c>
      <c r="E313" s="1" t="n">
        <v>88.1</v>
      </c>
      <c r="F313" s="17" t="n">
        <v>9.96910131489588</v>
      </c>
      <c r="G313" s="1" t="n">
        <v>10.06</v>
      </c>
      <c r="H313" s="17" t="n">
        <v>0.0908986851041238</v>
      </c>
    </row>
    <row r="314" customFormat="false" ht="12.8" hidden="false" customHeight="false" outlineLevel="0" collapsed="false">
      <c r="A314" s="1" t="n">
        <v>63.9</v>
      </c>
      <c r="B314" s="1" t="n">
        <v>37.3</v>
      </c>
      <c r="C314" s="1" t="n">
        <v>32.6</v>
      </c>
      <c r="D314" s="1" t="n">
        <v>37.9</v>
      </c>
      <c r="E314" s="1" t="n">
        <v>88.4</v>
      </c>
      <c r="F314" s="17" t="n">
        <v>9.98741079788746</v>
      </c>
      <c r="G314" s="1" t="n">
        <v>10.08</v>
      </c>
      <c r="H314" s="17" t="n">
        <v>0.0925892021125385</v>
      </c>
    </row>
    <row r="315" customFormat="false" ht="12.8" hidden="false" customHeight="false" outlineLevel="0" collapsed="false">
      <c r="A315" s="1" t="n">
        <v>64.8</v>
      </c>
      <c r="B315" s="1" t="n">
        <v>34.9</v>
      </c>
      <c r="C315" s="1" t="n">
        <v>33.2</v>
      </c>
      <c r="D315" s="1" t="n">
        <v>38</v>
      </c>
      <c r="E315" s="1" t="n">
        <v>86.8</v>
      </c>
      <c r="F315" s="17" t="n">
        <v>9.96824457864515</v>
      </c>
      <c r="G315" s="1" t="n">
        <v>10.08</v>
      </c>
      <c r="H315" s="17" t="n">
        <v>0.111755421354854</v>
      </c>
    </row>
    <row r="316" customFormat="false" ht="12.8" hidden="false" customHeight="false" outlineLevel="0" collapsed="false">
      <c r="A316" s="1" t="n">
        <v>60.3</v>
      </c>
      <c r="B316" s="1" t="n">
        <v>20</v>
      </c>
      <c r="C316" s="1" t="n">
        <v>34.2</v>
      </c>
      <c r="D316" s="1" t="n">
        <v>33.6</v>
      </c>
      <c r="E316" s="1" t="n">
        <v>89.3</v>
      </c>
      <c r="F316" s="17" t="n">
        <v>9.94335950880588</v>
      </c>
      <c r="G316" s="1" t="n">
        <v>9.77</v>
      </c>
      <c r="H316" s="17" t="n">
        <v>-0.173359508805875</v>
      </c>
    </row>
    <row r="317" customFormat="false" ht="12.8" hidden="false" customHeight="false" outlineLevel="0" collapsed="false">
      <c r="A317" s="1" t="n">
        <v>54.1</v>
      </c>
      <c r="B317" s="1" t="n">
        <v>18.3</v>
      </c>
      <c r="C317" s="1" t="n">
        <v>33.6</v>
      </c>
      <c r="D317" s="1" t="n">
        <v>37.8</v>
      </c>
      <c r="E317" s="1" t="n">
        <v>90.2</v>
      </c>
      <c r="F317" s="17" t="n">
        <v>9.99700668888009</v>
      </c>
      <c r="G317" s="1" t="n">
        <v>10.13</v>
      </c>
      <c r="H317" s="17" t="n">
        <v>0.132993311119915</v>
      </c>
    </row>
    <row r="318" customFormat="false" ht="12.8" hidden="false" customHeight="false" outlineLevel="0" collapsed="false">
      <c r="A318" s="1" t="n">
        <v>59.8</v>
      </c>
      <c r="B318" s="1" t="n">
        <v>31.4</v>
      </c>
      <c r="C318" s="1" t="n">
        <v>33.2</v>
      </c>
      <c r="D318" s="1" t="n">
        <v>36</v>
      </c>
      <c r="E318" s="1" t="n">
        <v>92.4</v>
      </c>
      <c r="F318" s="17" t="n">
        <v>10.0174694621973</v>
      </c>
      <c r="G318" s="1" t="n">
        <v>9.44</v>
      </c>
      <c r="H318" s="17" t="n">
        <v>-0.577469462197291</v>
      </c>
    </row>
  </sheetData>
  <mergeCells count="1">
    <mergeCell ref="J1:K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zeroHeight="false" outlineLevelRow="0" outlineLevelCol="0"/>
  <cols>
    <col collapsed="false" customWidth="true" hidden="false" outlineLevel="0" max="7" min="1" style="1" width="16.69"/>
    <col collapsed="false" customWidth="true" hidden="false" outlineLevel="0" max="9" min="8" style="1" width="8.76"/>
    <col collapsed="false" customWidth="true" hidden="false" outlineLevel="0" max="19" min="11" style="1" width="8.76"/>
  </cols>
  <sheetData>
    <row r="1" customFormat="false" ht="15.65" hidden="false" customHeight="false" outlineLevel="0" collapsed="false">
      <c r="K1" s="9" t="s">
        <v>33</v>
      </c>
      <c r="L1" s="9"/>
      <c r="M1" s="9" t="n">
        <v>1</v>
      </c>
      <c r="N1" s="9" t="n">
        <v>1</v>
      </c>
      <c r="O1" s="9" t="n">
        <v>1</v>
      </c>
      <c r="P1" s="9" t="n">
        <v>1</v>
      </c>
      <c r="Q1" s="9" t="n">
        <v>1</v>
      </c>
      <c r="R1" s="9" t="n">
        <v>1</v>
      </c>
      <c r="S1" s="9" t="n">
        <v>1</v>
      </c>
    </row>
    <row r="2" customFormat="false" ht="41.75" hidden="false" customHeight="true" outlineLevel="0" collapsed="false">
      <c r="K2" s="10" t="s">
        <v>34</v>
      </c>
      <c r="L2" s="10" t="s">
        <v>35</v>
      </c>
      <c r="M2" s="11" t="s">
        <v>13</v>
      </c>
      <c r="N2" s="10" t="s">
        <v>111</v>
      </c>
      <c r="O2" s="10" t="s">
        <v>112</v>
      </c>
      <c r="P2" s="10" t="s">
        <v>113</v>
      </c>
      <c r="Q2" s="10" t="s">
        <v>114</v>
      </c>
      <c r="R2" s="10" t="s">
        <v>115</v>
      </c>
      <c r="S2" s="10" t="s">
        <v>116</v>
      </c>
    </row>
    <row r="3" customFormat="false" ht="12.8" hidden="false" customHeight="false" outlineLevel="0" collapsed="false">
      <c r="A3" s="1" t="s">
        <v>41</v>
      </c>
      <c r="K3" s="12" t="n">
        <v>3</v>
      </c>
      <c r="L3" s="13" t="s">
        <v>42</v>
      </c>
      <c r="M3" s="13" t="n">
        <v>10.45</v>
      </c>
      <c r="N3" s="19" t="n">
        <v>6.33</v>
      </c>
      <c r="O3" s="19" t="n">
        <v>-0.29</v>
      </c>
      <c r="P3" s="19" t="n">
        <v>-0.32</v>
      </c>
      <c r="Q3" s="19" t="n">
        <v>4.71</v>
      </c>
      <c r="R3" s="13" t="n">
        <v>0.02</v>
      </c>
      <c r="S3" s="20" t="n">
        <v>0.01</v>
      </c>
    </row>
    <row r="4" customFormat="false" ht="12.8" hidden="false" customHeight="false" outlineLevel="0" collapsed="false">
      <c r="A4" s="1" t="s">
        <v>43</v>
      </c>
      <c r="B4" s="1" t="s">
        <v>44</v>
      </c>
      <c r="K4" s="12" t="n">
        <v>3</v>
      </c>
      <c r="L4" s="13" t="s">
        <v>45</v>
      </c>
      <c r="M4" s="13" t="n">
        <v>9.96</v>
      </c>
      <c r="N4" s="19" t="n">
        <v>6.36</v>
      </c>
      <c r="O4" s="19" t="n">
        <v>-0.25</v>
      </c>
      <c r="P4" s="19" t="n">
        <v>-0.88</v>
      </c>
      <c r="Q4" s="19" t="n">
        <v>4.71</v>
      </c>
      <c r="R4" s="13" t="n">
        <v>0.02</v>
      </c>
      <c r="S4" s="20" t="n">
        <v>0.01</v>
      </c>
    </row>
    <row r="5" customFormat="false" ht="12.8" hidden="false" customHeight="false" outlineLevel="0" collapsed="false">
      <c r="K5" s="12" t="n">
        <v>3</v>
      </c>
      <c r="L5" s="13" t="s">
        <v>46</v>
      </c>
      <c r="M5" s="13" t="n">
        <v>9.74</v>
      </c>
      <c r="N5" s="19" t="n">
        <v>5.95</v>
      </c>
      <c r="O5" s="19" t="n">
        <v>-0.29</v>
      </c>
      <c r="P5" s="19" t="n">
        <v>-0.62</v>
      </c>
      <c r="Q5" s="19" t="n">
        <v>4.71</v>
      </c>
      <c r="R5" s="13" t="n">
        <v>-0.01</v>
      </c>
      <c r="S5" s="20" t="n">
        <v>0</v>
      </c>
    </row>
    <row r="6" customFormat="false" ht="12.8" hidden="false" customHeight="false" outlineLevel="0" collapsed="false">
      <c r="A6" s="15" t="s">
        <v>47</v>
      </c>
      <c r="K6" s="12" t="n">
        <v>3</v>
      </c>
      <c r="L6" s="13" t="s">
        <v>48</v>
      </c>
      <c r="M6" s="13" t="n">
        <v>10.01</v>
      </c>
      <c r="N6" s="19" t="n">
        <v>5.83</v>
      </c>
      <c r="O6" s="19" t="n">
        <v>-0.16</v>
      </c>
      <c r="P6" s="19" t="n">
        <v>-0.34</v>
      </c>
      <c r="Q6" s="19" t="n">
        <v>4.71</v>
      </c>
      <c r="R6" s="13" t="n">
        <v>-0.02</v>
      </c>
      <c r="S6" s="20" t="n">
        <v>-0.01</v>
      </c>
    </row>
    <row r="7" customFormat="false" ht="12.8" hidden="false" customHeight="false" outlineLevel="0" collapsed="false">
      <c r="A7" s="21" t="n">
        <f aca="false" t="array" ref="A7:G11">LINEST($M$3:$M$284 , $N$3:$S$284 , 1 , 1)</f>
        <v>1.07953431615747</v>
      </c>
      <c r="B7" s="21" t="n">
        <v>0.973352619049322</v>
      </c>
      <c r="C7" s="21" t="n">
        <v>1.05523155172794</v>
      </c>
      <c r="D7" s="21" t="n">
        <v>1.01383386942433</v>
      </c>
      <c r="E7" s="21" t="n">
        <v>1.00108151150468</v>
      </c>
      <c r="F7" s="21" t="n">
        <v>1.0061664435846</v>
      </c>
      <c r="G7" s="21" t="n">
        <v>-0.288808841561439</v>
      </c>
      <c r="K7" s="12" t="n">
        <v>3</v>
      </c>
      <c r="L7" s="13" t="s">
        <v>49</v>
      </c>
      <c r="M7" s="13" t="n">
        <v>10.16</v>
      </c>
      <c r="N7" s="19" t="n">
        <v>6.92</v>
      </c>
      <c r="O7" s="19" t="n">
        <v>-0.57</v>
      </c>
      <c r="P7" s="19" t="n">
        <v>-0.87</v>
      </c>
      <c r="Q7" s="19" t="n">
        <v>4.71</v>
      </c>
      <c r="R7" s="13" t="n">
        <v>-0.02</v>
      </c>
      <c r="S7" s="20" t="n">
        <v>0.01</v>
      </c>
    </row>
    <row r="8" customFormat="false" ht="12.8" hidden="false" customHeight="false" outlineLevel="0" collapsed="false">
      <c r="A8" s="21" t="n">
        <v>0.0288431228526458</v>
      </c>
      <c r="B8" s="21" t="n">
        <v>0.0140256823813929</v>
      </c>
      <c r="C8" s="21" t="n">
        <v>0.0155230012927206</v>
      </c>
      <c r="D8" s="21" t="n">
        <v>0.00516420613146631</v>
      </c>
      <c r="E8" s="21" t="n">
        <v>0.00723893224668576</v>
      </c>
      <c r="F8" s="21" t="n">
        <v>0.00369235352737941</v>
      </c>
      <c r="G8" s="21" t="n">
        <v>0.0763275408604587</v>
      </c>
      <c r="K8" s="12" t="n">
        <v>3</v>
      </c>
      <c r="L8" s="13" t="s">
        <v>50</v>
      </c>
      <c r="M8" s="13" t="n">
        <v>10.03</v>
      </c>
      <c r="N8" s="19" t="n">
        <v>6.09</v>
      </c>
      <c r="O8" s="19" t="n">
        <v>-0.25</v>
      </c>
      <c r="P8" s="19" t="n">
        <v>-0.5</v>
      </c>
      <c r="Q8" s="19" t="n">
        <v>4.71</v>
      </c>
      <c r="R8" s="13" t="n">
        <v>0.04</v>
      </c>
      <c r="S8" s="20" t="n">
        <v>-0.05</v>
      </c>
    </row>
    <row r="9" customFormat="false" ht="12.8" hidden="false" customHeight="false" outlineLevel="0" collapsed="false">
      <c r="A9" s="21" t="n">
        <v>0.997097038906666</v>
      </c>
      <c r="B9" s="21" t="n">
        <v>0.0146167891362572</v>
      </c>
      <c r="C9" s="21" t="e">
        <v>#N/A</v>
      </c>
      <c r="D9" s="21" t="e">
        <v>#N/A</v>
      </c>
      <c r="E9" s="21" t="e">
        <v>#N/A</v>
      </c>
      <c r="F9" s="21" t="e">
        <v>#N/A</v>
      </c>
      <c r="G9" s="21" t="e">
        <v>#N/A</v>
      </c>
      <c r="K9" s="12" t="n">
        <v>3</v>
      </c>
      <c r="L9" s="13" t="s">
        <v>51</v>
      </c>
      <c r="M9" s="13" t="n">
        <v>9.64</v>
      </c>
      <c r="N9" s="19" t="n">
        <v>5.37</v>
      </c>
      <c r="O9" s="19" t="n">
        <v>-0.14</v>
      </c>
      <c r="P9" s="19" t="n">
        <v>-0.28</v>
      </c>
      <c r="Q9" s="19" t="n">
        <v>4.71</v>
      </c>
      <c r="R9" s="13" t="n">
        <v>0</v>
      </c>
      <c r="S9" s="20" t="n">
        <v>-0.02</v>
      </c>
    </row>
    <row r="10" customFormat="false" ht="12.8" hidden="false" customHeight="false" outlineLevel="0" collapsed="false">
      <c r="A10" s="21" t="n">
        <v>15742.643280626</v>
      </c>
      <c r="B10" s="21" t="n">
        <v>275</v>
      </c>
      <c r="C10" s="21" t="e">
        <v>#N/A</v>
      </c>
      <c r="D10" s="21" t="e">
        <v>#N/A</v>
      </c>
      <c r="E10" s="21" t="e">
        <v>#N/A</v>
      </c>
      <c r="F10" s="21" t="e">
        <v>#N/A</v>
      </c>
      <c r="G10" s="21" t="e">
        <v>#N/A</v>
      </c>
      <c r="K10" s="12" t="n">
        <v>3</v>
      </c>
      <c r="L10" s="13" t="s">
        <v>52</v>
      </c>
      <c r="M10" s="13" t="n">
        <v>9.74</v>
      </c>
      <c r="N10" s="19" t="n">
        <v>5.04</v>
      </c>
      <c r="O10" s="19" t="n">
        <v>-0.02</v>
      </c>
      <c r="P10" s="19" t="n">
        <v>0.04</v>
      </c>
      <c r="Q10" s="19" t="n">
        <v>4.71</v>
      </c>
      <c r="R10" s="13" t="n">
        <v>-0.03</v>
      </c>
      <c r="S10" s="20" t="n">
        <v>0.01</v>
      </c>
    </row>
    <row r="11" customFormat="false" ht="12.8" hidden="false" customHeight="false" outlineLevel="0" collapsed="false">
      <c r="A11" s="21" t="n">
        <v>20.1805439780606</v>
      </c>
      <c r="B11" s="21" t="n">
        <v>0.0587538942797965</v>
      </c>
      <c r="C11" s="21" t="e">
        <v>#N/A</v>
      </c>
      <c r="D11" s="21" t="e">
        <v>#N/A</v>
      </c>
      <c r="E11" s="21" t="e">
        <v>#N/A</v>
      </c>
      <c r="F11" s="21" t="e">
        <v>#N/A</v>
      </c>
      <c r="G11" s="21" t="e">
        <v>#N/A</v>
      </c>
      <c r="K11" s="12" t="n">
        <v>3</v>
      </c>
      <c r="L11" s="13" t="s">
        <v>53</v>
      </c>
      <c r="M11" s="13" t="n">
        <v>9.87</v>
      </c>
      <c r="N11" s="19" t="n">
        <v>5.25</v>
      </c>
      <c r="O11" s="19" t="n">
        <v>-0.05</v>
      </c>
      <c r="P11" s="19" t="n">
        <v>-0.03</v>
      </c>
      <c r="Q11" s="19" t="n">
        <v>4.71</v>
      </c>
      <c r="R11" s="13" t="n">
        <v>-0.01</v>
      </c>
      <c r="S11" s="20" t="n">
        <v>0</v>
      </c>
    </row>
    <row r="12" customFormat="false" ht="12.8" hidden="false" customHeight="false" outlineLevel="0" collapsed="false">
      <c r="K12" s="12" t="n">
        <v>3</v>
      </c>
      <c r="L12" s="13" t="s">
        <v>54</v>
      </c>
      <c r="M12" s="13" t="n">
        <v>9.66</v>
      </c>
      <c r="N12" s="19" t="n">
        <v>5.13</v>
      </c>
      <c r="O12" s="19" t="n">
        <v>-0.02</v>
      </c>
      <c r="P12" s="19" t="n">
        <v>-0.07</v>
      </c>
      <c r="Q12" s="19" t="n">
        <v>4.71</v>
      </c>
      <c r="R12" s="13" t="n">
        <v>-0.09</v>
      </c>
      <c r="S12" s="20" t="n">
        <v>0.01</v>
      </c>
    </row>
    <row r="13" customFormat="false" ht="12.8" hidden="false" customHeight="false" outlineLevel="0" collapsed="false">
      <c r="A13" s="15" t="s">
        <v>55</v>
      </c>
      <c r="K13" s="12" t="n">
        <v>3</v>
      </c>
      <c r="L13" s="13" t="s">
        <v>56</v>
      </c>
      <c r="M13" s="13" t="n">
        <v>9.8</v>
      </c>
      <c r="N13" s="19" t="n">
        <v>4.91</v>
      </c>
      <c r="O13" s="19" t="n">
        <v>-0.01</v>
      </c>
      <c r="P13" s="19" t="n">
        <v>0.17</v>
      </c>
      <c r="Q13" s="19" t="n">
        <v>4.71</v>
      </c>
      <c r="R13" s="13" t="n">
        <v>0.01</v>
      </c>
      <c r="S13" s="20" t="n">
        <v>0.01</v>
      </c>
    </row>
    <row r="14" customFormat="false" ht="12.8" hidden="false" customHeight="false" outlineLevel="0" collapsed="false">
      <c r="A14" s="15" t="s">
        <v>57</v>
      </c>
      <c r="B14" s="16" t="n">
        <f aca="false">$A$9</f>
        <v>0.997097038906666</v>
      </c>
      <c r="K14" s="12" t="n">
        <v>3</v>
      </c>
      <c r="L14" s="13" t="s">
        <v>58</v>
      </c>
      <c r="M14" s="13" t="n">
        <v>9.79</v>
      </c>
      <c r="N14" s="19" t="n">
        <v>5.03</v>
      </c>
      <c r="O14" s="19" t="n">
        <v>-0.11</v>
      </c>
      <c r="P14" s="19" t="n">
        <v>0.16</v>
      </c>
      <c r="Q14" s="19" t="n">
        <v>4.71</v>
      </c>
      <c r="R14" s="13" t="n">
        <v>0</v>
      </c>
      <c r="S14" s="20" t="n">
        <v>0.01</v>
      </c>
    </row>
    <row r="15" customFormat="false" ht="12.8" hidden="false" customHeight="false" outlineLevel="0" collapsed="false">
      <c r="A15" s="1" t="s">
        <v>59</v>
      </c>
      <c r="B15" s="16" t="n">
        <f aca="false">$B$9</f>
        <v>0.0146167891362572</v>
      </c>
      <c r="K15" s="12" t="n">
        <v>3</v>
      </c>
      <c r="L15" s="13" t="s">
        <v>60</v>
      </c>
      <c r="M15" s="13" t="n">
        <v>9.84</v>
      </c>
      <c r="N15" s="19" t="n">
        <v>4.32</v>
      </c>
      <c r="O15" s="19" t="n">
        <v>0.13</v>
      </c>
      <c r="P15" s="19" t="n">
        <v>0.69</v>
      </c>
      <c r="Q15" s="19" t="n">
        <v>4.71</v>
      </c>
      <c r="R15" s="13" t="n">
        <v>-0.02</v>
      </c>
      <c r="S15" s="20" t="n">
        <v>0.01</v>
      </c>
    </row>
    <row r="16" customFormat="false" ht="15.65" hidden="false" customHeight="false" outlineLevel="0" collapsed="false">
      <c r="A16" s="15" t="s">
        <v>61</v>
      </c>
      <c r="B16" s="16" t="n">
        <f aca="false">6</f>
        <v>6</v>
      </c>
      <c r="K16" s="12" t="n">
        <v>3</v>
      </c>
      <c r="L16" s="13" t="s">
        <v>62</v>
      </c>
      <c r="M16" s="13" t="n">
        <v>9.99</v>
      </c>
      <c r="N16" s="19" t="n">
        <v>4.85</v>
      </c>
      <c r="O16" s="19" t="n">
        <v>-0.05</v>
      </c>
      <c r="P16" s="19" t="n">
        <v>0.44</v>
      </c>
      <c r="Q16" s="19" t="n">
        <v>4.71</v>
      </c>
      <c r="R16" s="13" t="n">
        <v>0.04</v>
      </c>
      <c r="S16" s="20" t="n">
        <v>0.01</v>
      </c>
    </row>
    <row r="17" customFormat="false" ht="12.8" hidden="false" customHeight="false" outlineLevel="0" collapsed="false">
      <c r="A17" s="1" t="s">
        <v>63</v>
      </c>
      <c r="B17" s="16" t="n">
        <f aca="false">282</f>
        <v>282</v>
      </c>
      <c r="K17" s="12" t="n">
        <v>3</v>
      </c>
      <c r="L17" s="13" t="s">
        <v>64</v>
      </c>
      <c r="M17" s="13" t="n">
        <v>9.5</v>
      </c>
      <c r="N17" s="19" t="n">
        <v>5.28</v>
      </c>
      <c r="O17" s="19" t="n">
        <v>-0.14</v>
      </c>
      <c r="P17" s="19" t="n">
        <v>-0.32</v>
      </c>
      <c r="Q17" s="19" t="n">
        <v>4.71</v>
      </c>
      <c r="R17" s="13" t="n">
        <v>-0.01</v>
      </c>
      <c r="S17" s="20" t="n">
        <v>-0.02</v>
      </c>
    </row>
    <row r="18" customFormat="false" ht="12.8" hidden="false" customHeight="false" outlineLevel="0" collapsed="false">
      <c r="A18" s="15" t="s">
        <v>65</v>
      </c>
      <c r="B18" s="16" t="n">
        <f aca="false">1 - (1 - $A$9)*($B$17 - 1)/($B$17 - $B$16 - 1)</f>
        <v>0.997033701573721</v>
      </c>
      <c r="K18" s="12" t="n">
        <v>3</v>
      </c>
      <c r="L18" s="13" t="s">
        <v>66</v>
      </c>
      <c r="M18" s="13" t="n">
        <v>9.59</v>
      </c>
      <c r="N18" s="19" t="n">
        <v>4.91</v>
      </c>
      <c r="O18" s="19" t="n">
        <v>-0.09</v>
      </c>
      <c r="P18" s="19" t="n">
        <v>0.13</v>
      </c>
      <c r="Q18" s="19" t="n">
        <v>4.71</v>
      </c>
      <c r="R18" s="13" t="n">
        <v>0</v>
      </c>
      <c r="S18" s="20" t="n">
        <v>-0.06</v>
      </c>
    </row>
    <row r="19" customFormat="false" ht="12.8" hidden="false" customHeight="false" outlineLevel="0" collapsed="false">
      <c r="K19" s="12" t="n">
        <v>3</v>
      </c>
      <c r="L19" s="13" t="s">
        <v>67</v>
      </c>
      <c r="M19" s="13" t="n">
        <v>10.11</v>
      </c>
      <c r="N19" s="19" t="n">
        <v>5.36</v>
      </c>
      <c r="O19" s="19" t="n">
        <v>-0.03</v>
      </c>
      <c r="P19" s="19" t="n">
        <v>0.02</v>
      </c>
      <c r="Q19" s="19" t="n">
        <v>4.71</v>
      </c>
      <c r="R19" s="13" t="n">
        <v>0.04</v>
      </c>
      <c r="S19" s="20" t="n">
        <v>0.01</v>
      </c>
    </row>
    <row r="20" customFormat="false" ht="15.65" hidden="false" customHeight="false" outlineLevel="0" collapsed="false">
      <c r="A20" s="1" t="s">
        <v>68</v>
      </c>
      <c r="K20" s="12" t="n">
        <v>3</v>
      </c>
      <c r="L20" s="13" t="s">
        <v>69</v>
      </c>
      <c r="M20" s="13" t="n">
        <v>9.98</v>
      </c>
      <c r="N20" s="19" t="n">
        <v>5.42</v>
      </c>
      <c r="O20" s="19" t="n">
        <v>-0.12</v>
      </c>
      <c r="P20" s="19" t="n">
        <v>-0.04</v>
      </c>
      <c r="Q20" s="19" t="n">
        <v>4.71</v>
      </c>
      <c r="R20" s="13" t="n">
        <v>0.06</v>
      </c>
      <c r="S20" s="20" t="n">
        <v>-0.04</v>
      </c>
    </row>
    <row r="21" customFormat="false" ht="12.8" hidden="false" customHeight="false" outlineLevel="0" collapsed="false">
      <c r="B21" s="1" t="s">
        <v>70</v>
      </c>
      <c r="C21" s="1" t="s">
        <v>71</v>
      </c>
      <c r="D21" s="1" t="s">
        <v>72</v>
      </c>
      <c r="E21" s="15" t="s">
        <v>73</v>
      </c>
      <c r="F21" s="15" t="s">
        <v>74</v>
      </c>
      <c r="K21" s="12" t="n">
        <v>3</v>
      </c>
      <c r="L21" s="13" t="s">
        <v>75</v>
      </c>
      <c r="M21" s="13" t="n">
        <v>9.79</v>
      </c>
      <c r="N21" s="19" t="n">
        <v>5.45</v>
      </c>
      <c r="O21" s="19" t="n">
        <v>-0.14</v>
      </c>
      <c r="P21" s="19" t="n">
        <v>-0.17</v>
      </c>
      <c r="Q21" s="19" t="n">
        <v>4.71</v>
      </c>
      <c r="R21" s="13" t="n">
        <v>-0.07</v>
      </c>
      <c r="S21" s="20" t="n">
        <v>0.01</v>
      </c>
    </row>
    <row r="22" customFormat="false" ht="12.8" hidden="false" customHeight="false" outlineLevel="0" collapsed="false">
      <c r="A22" s="1" t="s">
        <v>41</v>
      </c>
      <c r="B22" s="16" t="n">
        <f aca="false">$B$16</f>
        <v>6</v>
      </c>
      <c r="C22" s="16" t="n">
        <f aca="false">$A$11</f>
        <v>20.1805439780606</v>
      </c>
      <c r="D22" s="16" t="n">
        <f aca="false">$A$11 / $B$22</f>
        <v>3.36342399634344</v>
      </c>
      <c r="E22" s="17" t="n">
        <f aca="false">$A$10</f>
        <v>15742.643280626</v>
      </c>
      <c r="F22" s="16" t="n">
        <f aca="false">FDIST($A$10 , $B$22 , $B$10)</f>
        <v>0</v>
      </c>
      <c r="K22" s="12" t="n">
        <v>3</v>
      </c>
      <c r="L22" s="13" t="s">
        <v>76</v>
      </c>
      <c r="M22" s="13" t="n">
        <v>9.71</v>
      </c>
      <c r="N22" s="19" t="n">
        <v>5.24</v>
      </c>
      <c r="O22" s="19" t="n">
        <v>-0.07</v>
      </c>
      <c r="P22" s="19" t="n">
        <v>-0.21</v>
      </c>
      <c r="Q22" s="19" t="n">
        <v>4.71</v>
      </c>
      <c r="R22" s="13" t="n">
        <v>0.04</v>
      </c>
      <c r="S22" s="20" t="n">
        <v>0.01</v>
      </c>
    </row>
    <row r="23" customFormat="false" ht="12.8" hidden="false" customHeight="false" outlineLevel="0" collapsed="false">
      <c r="A23" s="1" t="s">
        <v>77</v>
      </c>
      <c r="B23" s="21" t="n">
        <f aca="false">$B$10</f>
        <v>275</v>
      </c>
      <c r="C23" s="16" t="n">
        <f aca="false">$B$11</f>
        <v>0.0587538942797965</v>
      </c>
      <c r="D23" s="16" t="n">
        <f aca="false">$B$11 / $B$10</f>
        <v>0.000213650524653805</v>
      </c>
      <c r="E23" s="16"/>
      <c r="F23" s="16"/>
      <c r="K23" s="12" t="n">
        <v>3</v>
      </c>
      <c r="L23" s="13" t="s">
        <v>78</v>
      </c>
      <c r="M23" s="13" t="n">
        <v>9.83</v>
      </c>
      <c r="N23" s="19" t="n">
        <v>5.19</v>
      </c>
      <c r="O23" s="19" t="n">
        <v>0.01</v>
      </c>
      <c r="P23" s="19" t="n">
        <v>-0.06</v>
      </c>
      <c r="Q23" s="19" t="n">
        <v>4.71</v>
      </c>
      <c r="R23" s="13" t="n">
        <v>-0.03</v>
      </c>
      <c r="S23" s="20" t="n">
        <v>0.01</v>
      </c>
    </row>
    <row r="24" customFormat="false" ht="12.8" hidden="false" customHeight="false" outlineLevel="0" collapsed="false">
      <c r="A24" s="1" t="s">
        <v>79</v>
      </c>
      <c r="B24" s="1" t="n">
        <f aca="false">$B$22 + $B$10</f>
        <v>281</v>
      </c>
      <c r="C24" s="16" t="n">
        <f aca="false">$A$11 + $B$11</f>
        <v>20.2392978723404</v>
      </c>
      <c r="D24" s="16"/>
      <c r="E24" s="16"/>
      <c r="F24" s="16"/>
      <c r="K24" s="12" t="n">
        <v>3</v>
      </c>
      <c r="L24" s="13" t="s">
        <v>80</v>
      </c>
      <c r="M24" s="13" t="n">
        <v>9.72</v>
      </c>
      <c r="N24" s="19" t="n">
        <v>4.94</v>
      </c>
      <c r="O24" s="19" t="n">
        <v>-0.06</v>
      </c>
      <c r="P24" s="19" t="n">
        <v>0.12</v>
      </c>
      <c r="Q24" s="19" t="n">
        <v>4.71</v>
      </c>
      <c r="R24" s="13" t="n">
        <v>0.02</v>
      </c>
      <c r="S24" s="20" t="n">
        <v>0.01</v>
      </c>
    </row>
    <row r="25" customFormat="false" ht="12.8" hidden="false" customHeight="false" outlineLevel="0" collapsed="false">
      <c r="K25" s="12" t="n">
        <v>3</v>
      </c>
      <c r="L25" s="13" t="s">
        <v>81</v>
      </c>
      <c r="M25" s="13" t="n">
        <v>9.91</v>
      </c>
      <c r="N25" s="19" t="n">
        <v>4.68</v>
      </c>
      <c r="O25" s="19" t="n">
        <v>0.19</v>
      </c>
      <c r="P25" s="19" t="n">
        <v>0.31</v>
      </c>
      <c r="Q25" s="19" t="n">
        <v>4.71</v>
      </c>
      <c r="R25" s="13" t="n">
        <v>0.01</v>
      </c>
      <c r="S25" s="20" t="n">
        <v>0.01</v>
      </c>
    </row>
    <row r="26" customFormat="false" ht="12.8" hidden="false" customHeight="false" outlineLevel="0" collapsed="false">
      <c r="A26" s="1" t="s">
        <v>82</v>
      </c>
      <c r="B26" s="1" t="n">
        <v>0.95</v>
      </c>
      <c r="K26" s="12" t="n">
        <v>3</v>
      </c>
      <c r="L26" s="13" t="s">
        <v>83</v>
      </c>
      <c r="M26" s="13" t="n">
        <v>9.81</v>
      </c>
      <c r="N26" s="19" t="n">
        <v>5.04</v>
      </c>
      <c r="O26" s="19" t="n">
        <v>0.04</v>
      </c>
      <c r="P26" s="19" t="n">
        <v>0.04</v>
      </c>
      <c r="Q26" s="19" t="n">
        <v>4.71</v>
      </c>
      <c r="R26" s="13" t="n">
        <v>-0.02</v>
      </c>
      <c r="S26" s="20" t="n">
        <v>0.01</v>
      </c>
    </row>
    <row r="27" customFormat="false" ht="12.8" hidden="false" customHeight="false" outlineLevel="0" collapsed="false">
      <c r="K27" s="12" t="n">
        <v>3</v>
      </c>
      <c r="L27" s="13" t="s">
        <v>84</v>
      </c>
      <c r="M27" s="13" t="n">
        <v>9.78</v>
      </c>
      <c r="N27" s="19" t="n">
        <v>5.22</v>
      </c>
      <c r="O27" s="19" t="n">
        <v>0.05</v>
      </c>
      <c r="P27" s="19" t="n">
        <v>-0.15</v>
      </c>
      <c r="Q27" s="19" t="n">
        <v>4.71</v>
      </c>
      <c r="R27" s="13" t="n">
        <v>-0.02</v>
      </c>
      <c r="S27" s="20" t="n">
        <v>-0.05</v>
      </c>
    </row>
    <row r="28" customFormat="false" ht="15.65" hidden="false" customHeight="false" outlineLevel="0" collapsed="false">
      <c r="B28" s="1" t="s">
        <v>85</v>
      </c>
      <c r="C28" s="1" t="s">
        <v>59</v>
      </c>
      <c r="D28" s="15" t="s">
        <v>86</v>
      </c>
      <c r="E28" s="15" t="s">
        <v>87</v>
      </c>
      <c r="F28" s="1" t="str">
        <f aca="false">_xlfn.CONCAT("Lower " , INT($B$26 * 100) , "%")</f>
        <v>Lower 95%</v>
      </c>
      <c r="G28" s="1" t="str">
        <f aca="false">_xlfn.CONCAT("Upper " , INT($B$26 * 100) , "%")</f>
        <v>Upper 95%</v>
      </c>
      <c r="K28" s="12" t="n">
        <v>3</v>
      </c>
      <c r="L28" s="13" t="s">
        <v>88</v>
      </c>
      <c r="M28" s="13" t="n">
        <v>10.06</v>
      </c>
      <c r="N28" s="19" t="n">
        <v>5.23</v>
      </c>
      <c r="O28" s="19" t="n">
        <v>0.06</v>
      </c>
      <c r="P28" s="19" t="n">
        <v>0.05</v>
      </c>
      <c r="Q28" s="19" t="n">
        <v>4.71</v>
      </c>
      <c r="R28" s="13" t="n">
        <v>0.01</v>
      </c>
      <c r="S28" s="20" t="n">
        <v>0</v>
      </c>
    </row>
    <row r="29" customFormat="false" ht="12.8" hidden="false" customHeight="false" outlineLevel="0" collapsed="false">
      <c r="A29" s="1" t="str">
        <f aca="false">"切片"</f>
        <v>切片</v>
      </c>
      <c r="B29" s="16" t="n">
        <f aca="false" t="array" ref="B29:B35">INDEX($A$7:$G$7, 1 , ROW($B$35)+1 - ROW())</f>
        <v>-0.288808841561439</v>
      </c>
      <c r="C29" s="16" t="n">
        <f aca="false" t="array" ref="C29:C35">INDEX($A$8:$G$8, 1 , ROW($C$35)+1 - ROW())</f>
        <v>0.0763275408604587</v>
      </c>
      <c r="D29" s="16" t="n">
        <f aca="false" t="array" ref="D29:D35">$B$29:$B$35 / $C$29:$C$35</f>
        <v>-3.78380907213343</v>
      </c>
      <c r="E29" s="16" t="n">
        <f aca="false" t="array" ref="E29:E35">TDIST(ABS($D$29:$D$35) , $B$10 , 2 )</f>
        <v>0.000189572138013288</v>
      </c>
      <c r="F29" s="16" t="n">
        <f aca="false" t="array" ref="F29:F35">$B$29:$B$35 - $C$29:$C$35 * TINV(1 - $B$26 , $B$10)</f>
        <v>-0.439069365812588</v>
      </c>
      <c r="G29" s="16" t="n">
        <f aca="false" t="array" ref="G29:G35">$B$29:$B$35 + $C$29:$C$35 * TINV(1 - $B$26 , $B$10)</f>
        <v>-0.138548317310289</v>
      </c>
      <c r="K29" s="12" t="n">
        <v>3</v>
      </c>
      <c r="L29" s="13" t="s">
        <v>89</v>
      </c>
      <c r="M29" s="13" t="n">
        <v>10.29</v>
      </c>
      <c r="N29" s="19" t="n">
        <v>5.22</v>
      </c>
      <c r="O29" s="19" t="n">
        <v>0.17</v>
      </c>
      <c r="P29" s="19" t="n">
        <v>0.16</v>
      </c>
      <c r="Q29" s="19" t="n">
        <v>4.71</v>
      </c>
      <c r="R29" s="13" t="n">
        <v>0.02</v>
      </c>
      <c r="S29" s="20" t="n">
        <v>0.01</v>
      </c>
    </row>
    <row r="30" customFormat="false" ht="12.8" hidden="false" customHeight="false" outlineLevel="0" collapsed="false">
      <c r="A30" s="1" t="str">
        <f aca="false">"X1"</f>
        <v>X1</v>
      </c>
      <c r="B30" s="16" t="n">
        <v>1.0061664435846</v>
      </c>
      <c r="C30" s="16" t="n">
        <v>0.00369235352737941</v>
      </c>
      <c r="D30" s="16" t="n">
        <v>272.500029080018</v>
      </c>
      <c r="E30" s="16" t="n">
        <v>0</v>
      </c>
      <c r="F30" s="16" t="n">
        <v>0.998897573521576</v>
      </c>
      <c r="G30" s="16" t="n">
        <v>1.01343531364762</v>
      </c>
      <c r="K30" s="12" t="n">
        <v>3</v>
      </c>
      <c r="L30" s="13" t="s">
        <v>90</v>
      </c>
      <c r="M30" s="13" t="n">
        <v>10.24</v>
      </c>
      <c r="N30" s="19" t="n">
        <v>5.47</v>
      </c>
      <c r="O30" s="19" t="n">
        <v>0.03</v>
      </c>
      <c r="P30" s="19" t="n">
        <v>-0.01</v>
      </c>
      <c r="Q30" s="19" t="n">
        <v>4.71</v>
      </c>
      <c r="R30" s="13" t="n">
        <v>0.04</v>
      </c>
      <c r="S30" s="20" t="n">
        <v>0.01</v>
      </c>
    </row>
    <row r="31" customFormat="false" ht="12.8" hidden="false" customHeight="false" outlineLevel="0" collapsed="false">
      <c r="A31" s="1" t="str">
        <f aca="false">"X2"</f>
        <v>X2</v>
      </c>
      <c r="B31" s="16" t="n">
        <v>1.00108151150468</v>
      </c>
      <c r="C31" s="16" t="n">
        <v>0.00723893224668576</v>
      </c>
      <c r="D31" s="16" t="n">
        <v>138.291322171583</v>
      </c>
      <c r="E31" s="16" t="n">
        <v>3.32686084197282E-256</v>
      </c>
      <c r="F31" s="16" t="n">
        <v>0.98683074772868</v>
      </c>
      <c r="G31" s="16" t="n">
        <v>1.01533227528068</v>
      </c>
      <c r="K31" s="12" t="n">
        <v>3</v>
      </c>
      <c r="L31" s="13" t="s">
        <v>91</v>
      </c>
      <c r="M31" s="13" t="n">
        <v>10</v>
      </c>
      <c r="N31" s="19" t="n">
        <v>5.81</v>
      </c>
      <c r="O31" s="19" t="n">
        <v>-0.03</v>
      </c>
      <c r="P31" s="19" t="n">
        <v>-0.44</v>
      </c>
      <c r="Q31" s="19" t="n">
        <v>4.71</v>
      </c>
      <c r="R31" s="13" t="n">
        <v>-0.03</v>
      </c>
      <c r="S31" s="20" t="n">
        <v>-0.01</v>
      </c>
    </row>
    <row r="32" customFormat="false" ht="12.8" hidden="false" customHeight="false" outlineLevel="0" collapsed="false">
      <c r="A32" s="1" t="str">
        <f aca="false">"X3"</f>
        <v>X3</v>
      </c>
      <c r="B32" s="16" t="n">
        <v>1.01383386942433</v>
      </c>
      <c r="C32" s="16" t="n">
        <v>0.00516420613146631</v>
      </c>
      <c r="D32" s="16" t="n">
        <v>196.319403915131</v>
      </c>
      <c r="E32" s="16" t="n">
        <v>1.26532034347287E-297</v>
      </c>
      <c r="F32" s="16" t="n">
        <v>1.00366746930312</v>
      </c>
      <c r="G32" s="16" t="n">
        <v>1.02400026954553</v>
      </c>
      <c r="K32" s="12" t="n">
        <v>3</v>
      </c>
      <c r="L32" s="13" t="s">
        <v>92</v>
      </c>
      <c r="M32" s="13" t="n">
        <v>10.11</v>
      </c>
      <c r="N32" s="19" t="n">
        <v>5.96</v>
      </c>
      <c r="O32" s="19" t="n">
        <v>-0.01</v>
      </c>
      <c r="P32" s="19" t="n">
        <v>-0.52</v>
      </c>
      <c r="Q32" s="19" t="n">
        <v>4.71</v>
      </c>
      <c r="R32" s="13" t="n">
        <v>-0.01</v>
      </c>
      <c r="S32" s="20" t="n">
        <v>-0.01</v>
      </c>
    </row>
    <row r="33" customFormat="false" ht="12.8" hidden="false" customHeight="false" outlineLevel="0" collapsed="false">
      <c r="A33" s="1" t="str">
        <f aca="false">"X4"</f>
        <v>X4</v>
      </c>
      <c r="B33" s="16" t="n">
        <v>1.05523155172794</v>
      </c>
      <c r="C33" s="16" t="n">
        <v>0.0155230012927206</v>
      </c>
      <c r="D33" s="16" t="n">
        <v>67.9785778425969</v>
      </c>
      <c r="E33" s="16" t="n">
        <v>5.60180670250386E-174</v>
      </c>
      <c r="F33" s="16" t="n">
        <v>1.02467253874389</v>
      </c>
      <c r="G33" s="16" t="n">
        <v>1.08579056471199</v>
      </c>
      <c r="K33" s="12" t="n">
        <v>3</v>
      </c>
      <c r="L33" s="13" t="s">
        <v>93</v>
      </c>
      <c r="M33" s="13" t="n">
        <v>9.97</v>
      </c>
      <c r="N33" s="19" t="n">
        <v>6.14</v>
      </c>
      <c r="O33" s="19" t="n">
        <v>-0.16</v>
      </c>
      <c r="P33" s="19" t="n">
        <v>-0.72</v>
      </c>
      <c r="Q33" s="19" t="n">
        <v>4.71</v>
      </c>
      <c r="R33" s="13" t="n">
        <v>-0.01</v>
      </c>
      <c r="S33" s="20" t="n">
        <v>0.01</v>
      </c>
    </row>
    <row r="34" customFormat="false" ht="12.8" hidden="false" customHeight="false" outlineLevel="0" collapsed="false">
      <c r="A34" s="1" t="str">
        <f aca="false">"X5"</f>
        <v>X5</v>
      </c>
      <c r="B34" s="16" t="n">
        <v>0.973352619049322</v>
      </c>
      <c r="C34" s="16" t="n">
        <v>0.0140256823813929</v>
      </c>
      <c r="D34" s="16" t="n">
        <v>69.397879731015</v>
      </c>
      <c r="E34" s="16" t="n">
        <v>2.60553174791332E-176</v>
      </c>
      <c r="F34" s="16" t="n">
        <v>0.945741269805657</v>
      </c>
      <c r="G34" s="16" t="n">
        <v>1.00096396829299</v>
      </c>
      <c r="K34" s="12" t="n">
        <v>3</v>
      </c>
      <c r="L34" s="13" t="s">
        <v>94</v>
      </c>
      <c r="M34" s="13" t="n">
        <v>10.03</v>
      </c>
      <c r="N34" s="19" t="n">
        <v>6.3</v>
      </c>
      <c r="O34" s="19" t="n">
        <v>-0.29</v>
      </c>
      <c r="P34" s="19" t="n">
        <v>-0.6</v>
      </c>
      <c r="Q34" s="19" t="n">
        <v>4.71</v>
      </c>
      <c r="R34" s="13" t="n">
        <v>-0.02</v>
      </c>
      <c r="S34" s="20" t="n">
        <v>-0.06</v>
      </c>
    </row>
    <row r="35" customFormat="false" ht="12.8" hidden="false" customHeight="false" outlineLevel="0" collapsed="false">
      <c r="A35" s="1" t="str">
        <f aca="false">"X6"</f>
        <v>X6</v>
      </c>
      <c r="B35" s="16" t="n">
        <v>1.07953431615747</v>
      </c>
      <c r="C35" s="16" t="n">
        <v>0.0288431228526458</v>
      </c>
      <c r="D35" s="16" t="n">
        <v>37.4277889974885</v>
      </c>
      <c r="E35" s="16" t="n">
        <v>6.26303608724248E-110</v>
      </c>
      <c r="F35" s="16" t="n">
        <v>1.02275294062747</v>
      </c>
      <c r="G35" s="16" t="n">
        <v>1.13631569168746</v>
      </c>
      <c r="K35" s="12" t="n">
        <v>3</v>
      </c>
      <c r="L35" s="13" t="s">
        <v>95</v>
      </c>
      <c r="M35" s="13" t="n">
        <v>10.18</v>
      </c>
      <c r="N35" s="19" t="n">
        <v>5.64</v>
      </c>
      <c r="O35" s="19" t="n">
        <v>0.06</v>
      </c>
      <c r="P35" s="19" t="n">
        <v>-0.2</v>
      </c>
      <c r="Q35" s="19" t="n">
        <v>4.71</v>
      </c>
      <c r="R35" s="13" t="n">
        <v>-0.02</v>
      </c>
      <c r="S35" s="20" t="n">
        <v>-0.01</v>
      </c>
    </row>
    <row r="36" customFormat="false" ht="12.8" hidden="false" customHeight="false" outlineLevel="0" collapsed="false">
      <c r="K36" s="12" t="n">
        <v>3</v>
      </c>
      <c r="L36" s="13" t="s">
        <v>97</v>
      </c>
      <c r="M36" s="13" t="n">
        <v>10.04</v>
      </c>
      <c r="N36" s="19" t="n">
        <v>5.41</v>
      </c>
      <c r="O36" s="19" t="n">
        <v>0.03</v>
      </c>
      <c r="P36" s="19" t="n">
        <v>-0.12</v>
      </c>
      <c r="Q36" s="19" t="n">
        <v>4.71</v>
      </c>
      <c r="R36" s="13" t="n">
        <v>0</v>
      </c>
      <c r="S36" s="20" t="n">
        <v>0.01</v>
      </c>
    </row>
    <row r="37" customFormat="false" ht="12.8" hidden="false" customHeight="false" outlineLevel="0" collapsed="false">
      <c r="A37" s="1" t="str">
        <f aca="false">"X1"</f>
        <v>X1</v>
      </c>
      <c r="B37" s="1" t="str">
        <f aca="false">"X2"</f>
        <v>X2</v>
      </c>
      <c r="C37" s="1" t="str">
        <f aca="false">"X3"</f>
        <v>X3</v>
      </c>
      <c r="D37" s="1" t="str">
        <f aca="false">"X4"</f>
        <v>X4</v>
      </c>
      <c r="E37" s="1" t="str">
        <f aca="false">"X5"</f>
        <v>X5</v>
      </c>
      <c r="F37" s="1" t="str">
        <f aca="false">"X6"</f>
        <v>X6</v>
      </c>
      <c r="G37" s="15" t="s">
        <v>96</v>
      </c>
      <c r="H37" s="1" t="str">
        <f aca="false">"Y"</f>
        <v>Y</v>
      </c>
      <c r="I37" s="1" t="s">
        <v>77</v>
      </c>
      <c r="K37" s="12" t="n">
        <v>3</v>
      </c>
      <c r="L37" s="13" t="s">
        <v>98</v>
      </c>
      <c r="M37" s="13" t="n">
        <v>10.22</v>
      </c>
      <c r="N37" s="19" t="n">
        <v>5.87</v>
      </c>
      <c r="O37" s="19" t="n">
        <v>-0.2</v>
      </c>
      <c r="P37" s="19" t="n">
        <v>-0.15</v>
      </c>
      <c r="Q37" s="19" t="n">
        <v>4.71</v>
      </c>
      <c r="R37" s="13" t="n">
        <v>-0.01</v>
      </c>
      <c r="S37" s="20" t="n">
        <v>0.01</v>
      </c>
    </row>
    <row r="38" customFormat="false" ht="12.8" hidden="false" customHeight="false" outlineLevel="0" collapsed="false">
      <c r="A38" s="1" t="n">
        <f aca="false" t="array" ref="A38:F319">$N$3:$S$284</f>
        <v>6.33</v>
      </c>
      <c r="B38" s="1" t="n">
        <v>-0.29</v>
      </c>
      <c r="C38" s="1" t="n">
        <v>-0.32</v>
      </c>
      <c r="D38" s="1" t="n">
        <v>4.71</v>
      </c>
      <c r="E38" s="1" t="n">
        <v>0.02</v>
      </c>
      <c r="F38" s="1" t="n">
        <v>0.01</v>
      </c>
      <c r="G38" s="22" t="n">
        <f aca="false" t="array" ref="G38:G319">MMULT($A$38:$F$319 , $B$30:$B$35) + $B$29</f>
        <v>10.4658872739581</v>
      </c>
      <c r="H38" s="1" t="n">
        <f aca="false" t="array" ref="H38:H319">$M$3:$M$284</f>
        <v>10.45</v>
      </c>
      <c r="I38" s="22" t="n">
        <f aca="false" t="array" ref="I38:I319">$H$38:$H$319 - $G$38:$G$319</f>
        <v>-0.0158872739580662</v>
      </c>
      <c r="K38" s="12" t="n">
        <v>3</v>
      </c>
      <c r="L38" s="13" t="s">
        <v>99</v>
      </c>
      <c r="M38" s="13" t="n">
        <v>10.29</v>
      </c>
      <c r="N38" s="19" t="n">
        <v>6.14</v>
      </c>
      <c r="O38" s="19" t="n">
        <v>-0.11</v>
      </c>
      <c r="P38" s="19" t="n">
        <v>-0.43</v>
      </c>
      <c r="Q38" s="19" t="n">
        <v>4.71</v>
      </c>
      <c r="R38" s="13" t="n">
        <v>-0.03</v>
      </c>
      <c r="S38" s="20" t="n">
        <v>0.01</v>
      </c>
    </row>
    <row r="39" customFormat="false" ht="12.8" hidden="false" customHeight="false" outlineLevel="0" collapsed="false">
      <c r="A39" s="1" t="n">
        <v>6.36</v>
      </c>
      <c r="B39" s="1" t="n">
        <v>-0.25</v>
      </c>
      <c r="C39" s="1" t="n">
        <v>-0.88</v>
      </c>
      <c r="D39" s="1" t="n">
        <v>4.71</v>
      </c>
      <c r="E39" s="1" t="n">
        <v>0.02</v>
      </c>
      <c r="F39" s="1" t="n">
        <v>0.01</v>
      </c>
      <c r="G39" s="22" t="n">
        <v>9.96836856084817</v>
      </c>
      <c r="H39" s="1" t="n">
        <v>9.96</v>
      </c>
      <c r="I39" s="22" t="n">
        <v>-0.00836856084816517</v>
      </c>
      <c r="K39" s="12" t="n">
        <v>3</v>
      </c>
      <c r="L39" s="13" t="s">
        <v>100</v>
      </c>
      <c r="M39" s="13" t="n">
        <v>10.28</v>
      </c>
      <c r="N39" s="19" t="n">
        <v>6.02</v>
      </c>
      <c r="O39" s="19" t="n">
        <v>-0.07</v>
      </c>
      <c r="P39" s="19" t="n">
        <v>-0.33</v>
      </c>
      <c r="Q39" s="19" t="n">
        <v>4.71</v>
      </c>
      <c r="R39" s="13" t="n">
        <v>-0.05</v>
      </c>
      <c r="S39" s="20" t="n">
        <v>0</v>
      </c>
    </row>
    <row r="40" customFormat="false" ht="12.8" hidden="false" customHeight="false" outlineLevel="0" collapsed="false">
      <c r="A40" s="1" t="n">
        <v>5.95</v>
      </c>
      <c r="B40" s="1" t="n">
        <v>-0.29</v>
      </c>
      <c r="C40" s="1" t="n">
        <v>-0.62</v>
      </c>
      <c r="D40" s="1" t="n">
        <v>4.71</v>
      </c>
      <c r="E40" s="1" t="n">
        <v>-0.01</v>
      </c>
      <c r="F40" s="1" t="n">
        <v>0</v>
      </c>
      <c r="G40" s="22" t="n">
        <v>9.73939794283557</v>
      </c>
      <c r="H40" s="1" t="n">
        <v>9.74</v>
      </c>
      <c r="I40" s="22" t="n">
        <v>0.000602057164433845</v>
      </c>
      <c r="K40" s="12" t="n">
        <v>3</v>
      </c>
      <c r="L40" s="13" t="s">
        <v>101</v>
      </c>
      <c r="M40" s="13" t="n">
        <v>10.22</v>
      </c>
      <c r="N40" s="19" t="n">
        <v>5.93</v>
      </c>
      <c r="O40" s="19" t="n">
        <v>0.03</v>
      </c>
      <c r="P40" s="19" t="n">
        <v>-0.51</v>
      </c>
      <c r="Q40" s="19" t="n">
        <v>4.71</v>
      </c>
      <c r="R40" s="13" t="n">
        <v>0.06</v>
      </c>
      <c r="S40" s="20" t="n">
        <v>0.01</v>
      </c>
    </row>
    <row r="41" customFormat="false" ht="12.8" hidden="false" customHeight="false" outlineLevel="0" collapsed="false">
      <c r="A41" s="1" t="n">
        <v>5.83</v>
      </c>
      <c r="B41" s="1" t="n">
        <v>-0.16</v>
      </c>
      <c r="C41" s="1" t="n">
        <v>-0.34</v>
      </c>
      <c r="D41" s="1" t="n">
        <v>4.71</v>
      </c>
      <c r="E41" s="1" t="n">
        <v>-0.02</v>
      </c>
      <c r="F41" s="1" t="n">
        <v>-0.01</v>
      </c>
      <c r="G41" s="22" t="n">
        <v>10.0121431801878</v>
      </c>
      <c r="H41" s="1" t="n">
        <v>10.01</v>
      </c>
      <c r="I41" s="22" t="n">
        <v>-0.00214318018776716</v>
      </c>
      <c r="K41" s="12" t="n">
        <v>3</v>
      </c>
      <c r="L41" s="13" t="s">
        <v>102</v>
      </c>
      <c r="M41" s="13" t="n">
        <v>10.17</v>
      </c>
      <c r="N41" s="19" t="n">
        <v>6.1</v>
      </c>
      <c r="O41" s="19" t="n">
        <v>-0.14</v>
      </c>
      <c r="P41" s="19" t="n">
        <v>-0.46</v>
      </c>
      <c r="Q41" s="19" t="n">
        <v>4.71</v>
      </c>
      <c r="R41" s="13" t="n">
        <v>-0.04</v>
      </c>
      <c r="S41" s="20" t="n">
        <v>0.01</v>
      </c>
    </row>
    <row r="42" customFormat="false" ht="12.8" hidden="false" customHeight="false" outlineLevel="0" collapsed="false">
      <c r="A42" s="1" t="n">
        <v>6.92</v>
      </c>
      <c r="B42" s="1" t="n">
        <v>-0.57</v>
      </c>
      <c r="C42" s="1" t="n">
        <v>-0.87</v>
      </c>
      <c r="D42" s="1" t="n">
        <v>4.71</v>
      </c>
      <c r="E42" s="1" t="n">
        <v>-0.02</v>
      </c>
      <c r="F42" s="1" t="n">
        <v>0.01</v>
      </c>
      <c r="G42" s="22" t="n">
        <v>10.1826799195063</v>
      </c>
      <c r="H42" s="1" t="n">
        <v>10.16</v>
      </c>
      <c r="I42" s="22" t="n">
        <v>-0.022679919506313</v>
      </c>
      <c r="K42" s="12" t="n">
        <v>3</v>
      </c>
      <c r="L42" s="13" t="s">
        <v>103</v>
      </c>
      <c r="M42" s="13" t="n">
        <v>10.22</v>
      </c>
      <c r="N42" s="19" t="n">
        <v>5.84</v>
      </c>
      <c r="O42" s="19" t="n">
        <v>0.02</v>
      </c>
      <c r="P42" s="19" t="n">
        <v>-0.3</v>
      </c>
      <c r="Q42" s="19" t="n">
        <v>4.71</v>
      </c>
      <c r="R42" s="13" t="n">
        <v>-0.04</v>
      </c>
      <c r="S42" s="20" t="n">
        <v>-0.01</v>
      </c>
    </row>
    <row r="43" customFormat="false" ht="12.8" hidden="false" customHeight="false" outlineLevel="0" collapsed="false">
      <c r="A43" s="1" t="n">
        <v>6.09</v>
      </c>
      <c r="B43" s="1" t="n">
        <v>-0.25</v>
      </c>
      <c r="C43" s="1" t="n">
        <v>-0.5</v>
      </c>
      <c r="D43" s="1" t="n">
        <v>4.71</v>
      </c>
      <c r="E43" s="1" t="n">
        <v>0.04</v>
      </c>
      <c r="F43" s="1" t="n">
        <v>-0.05</v>
      </c>
      <c r="G43" s="22" t="n">
        <v>10.0366554848731</v>
      </c>
      <c r="H43" s="1" t="n">
        <v>10.03</v>
      </c>
      <c r="I43" s="22" t="n">
        <v>-0.00665548487310907</v>
      </c>
      <c r="K43" s="12" t="n">
        <v>3</v>
      </c>
      <c r="L43" s="13" t="s">
        <v>104</v>
      </c>
      <c r="M43" s="13" t="n">
        <v>10.68</v>
      </c>
      <c r="N43" s="19" t="n">
        <v>7.05</v>
      </c>
      <c r="O43" s="19" t="n">
        <v>-0.19</v>
      </c>
      <c r="P43" s="19" t="n">
        <v>-0.79</v>
      </c>
      <c r="Q43" s="19" t="n">
        <v>4.71</v>
      </c>
      <c r="R43" s="13" t="n">
        <v>-0.07</v>
      </c>
      <c r="S43" s="20" t="n">
        <v>-0.03</v>
      </c>
    </row>
    <row r="44" customFormat="false" ht="12.8" hidden="false" customHeight="false" outlineLevel="0" collapsed="false">
      <c r="A44" s="1" t="n">
        <v>5.37</v>
      </c>
      <c r="B44" s="1" t="n">
        <v>-0.14</v>
      </c>
      <c r="C44" s="1" t="n">
        <v>-0.28</v>
      </c>
      <c r="D44" s="1" t="n">
        <v>4.71</v>
      </c>
      <c r="E44" s="1" t="n">
        <v>0</v>
      </c>
      <c r="F44" s="1" t="n">
        <v>-0.02</v>
      </c>
      <c r="G44" s="22" t="n">
        <v>9.63882998775382</v>
      </c>
      <c r="H44" s="1" t="n">
        <v>9.64</v>
      </c>
      <c r="I44" s="22" t="n">
        <v>0.00117001224618285</v>
      </c>
      <c r="K44" s="12" t="n">
        <v>3</v>
      </c>
      <c r="L44" s="13" t="s">
        <v>105</v>
      </c>
      <c r="M44" s="13" t="n">
        <v>10.26</v>
      </c>
      <c r="N44" s="19" t="n">
        <v>6.58</v>
      </c>
      <c r="O44" s="19" t="n">
        <v>-0.2</v>
      </c>
      <c r="P44" s="19" t="n">
        <v>-0.79</v>
      </c>
      <c r="Q44" s="19" t="n">
        <v>4.71</v>
      </c>
      <c r="R44" s="13" t="n">
        <v>-0.01</v>
      </c>
      <c r="S44" s="20" t="n">
        <v>-0.02</v>
      </c>
    </row>
    <row r="45" customFormat="false" ht="12.8" hidden="false" customHeight="false" outlineLevel="0" collapsed="false">
      <c r="A45" s="1" t="n">
        <v>5.04</v>
      </c>
      <c r="B45" s="1" t="n">
        <v>-0.02</v>
      </c>
      <c r="C45" s="1" t="n">
        <v>0.04</v>
      </c>
      <c r="D45" s="1" t="n">
        <v>4.71</v>
      </c>
      <c r="E45" s="1" t="n">
        <v>-0.03</v>
      </c>
      <c r="F45" s="1" t="n">
        <v>0.01</v>
      </c>
      <c r="G45" s="22" t="n">
        <v>9.75453713188049</v>
      </c>
      <c r="H45" s="1" t="n">
        <v>9.74</v>
      </c>
      <c r="I45" s="22" t="n">
        <v>-0.0145371318804912</v>
      </c>
      <c r="K45" s="12" t="n">
        <v>3</v>
      </c>
      <c r="L45" s="13" t="s">
        <v>106</v>
      </c>
      <c r="M45" s="13" t="n">
        <v>10.29</v>
      </c>
      <c r="N45" s="19" t="n">
        <v>6.33</v>
      </c>
      <c r="O45" s="19" t="n">
        <v>-0.07</v>
      </c>
      <c r="P45" s="19" t="n">
        <v>-0.66</v>
      </c>
      <c r="Q45" s="19" t="n">
        <v>4.71</v>
      </c>
      <c r="R45" s="13" t="n">
        <v>0.03</v>
      </c>
      <c r="S45" s="20" t="n">
        <v>-0.03</v>
      </c>
    </row>
    <row r="46" customFormat="false" ht="12.8" hidden="false" customHeight="false" outlineLevel="0" collapsed="false">
      <c r="A46" s="1" t="n">
        <v>5.25</v>
      </c>
      <c r="B46" s="1" t="n">
        <v>-0.05</v>
      </c>
      <c r="C46" s="1" t="n">
        <v>-0.03</v>
      </c>
      <c r="D46" s="1" t="n">
        <v>4.71</v>
      </c>
      <c r="E46" s="1" t="n">
        <v>-0.01</v>
      </c>
      <c r="F46" s="1" t="n">
        <v>0</v>
      </c>
      <c r="G46" s="22" t="n">
        <v>9.87350297804782</v>
      </c>
      <c r="H46" s="1" t="n">
        <v>9.87</v>
      </c>
      <c r="I46" s="22" t="n">
        <v>-0.00350297804782507</v>
      </c>
      <c r="K46" s="12" t="n">
        <v>3</v>
      </c>
      <c r="L46" s="13" t="s">
        <v>107</v>
      </c>
      <c r="M46" s="13" t="n">
        <v>10.3</v>
      </c>
      <c r="N46" s="19" t="n">
        <v>6.41</v>
      </c>
      <c r="O46" s="19" t="n">
        <v>-0.19</v>
      </c>
      <c r="P46" s="19" t="n">
        <v>-0.64</v>
      </c>
      <c r="Q46" s="19" t="n">
        <v>4.71</v>
      </c>
      <c r="R46" s="13" t="n">
        <v>0.02</v>
      </c>
      <c r="S46" s="20" t="n">
        <v>-0.01</v>
      </c>
    </row>
    <row r="47" customFormat="false" ht="12.8" hidden="false" customHeight="false" outlineLevel="0" collapsed="false">
      <c r="A47" s="1" t="n">
        <v>5.13</v>
      </c>
      <c r="B47" s="1" t="n">
        <v>-0.02</v>
      </c>
      <c r="C47" s="1" t="n">
        <v>-0.07</v>
      </c>
      <c r="D47" s="1" t="n">
        <v>4.71</v>
      </c>
      <c r="E47" s="1" t="n">
        <v>-0.09</v>
      </c>
      <c r="F47" s="1" t="n">
        <v>0.01</v>
      </c>
      <c r="G47" s="22" t="n">
        <v>9.67516922902347</v>
      </c>
      <c r="H47" s="1" t="n">
        <v>9.66</v>
      </c>
      <c r="I47" s="22" t="n">
        <v>-0.0151692290234688</v>
      </c>
      <c r="K47" s="12" t="n">
        <v>3</v>
      </c>
      <c r="L47" s="13" t="s">
        <v>108</v>
      </c>
      <c r="M47" s="13" t="n">
        <v>9.83</v>
      </c>
      <c r="N47" s="19" t="n">
        <v>6.14</v>
      </c>
      <c r="O47" s="19" t="n">
        <v>-0.08</v>
      </c>
      <c r="P47" s="19" t="n">
        <v>-0.85</v>
      </c>
      <c r="Q47" s="19" t="n">
        <v>4.71</v>
      </c>
      <c r="R47" s="13" t="n">
        <v>-0.07</v>
      </c>
      <c r="S47" s="20" t="n">
        <v>-0.02</v>
      </c>
    </row>
    <row r="48" customFormat="false" ht="12.8" hidden="false" customHeight="false" outlineLevel="0" collapsed="false">
      <c r="A48" s="1" t="n">
        <v>4.91</v>
      </c>
      <c r="B48" s="1" t="n">
        <v>-0.01</v>
      </c>
      <c r="C48" s="1" t="n">
        <v>0.17</v>
      </c>
      <c r="D48" s="1" t="n">
        <v>4.71</v>
      </c>
      <c r="E48" s="1" t="n">
        <v>0.01</v>
      </c>
      <c r="F48" s="1" t="n">
        <v>0.01</v>
      </c>
      <c r="G48" s="22" t="n">
        <v>9.80447881711668</v>
      </c>
      <c r="H48" s="1" t="n">
        <v>9.8</v>
      </c>
      <c r="I48" s="22" t="n">
        <v>-0.00447881711667542</v>
      </c>
      <c r="K48" s="12" t="n">
        <v>3</v>
      </c>
      <c r="L48" s="13" t="s">
        <v>109</v>
      </c>
      <c r="M48" s="13" t="n">
        <v>10.36</v>
      </c>
      <c r="N48" s="19" t="n">
        <v>6.53</v>
      </c>
      <c r="O48" s="19" t="n">
        <v>-0.05</v>
      </c>
      <c r="P48" s="19" t="n">
        <v>-0.91</v>
      </c>
      <c r="Q48" s="19" t="n">
        <v>4.71</v>
      </c>
      <c r="R48" s="13" t="n">
        <v>0.07</v>
      </c>
      <c r="S48" s="20" t="n">
        <v>0.01</v>
      </c>
    </row>
    <row r="49" customFormat="false" ht="12.8" hidden="false" customHeight="false" outlineLevel="0" collapsed="false">
      <c r="A49" s="1" t="n">
        <v>5.03</v>
      </c>
      <c r="B49" s="1" t="n">
        <v>-0.11</v>
      </c>
      <c r="C49" s="1" t="n">
        <v>0.16</v>
      </c>
      <c r="D49" s="1" t="n">
        <v>4.71</v>
      </c>
      <c r="E49" s="1" t="n">
        <v>0</v>
      </c>
      <c r="F49" s="1" t="n">
        <v>0.01</v>
      </c>
      <c r="G49" s="22" t="n">
        <v>9.80523877431162</v>
      </c>
      <c r="H49" s="1" t="n">
        <v>9.79</v>
      </c>
      <c r="I49" s="22" t="n">
        <v>-0.0152387743116229</v>
      </c>
      <c r="K49" s="12" t="n">
        <v>3</v>
      </c>
      <c r="L49" s="13" t="s">
        <v>110</v>
      </c>
      <c r="M49" s="13" t="n">
        <v>9.95</v>
      </c>
      <c r="N49" s="19" t="n">
        <v>6.56</v>
      </c>
      <c r="O49" s="19" t="n">
        <v>0.28</v>
      </c>
      <c r="P49" s="19" t="n">
        <v>-1.58</v>
      </c>
      <c r="Q49" s="19" t="n">
        <v>4.71</v>
      </c>
      <c r="R49" s="13" t="n">
        <v>0.01</v>
      </c>
      <c r="S49" s="20" t="n">
        <v>-0.03</v>
      </c>
    </row>
    <row r="50" customFormat="false" ht="12.8" hidden="false" customHeight="false" outlineLevel="0" collapsed="false">
      <c r="A50" s="1" t="n">
        <v>4.32</v>
      </c>
      <c r="B50" s="1" t="n">
        <v>0.13</v>
      </c>
      <c r="C50" s="1" t="n">
        <v>0.69</v>
      </c>
      <c r="D50" s="1" t="n">
        <v>4.71</v>
      </c>
      <c r="E50" s="1" t="n">
        <v>-0.02</v>
      </c>
      <c r="F50" s="1" t="n">
        <v>0.01</v>
      </c>
      <c r="G50" s="22" t="n">
        <v>9.84898506054159</v>
      </c>
      <c r="H50" s="1" t="n">
        <v>9.84</v>
      </c>
      <c r="I50" s="22" t="n">
        <v>-0.00898506054158865</v>
      </c>
      <c r="K50" s="12" t="n">
        <v>4</v>
      </c>
      <c r="L50" s="13" t="s">
        <v>42</v>
      </c>
      <c r="M50" s="13" t="n">
        <v>10.39</v>
      </c>
      <c r="N50" s="13" t="n">
        <v>6.26</v>
      </c>
      <c r="O50" s="13" t="n">
        <v>-0.31</v>
      </c>
      <c r="P50" s="13" t="n">
        <v>-0.26</v>
      </c>
      <c r="Q50" s="13" t="n">
        <v>4.71</v>
      </c>
      <c r="R50" s="13" t="n">
        <v>-0.03</v>
      </c>
      <c r="S50" s="13" t="n">
        <v>0.007</v>
      </c>
    </row>
    <row r="51" customFormat="false" ht="12.8" hidden="false" customHeight="false" outlineLevel="0" collapsed="false">
      <c r="A51" s="1" t="n">
        <v>4.85</v>
      </c>
      <c r="B51" s="1" t="n">
        <v>-0.05</v>
      </c>
      <c r="C51" s="1" t="n">
        <v>0.44</v>
      </c>
      <c r="D51" s="1" t="n">
        <v>4.71</v>
      </c>
      <c r="E51" s="1" t="n">
        <v>0.04</v>
      </c>
      <c r="F51" s="1" t="n">
        <v>0.01</v>
      </c>
      <c r="G51" s="22" t="n">
        <v>10.0070012933575</v>
      </c>
      <c r="H51" s="1" t="n">
        <v>9.99</v>
      </c>
      <c r="I51" s="22" t="n">
        <v>-0.0170012933574597</v>
      </c>
      <c r="K51" s="18" t="n">
        <v>4</v>
      </c>
      <c r="L51" s="13" t="s">
        <v>45</v>
      </c>
      <c r="M51" s="13" t="n">
        <v>10.03</v>
      </c>
      <c r="N51" s="13" t="n">
        <v>6.37</v>
      </c>
      <c r="O51" s="13" t="n">
        <v>-0.3</v>
      </c>
      <c r="P51" s="13" t="n">
        <v>-0.81</v>
      </c>
      <c r="Q51" s="13" t="n">
        <v>4.71</v>
      </c>
      <c r="R51" s="13" t="n">
        <v>0.04</v>
      </c>
      <c r="S51" s="13" t="n">
        <v>0.003</v>
      </c>
    </row>
    <row r="52" customFormat="false" ht="12.8" hidden="false" customHeight="false" outlineLevel="0" collapsed="false">
      <c r="A52" s="1" t="n">
        <v>5.28</v>
      </c>
      <c r="B52" s="1" t="n">
        <v>-0.14</v>
      </c>
      <c r="C52" s="1" t="n">
        <v>-0.32</v>
      </c>
      <c r="D52" s="1" t="n">
        <v>4.71</v>
      </c>
      <c r="E52" s="1" t="n">
        <v>-0.01</v>
      </c>
      <c r="F52" s="1" t="n">
        <v>-0.02</v>
      </c>
      <c r="G52" s="22" t="n">
        <v>9.49798812686374</v>
      </c>
      <c r="H52" s="1" t="n">
        <v>9.5</v>
      </c>
      <c r="I52" s="22" t="n">
        <v>0.00201187313626328</v>
      </c>
      <c r="K52" s="12" t="n">
        <v>4</v>
      </c>
      <c r="L52" s="13" t="s">
        <v>46</v>
      </c>
      <c r="M52" s="13" t="n">
        <v>9.91</v>
      </c>
      <c r="N52" s="13" t="n">
        <v>6.01</v>
      </c>
      <c r="O52" s="13" t="n">
        <v>-0.32</v>
      </c>
      <c r="P52" s="13" t="n">
        <v>-0.57</v>
      </c>
      <c r="Q52" s="13" t="n">
        <v>4.71</v>
      </c>
      <c r="R52" s="13" t="n">
        <v>0.06</v>
      </c>
      <c r="S52" s="13" t="n">
        <v>0.007</v>
      </c>
    </row>
    <row r="53" customFormat="false" ht="12.8" hidden="false" customHeight="false" outlineLevel="0" collapsed="false">
      <c r="A53" s="1" t="n">
        <v>4.91</v>
      </c>
      <c r="B53" s="1" t="n">
        <v>-0.09</v>
      </c>
      <c r="C53" s="1" t="n">
        <v>0.13</v>
      </c>
      <c r="D53" s="1" t="n">
        <v>4.71</v>
      </c>
      <c r="E53" s="1" t="n">
        <v>0</v>
      </c>
      <c r="F53" s="1" t="n">
        <v>-0.06</v>
      </c>
      <c r="G53" s="22" t="n">
        <v>9.59853801309781</v>
      </c>
      <c r="H53" s="1" t="n">
        <v>9.59</v>
      </c>
      <c r="I53" s="22" t="n">
        <v>-0.00853801309781233</v>
      </c>
      <c r="K53" s="18" t="n">
        <v>4</v>
      </c>
      <c r="L53" s="13" t="s">
        <v>48</v>
      </c>
      <c r="M53" s="13" t="n">
        <v>10.18</v>
      </c>
      <c r="N53" s="13" t="n">
        <v>5.91</v>
      </c>
      <c r="O53" s="13" t="n">
        <v>-0.17</v>
      </c>
      <c r="P53" s="13" t="n">
        <v>-0.32</v>
      </c>
      <c r="Q53" s="13" t="n">
        <v>4.71</v>
      </c>
      <c r="R53" s="13" t="n">
        <v>0.07</v>
      </c>
      <c r="S53" s="13" t="n">
        <v>-0.017</v>
      </c>
    </row>
    <row r="54" customFormat="false" ht="12.8" hidden="false" customHeight="false" outlineLevel="0" collapsed="false">
      <c r="A54" s="1" t="n">
        <v>5.36</v>
      </c>
      <c r="B54" s="1" t="n">
        <v>-0.03</v>
      </c>
      <c r="C54" s="1" t="n">
        <v>0.02</v>
      </c>
      <c r="D54" s="1" t="n">
        <v>4.71</v>
      </c>
      <c r="E54" s="1" t="n">
        <v>0.04</v>
      </c>
      <c r="F54" s="1" t="n">
        <v>0.01</v>
      </c>
      <c r="G54" s="22" t="n">
        <v>10.1143575846575</v>
      </c>
      <c r="H54" s="1" t="n">
        <v>10.11</v>
      </c>
      <c r="I54" s="22" t="n">
        <v>-0.00435758465748215</v>
      </c>
      <c r="K54" s="12" t="n">
        <v>4</v>
      </c>
      <c r="L54" s="13" t="s">
        <v>49</v>
      </c>
      <c r="M54" s="13" t="n">
        <v>10.27</v>
      </c>
      <c r="N54" s="13" t="n">
        <v>6.99</v>
      </c>
      <c r="O54" s="13" t="n">
        <v>-0.63</v>
      </c>
      <c r="P54" s="13" t="n">
        <v>-0.8</v>
      </c>
      <c r="Q54" s="13" t="n">
        <v>4.71</v>
      </c>
      <c r="R54" s="13" t="n">
        <v>0.02</v>
      </c>
      <c r="S54" s="13" t="n">
        <v>-0.028</v>
      </c>
    </row>
    <row r="55" customFormat="false" ht="12.8" hidden="false" customHeight="false" outlineLevel="0" collapsed="false">
      <c r="A55" s="1" t="n">
        <v>5.42</v>
      </c>
      <c r="B55" s="1" t="n">
        <v>-0.12</v>
      </c>
      <c r="C55" s="1" t="n">
        <v>-0.04</v>
      </c>
      <c r="D55" s="1" t="n">
        <v>4.71</v>
      </c>
      <c r="E55" s="1" t="n">
        <v>0.06</v>
      </c>
      <c r="F55" s="1" t="n">
        <v>-0.04</v>
      </c>
      <c r="G55" s="22" t="n">
        <v>9.98929053964479</v>
      </c>
      <c r="H55" s="1" t="n">
        <v>9.98</v>
      </c>
      <c r="I55" s="22" t="n">
        <v>-0.00929053964478754</v>
      </c>
      <c r="K55" s="18" t="n">
        <v>4</v>
      </c>
      <c r="L55" s="13" t="s">
        <v>50</v>
      </c>
      <c r="M55" s="13" t="n">
        <v>9.99</v>
      </c>
      <c r="N55" s="13" t="n">
        <v>6.1</v>
      </c>
      <c r="O55" s="13" t="n">
        <v>-0.27</v>
      </c>
      <c r="P55" s="13" t="n">
        <v>-0.5</v>
      </c>
      <c r="Q55" s="13" t="n">
        <v>4.71</v>
      </c>
      <c r="R55" s="13" t="n">
        <v>0</v>
      </c>
      <c r="S55" s="13" t="n">
        <v>-0.043</v>
      </c>
    </row>
    <row r="56" customFormat="false" ht="12.8" hidden="false" customHeight="false" outlineLevel="0" collapsed="false">
      <c r="A56" s="1" t="n">
        <v>5.45</v>
      </c>
      <c r="B56" s="1" t="n">
        <v>-0.14</v>
      </c>
      <c r="C56" s="1" t="n">
        <v>-0.17</v>
      </c>
      <c r="D56" s="1" t="n">
        <v>4.71</v>
      </c>
      <c r="E56" s="1" t="n">
        <v>-0.07</v>
      </c>
      <c r="F56" s="1" t="n">
        <v>0.01</v>
      </c>
      <c r="G56" s="22" t="n">
        <v>9.79509637502853</v>
      </c>
      <c r="H56" s="1" t="n">
        <v>9.79</v>
      </c>
      <c r="I56" s="22" t="n">
        <v>-0.00509637502853266</v>
      </c>
      <c r="K56" s="12" t="n">
        <v>4</v>
      </c>
      <c r="L56" s="13" t="s">
        <v>51</v>
      </c>
      <c r="M56" s="13" t="n">
        <v>9.65</v>
      </c>
      <c r="N56" s="13" t="n">
        <v>5.37</v>
      </c>
      <c r="O56" s="13" t="n">
        <v>-0.16</v>
      </c>
      <c r="P56" s="13" t="n">
        <v>-0.27</v>
      </c>
      <c r="Q56" s="13" t="n">
        <v>4.71</v>
      </c>
      <c r="R56" s="13" t="n">
        <v>0.03</v>
      </c>
      <c r="S56" s="13" t="n">
        <v>-0.023</v>
      </c>
    </row>
    <row r="57" customFormat="false" ht="12.8" hidden="false" customHeight="false" outlineLevel="0" collapsed="false">
      <c r="A57" s="1" t="n">
        <v>5.24</v>
      </c>
      <c r="B57" s="1" t="n">
        <v>-0.07</v>
      </c>
      <c r="C57" s="1" t="n">
        <v>-0.21</v>
      </c>
      <c r="D57" s="1" t="n">
        <v>4.71</v>
      </c>
      <c r="E57" s="1" t="n">
        <v>0.04</v>
      </c>
      <c r="F57" s="1" t="n">
        <v>0.01</v>
      </c>
      <c r="G57" s="22" t="n">
        <v>9.72039256099955</v>
      </c>
      <c r="H57" s="1" t="n">
        <v>9.71</v>
      </c>
      <c r="I57" s="22" t="n">
        <v>-0.0103925609995468</v>
      </c>
      <c r="K57" s="18" t="n">
        <v>4</v>
      </c>
      <c r="L57" s="13" t="s">
        <v>52</v>
      </c>
      <c r="M57" s="13" t="n">
        <v>9.77</v>
      </c>
      <c r="N57" s="13" t="n">
        <v>5.05</v>
      </c>
      <c r="O57" s="13" t="n">
        <v>-0.04</v>
      </c>
      <c r="P57" s="13" t="n">
        <v>0.04</v>
      </c>
      <c r="Q57" s="13" t="n">
        <v>4.71</v>
      </c>
      <c r="R57" s="13" t="n">
        <v>-0.01</v>
      </c>
      <c r="S57" s="13" t="n">
        <v>0.007</v>
      </c>
    </row>
    <row r="58" customFormat="false" ht="12.8" hidden="false" customHeight="false" outlineLevel="0" collapsed="false">
      <c r="A58" s="1" t="n">
        <v>5.19</v>
      </c>
      <c r="B58" s="1" t="n">
        <v>0.01</v>
      </c>
      <c r="C58" s="1" t="n">
        <v>-0.06</v>
      </c>
      <c r="D58" s="1" t="n">
        <v>4.71</v>
      </c>
      <c r="E58" s="1" t="n">
        <v>-0.03</v>
      </c>
      <c r="F58" s="1" t="n">
        <v>0.01</v>
      </c>
      <c r="G58" s="22" t="n">
        <v>9.83411115682089</v>
      </c>
      <c r="H58" s="1" t="n">
        <v>9.83</v>
      </c>
      <c r="I58" s="22" t="n">
        <v>-0.0041111568208887</v>
      </c>
      <c r="K58" s="12" t="n">
        <v>4</v>
      </c>
      <c r="L58" s="13" t="s">
        <v>53</v>
      </c>
      <c r="M58" s="13" t="n">
        <v>9.9</v>
      </c>
      <c r="N58" s="13" t="n">
        <v>5.29</v>
      </c>
      <c r="O58" s="13" t="n">
        <v>-0.06</v>
      </c>
      <c r="P58" s="13" t="n">
        <v>-0.05</v>
      </c>
      <c r="Q58" s="13" t="n">
        <v>4.71</v>
      </c>
      <c r="R58" s="13" t="n">
        <v>0.04</v>
      </c>
      <c r="S58" s="13" t="n">
        <v>-0.025</v>
      </c>
    </row>
    <row r="59" customFormat="false" ht="12.8" hidden="false" customHeight="false" outlineLevel="0" collapsed="false">
      <c r="A59" s="1" t="n">
        <v>4.94</v>
      </c>
      <c r="B59" s="1" t="n">
        <v>-0.06</v>
      </c>
      <c r="C59" s="1" t="n">
        <v>0.12</v>
      </c>
      <c r="D59" s="1" t="n">
        <v>4.71</v>
      </c>
      <c r="E59" s="1" t="n">
        <v>0.02</v>
      </c>
      <c r="F59" s="1" t="n">
        <v>0.01</v>
      </c>
      <c r="G59" s="22" t="n">
        <v>9.74365156756826</v>
      </c>
      <c r="H59" s="1" t="n">
        <v>9.72</v>
      </c>
      <c r="I59" s="22" t="n">
        <v>-0.0236515675682565</v>
      </c>
      <c r="K59" s="18" t="n">
        <v>4</v>
      </c>
      <c r="L59" s="13" t="s">
        <v>54</v>
      </c>
      <c r="M59" s="13" t="n">
        <v>9.73</v>
      </c>
      <c r="N59" s="13" t="n">
        <v>5.15</v>
      </c>
      <c r="O59" s="13" t="n">
        <v>-0.02</v>
      </c>
      <c r="P59" s="13" t="n">
        <v>-0.08</v>
      </c>
      <c r="Q59" s="13" t="n">
        <v>4.71</v>
      </c>
      <c r="R59" s="13" t="n">
        <v>-0.04</v>
      </c>
      <c r="S59" s="13" t="n">
        <v>0.007</v>
      </c>
    </row>
    <row r="60" customFormat="false" ht="12.8" hidden="false" customHeight="false" outlineLevel="0" collapsed="false">
      <c r="A60" s="1" t="n">
        <v>4.68</v>
      </c>
      <c r="B60" s="1" t="n">
        <v>0.19</v>
      </c>
      <c r="C60" s="1" t="n">
        <v>0.31</v>
      </c>
      <c r="D60" s="1" t="n">
        <v>4.71</v>
      </c>
      <c r="E60" s="1" t="n">
        <v>0.01</v>
      </c>
      <c r="F60" s="1" t="n">
        <v>0.01</v>
      </c>
      <c r="G60" s="22" t="n">
        <v>9.91521357911256</v>
      </c>
      <c r="H60" s="1" t="n">
        <v>9.91</v>
      </c>
      <c r="I60" s="22" t="n">
        <v>-0.00521357911256004</v>
      </c>
      <c r="K60" s="12" t="n">
        <v>4</v>
      </c>
      <c r="L60" s="13" t="s">
        <v>56</v>
      </c>
      <c r="M60" s="13" t="n">
        <v>9.71</v>
      </c>
      <c r="N60" s="13" t="n">
        <v>4.91</v>
      </c>
      <c r="O60" s="13" t="n">
        <v>-0.02</v>
      </c>
      <c r="P60" s="13" t="n">
        <v>0.14</v>
      </c>
      <c r="Q60" s="13" t="n">
        <v>4.71</v>
      </c>
      <c r="R60" s="13" t="n">
        <v>-0.04</v>
      </c>
      <c r="S60" s="13" t="n">
        <v>0.007</v>
      </c>
    </row>
    <row r="61" customFormat="false" ht="12.8" hidden="false" customHeight="false" outlineLevel="0" collapsed="false">
      <c r="A61" s="1" t="n">
        <v>5.04</v>
      </c>
      <c r="B61" s="1" t="n">
        <v>0.04</v>
      </c>
      <c r="C61" s="1" t="n">
        <v>0.04</v>
      </c>
      <c r="D61" s="1" t="n">
        <v>4.71</v>
      </c>
      <c r="E61" s="1" t="n">
        <v>-0.02</v>
      </c>
      <c r="F61" s="1" t="n">
        <v>0.01</v>
      </c>
      <c r="G61" s="22" t="n">
        <v>9.82433554876127</v>
      </c>
      <c r="H61" s="1" t="n">
        <v>9.81</v>
      </c>
      <c r="I61" s="22" t="n">
        <v>-0.0143355487612649</v>
      </c>
      <c r="K61" s="18" t="n">
        <v>4</v>
      </c>
      <c r="L61" s="13" t="s">
        <v>58</v>
      </c>
      <c r="M61" s="13" t="n">
        <v>9.76</v>
      </c>
      <c r="N61" s="13" t="n">
        <v>5.02</v>
      </c>
      <c r="O61" s="13" t="n">
        <v>-0.11</v>
      </c>
      <c r="P61" s="13" t="n">
        <v>0.14</v>
      </c>
      <c r="Q61" s="13" t="n">
        <v>4.71</v>
      </c>
      <c r="R61" s="13" t="n">
        <v>-0.01</v>
      </c>
      <c r="S61" s="13" t="n">
        <v>0.007</v>
      </c>
    </row>
    <row r="62" customFormat="false" ht="12.8" hidden="false" customHeight="false" outlineLevel="0" collapsed="false">
      <c r="A62" s="1" t="n">
        <v>5.22</v>
      </c>
      <c r="B62" s="1" t="n">
        <v>0.05</v>
      </c>
      <c r="C62" s="1" t="n">
        <v>-0.15</v>
      </c>
      <c r="D62" s="1" t="n">
        <v>4.71</v>
      </c>
      <c r="E62" s="1" t="n">
        <v>-0.02</v>
      </c>
      <c r="F62" s="1" t="n">
        <v>-0.05</v>
      </c>
      <c r="G62" s="22" t="n">
        <v>9.75805582956147</v>
      </c>
      <c r="H62" s="1" t="n">
        <v>9.78</v>
      </c>
      <c r="I62" s="22" t="n">
        <v>0.0219441704385304</v>
      </c>
      <c r="K62" s="12" t="n">
        <v>4</v>
      </c>
      <c r="L62" s="13" t="s">
        <v>60</v>
      </c>
      <c r="M62" s="13" t="n">
        <v>9.81</v>
      </c>
      <c r="N62" s="13" t="n">
        <v>4.31</v>
      </c>
      <c r="O62" s="13" t="n">
        <v>0.13</v>
      </c>
      <c r="P62" s="13" t="n">
        <v>0.67</v>
      </c>
      <c r="Q62" s="13" t="n">
        <v>4.71</v>
      </c>
      <c r="R62" s="13" t="n">
        <v>-0.02</v>
      </c>
      <c r="S62" s="13" t="n">
        <v>0.007</v>
      </c>
    </row>
    <row r="63" customFormat="false" ht="12.8" hidden="false" customHeight="false" outlineLevel="0" collapsed="false">
      <c r="A63" s="1" t="n">
        <v>5.23</v>
      </c>
      <c r="B63" s="1" t="n">
        <v>0.06</v>
      </c>
      <c r="C63" s="1" t="n">
        <v>0.05</v>
      </c>
      <c r="D63" s="1" t="n">
        <v>4.71</v>
      </c>
      <c r="E63" s="1" t="n">
        <v>0.01</v>
      </c>
      <c r="F63" s="1" t="n">
        <v>0</v>
      </c>
      <c r="G63" s="22" t="n">
        <v>10.0640723773766</v>
      </c>
      <c r="H63" s="1" t="n">
        <v>10.06</v>
      </c>
      <c r="I63" s="22" t="n">
        <v>-0.00407237737658051</v>
      </c>
      <c r="K63" s="18" t="n">
        <v>4</v>
      </c>
      <c r="L63" s="13" t="s">
        <v>62</v>
      </c>
      <c r="M63" s="13" t="n">
        <v>9.85</v>
      </c>
      <c r="N63" s="13" t="n">
        <v>4.82</v>
      </c>
      <c r="O63" s="13" t="n">
        <v>-0.06</v>
      </c>
      <c r="P63" s="13" t="n">
        <v>0.41</v>
      </c>
      <c r="Q63" s="13" t="n">
        <v>4.71</v>
      </c>
      <c r="R63" s="13" t="n">
        <v>-0.04</v>
      </c>
      <c r="S63" s="13" t="n">
        <v>0.007</v>
      </c>
    </row>
    <row r="64" customFormat="false" ht="12.8" hidden="false" customHeight="false" outlineLevel="0" collapsed="false">
      <c r="A64" s="1" t="n">
        <v>5.22</v>
      </c>
      <c r="B64" s="1" t="n">
        <v>0.17</v>
      </c>
      <c r="C64" s="1" t="n">
        <v>0.16</v>
      </c>
      <c r="D64" s="1" t="n">
        <v>4.71</v>
      </c>
      <c r="E64" s="1" t="n">
        <v>0.02</v>
      </c>
      <c r="F64" s="1" t="n">
        <v>0.01</v>
      </c>
      <c r="G64" s="22" t="n">
        <v>10.296180274195</v>
      </c>
      <c r="H64" s="1" t="n">
        <v>10.29</v>
      </c>
      <c r="I64" s="22" t="n">
        <v>-0.00618027419499434</v>
      </c>
      <c r="K64" s="12" t="n">
        <v>4</v>
      </c>
      <c r="L64" s="13" t="s">
        <v>64</v>
      </c>
      <c r="M64" s="13" t="n">
        <v>9.51</v>
      </c>
      <c r="N64" s="13" t="n">
        <v>5.28</v>
      </c>
      <c r="O64" s="13" t="n">
        <v>-0.14</v>
      </c>
      <c r="P64" s="13" t="n">
        <v>-0.31</v>
      </c>
      <c r="Q64" s="13" t="n">
        <v>4.71</v>
      </c>
      <c r="R64" s="13" t="n">
        <v>0</v>
      </c>
      <c r="S64" s="13" t="n">
        <v>-0.032</v>
      </c>
    </row>
    <row r="65" customFormat="false" ht="12.8" hidden="false" customHeight="false" outlineLevel="0" collapsed="false">
      <c r="A65" s="1" t="n">
        <v>5.47</v>
      </c>
      <c r="B65" s="1" t="n">
        <v>0.03</v>
      </c>
      <c r="C65" s="1" t="n">
        <v>-0.01</v>
      </c>
      <c r="D65" s="1" t="n">
        <v>4.71</v>
      </c>
      <c r="E65" s="1" t="n">
        <v>0.04</v>
      </c>
      <c r="F65" s="1" t="n">
        <v>0.01</v>
      </c>
      <c r="G65" s="22" t="n">
        <v>10.2546857680593</v>
      </c>
      <c r="H65" s="1" t="n">
        <v>10.24</v>
      </c>
      <c r="I65" s="22" t="n">
        <v>-0.0146857680593371</v>
      </c>
      <c r="K65" s="18" t="n">
        <v>4</v>
      </c>
      <c r="L65" s="13" t="s">
        <v>66</v>
      </c>
      <c r="M65" s="13" t="n">
        <v>9.61</v>
      </c>
      <c r="N65" s="13" t="n">
        <v>4.88</v>
      </c>
      <c r="O65" s="13" t="n">
        <v>-0.09</v>
      </c>
      <c r="P65" s="13" t="n">
        <v>0.13</v>
      </c>
      <c r="Q65" s="13" t="n">
        <v>4.71</v>
      </c>
      <c r="R65" s="13" t="n">
        <v>0.02</v>
      </c>
      <c r="S65" s="13" t="n">
        <v>-0.051</v>
      </c>
    </row>
    <row r="66" customFormat="false" ht="12.8" hidden="false" customHeight="false" outlineLevel="0" collapsed="false">
      <c r="A66" s="1" t="n">
        <v>5.81</v>
      </c>
      <c r="B66" s="1" t="n">
        <v>-0.03</v>
      </c>
      <c r="C66" s="1" t="n">
        <v>-0.44</v>
      </c>
      <c r="D66" s="1" t="n">
        <v>4.71</v>
      </c>
      <c r="E66" s="1" t="n">
        <v>-0.03</v>
      </c>
      <c r="F66" s="1" t="n">
        <v>-0.01</v>
      </c>
      <c r="G66" s="22" t="n">
        <v>10.0110435346788</v>
      </c>
      <c r="H66" s="1" t="n">
        <v>10</v>
      </c>
      <c r="I66" s="22" t="n">
        <v>-0.0110435346787572</v>
      </c>
      <c r="K66" s="12" t="n">
        <v>4</v>
      </c>
      <c r="L66" s="13" t="s">
        <v>67</v>
      </c>
      <c r="M66" s="13" t="n">
        <v>9.89</v>
      </c>
      <c r="N66" s="13" t="n">
        <v>5.27</v>
      </c>
      <c r="O66" s="13" t="n">
        <v>-0.03</v>
      </c>
      <c r="P66" s="13" t="n">
        <v>0</v>
      </c>
      <c r="Q66" s="13" t="n">
        <v>4.71</v>
      </c>
      <c r="R66" s="13" t="n">
        <v>-0.06</v>
      </c>
      <c r="S66" s="13" t="n">
        <v>0.007</v>
      </c>
    </row>
    <row r="67" customFormat="false" ht="12.8" hidden="false" customHeight="false" outlineLevel="0" collapsed="false">
      <c r="A67" s="1" t="n">
        <v>5.96</v>
      </c>
      <c r="B67" s="1" t="n">
        <v>-0.01</v>
      </c>
      <c r="C67" s="1" t="n">
        <v>-0.52</v>
      </c>
      <c r="D67" s="1" t="n">
        <v>4.71</v>
      </c>
      <c r="E67" s="1" t="n">
        <v>-0.01</v>
      </c>
      <c r="F67" s="1" t="n">
        <v>-0.01</v>
      </c>
      <c r="G67" s="22" t="n">
        <v>10.1203504742736</v>
      </c>
      <c r="H67" s="1" t="n">
        <v>10.11</v>
      </c>
      <c r="I67" s="22" t="n">
        <v>-0.0103504742735812</v>
      </c>
      <c r="K67" s="18" t="n">
        <v>4</v>
      </c>
      <c r="L67" s="13" t="s">
        <v>69</v>
      </c>
      <c r="M67" s="13" t="n">
        <v>9.96</v>
      </c>
      <c r="N67" s="13" t="n">
        <v>5.4</v>
      </c>
      <c r="O67" s="13" t="n">
        <v>-0.12</v>
      </c>
      <c r="P67" s="13" t="n">
        <v>-0.03</v>
      </c>
      <c r="Q67" s="13" t="n">
        <v>4.71</v>
      </c>
      <c r="R67" s="13" t="n">
        <v>0</v>
      </c>
      <c r="S67" s="13" t="n">
        <v>0.007</v>
      </c>
    </row>
    <row r="68" customFormat="false" ht="12.8" hidden="false" customHeight="false" outlineLevel="0" collapsed="false">
      <c r="A68" s="1" t="n">
        <v>6.14</v>
      </c>
      <c r="B68" s="1" t="n">
        <v>-0.16</v>
      </c>
      <c r="C68" s="1" t="n">
        <v>-0.72</v>
      </c>
      <c r="D68" s="1" t="n">
        <v>4.71</v>
      </c>
      <c r="E68" s="1" t="n">
        <v>-0.01</v>
      </c>
      <c r="F68" s="1" t="n">
        <v>0.01</v>
      </c>
      <c r="G68" s="22" t="n">
        <v>9.97012211983139</v>
      </c>
      <c r="H68" s="1" t="n">
        <v>9.97</v>
      </c>
      <c r="I68" s="22" t="n">
        <v>-0.000122119831388545</v>
      </c>
      <c r="K68" s="12" t="n">
        <v>4</v>
      </c>
      <c r="L68" s="13" t="s">
        <v>75</v>
      </c>
      <c r="M68" s="13" t="n">
        <v>9.66</v>
      </c>
      <c r="N68" s="13" t="n">
        <v>5.37</v>
      </c>
      <c r="O68" s="13" t="n">
        <v>-0.14</v>
      </c>
      <c r="P68" s="13" t="n">
        <v>-0.18</v>
      </c>
      <c r="Q68" s="13" t="n">
        <v>4.71</v>
      </c>
      <c r="R68" s="13" t="n">
        <v>-0.09</v>
      </c>
      <c r="S68" s="13" t="n">
        <v>-0.021</v>
      </c>
    </row>
    <row r="69" customFormat="false" ht="12.8" hidden="false" customHeight="false" outlineLevel="0" collapsed="false">
      <c r="A69" s="1" t="n">
        <v>6.3</v>
      </c>
      <c r="B69" s="1" t="n">
        <v>-0.29</v>
      </c>
      <c r="C69" s="1" t="n">
        <v>-0.6</v>
      </c>
      <c r="D69" s="1" t="n">
        <v>4.71</v>
      </c>
      <c r="E69" s="1" t="n">
        <v>-0.02</v>
      </c>
      <c r="F69" s="1" t="n">
        <v>-0.06</v>
      </c>
      <c r="G69" s="22" t="n">
        <v>10.0373272903187</v>
      </c>
      <c r="H69" s="1" t="n">
        <v>10.03</v>
      </c>
      <c r="I69" s="22" t="n">
        <v>-0.00732729031872026</v>
      </c>
      <c r="K69" s="18" t="n">
        <v>4</v>
      </c>
      <c r="L69" s="13" t="s">
        <v>76</v>
      </c>
      <c r="M69" s="13" t="n">
        <v>9.67</v>
      </c>
      <c r="N69" s="13" t="n">
        <v>5.26</v>
      </c>
      <c r="O69" s="13" t="n">
        <v>-0.08</v>
      </c>
      <c r="P69" s="13" t="n">
        <v>-0.24</v>
      </c>
      <c r="Q69" s="13" t="n">
        <v>4.71</v>
      </c>
      <c r="R69" s="13" t="n">
        <v>0.03</v>
      </c>
      <c r="S69" s="13" t="n">
        <v>-0.011</v>
      </c>
    </row>
    <row r="70" customFormat="false" ht="12.8" hidden="false" customHeight="false" outlineLevel="0" collapsed="false">
      <c r="A70" s="1" t="n">
        <v>5.64</v>
      </c>
      <c r="B70" s="1" t="n">
        <v>0.06</v>
      </c>
      <c r="C70" s="1" t="n">
        <v>-0.2</v>
      </c>
      <c r="D70" s="1" t="n">
        <v>4.71</v>
      </c>
      <c r="E70" s="1" t="n">
        <v>-0.02</v>
      </c>
      <c r="F70" s="1" t="n">
        <v>-0.01</v>
      </c>
      <c r="G70" s="22" t="n">
        <v>10.1831462301571</v>
      </c>
      <c r="H70" s="1" t="n">
        <v>10.18</v>
      </c>
      <c r="I70" s="22" t="n">
        <v>-0.00314623015712989</v>
      </c>
      <c r="K70" s="12" t="n">
        <v>4</v>
      </c>
      <c r="L70" s="13" t="s">
        <v>78</v>
      </c>
      <c r="M70" s="13" t="n">
        <v>9.82</v>
      </c>
      <c r="N70" s="13" t="n">
        <v>5.21</v>
      </c>
      <c r="O70" s="13" t="n">
        <v>0.01</v>
      </c>
      <c r="P70" s="13" t="n">
        <v>-0.08</v>
      </c>
      <c r="Q70" s="13" t="n">
        <v>4.71</v>
      </c>
      <c r="R70" s="13" t="n">
        <v>-0.04</v>
      </c>
      <c r="S70" s="13" t="n">
        <v>-0.003</v>
      </c>
    </row>
    <row r="71" customFormat="false" ht="12.8" hidden="false" customHeight="false" outlineLevel="0" collapsed="false">
      <c r="A71" s="1" t="n">
        <v>5.41</v>
      </c>
      <c r="B71" s="1" t="n">
        <v>0.03</v>
      </c>
      <c r="C71" s="1" t="n">
        <v>-0.12</v>
      </c>
      <c r="D71" s="1" t="n">
        <v>4.71</v>
      </c>
      <c r="E71" s="1" t="n">
        <v>0</v>
      </c>
      <c r="F71" s="1" t="n">
        <v>0.01</v>
      </c>
      <c r="G71" s="22" t="n">
        <v>10.0438599510456</v>
      </c>
      <c r="H71" s="1" t="n">
        <v>10.04</v>
      </c>
      <c r="I71" s="22" t="n">
        <v>-0.0038599510456141</v>
      </c>
      <c r="K71" s="18" t="n">
        <v>4</v>
      </c>
      <c r="L71" s="13" t="s">
        <v>80</v>
      </c>
      <c r="M71" s="13" t="n">
        <v>9.75</v>
      </c>
      <c r="N71" s="13" t="n">
        <v>4.96</v>
      </c>
      <c r="O71" s="13" t="n">
        <v>-0.05</v>
      </c>
      <c r="P71" s="13" t="n">
        <v>0.1</v>
      </c>
      <c r="Q71" s="13" t="n">
        <v>4.71</v>
      </c>
      <c r="R71" s="13" t="n">
        <v>0.03</v>
      </c>
      <c r="S71" s="13" t="n">
        <v>-0.02</v>
      </c>
    </row>
    <row r="72" customFormat="false" ht="12.8" hidden="false" customHeight="false" outlineLevel="0" collapsed="false">
      <c r="A72" s="1" t="n">
        <v>5.87</v>
      </c>
      <c r="B72" s="1" t="n">
        <v>-0.2</v>
      </c>
      <c r="C72" s="1" t="n">
        <v>-0.15</v>
      </c>
      <c r="D72" s="1" t="n">
        <v>4.71</v>
      </c>
      <c r="E72" s="1" t="n">
        <v>-0.01</v>
      </c>
      <c r="F72" s="1" t="n">
        <v>0.01</v>
      </c>
      <c r="G72" s="22" t="n">
        <v>10.2362992251752</v>
      </c>
      <c r="H72" s="1" t="n">
        <v>10.22</v>
      </c>
      <c r="I72" s="22" t="n">
        <v>-0.0162992251752279</v>
      </c>
      <c r="K72" s="12" t="n">
        <v>4</v>
      </c>
      <c r="L72" s="13" t="s">
        <v>81</v>
      </c>
      <c r="M72" s="13" t="n">
        <v>9.93</v>
      </c>
      <c r="N72" s="13" t="n">
        <v>4.71</v>
      </c>
      <c r="O72" s="13" t="n">
        <v>0.2</v>
      </c>
      <c r="P72" s="13" t="n">
        <v>0.27</v>
      </c>
      <c r="Q72" s="13" t="n">
        <v>4.71</v>
      </c>
      <c r="R72" s="13" t="n">
        <v>0.02</v>
      </c>
      <c r="S72" s="13" t="n">
        <v>0.007</v>
      </c>
    </row>
    <row r="73" customFormat="false" ht="12.8" hidden="false" customHeight="false" outlineLevel="0" collapsed="false">
      <c r="A73" s="1" t="n">
        <v>6.14</v>
      </c>
      <c r="B73" s="1" t="n">
        <v>-0.11</v>
      </c>
      <c r="C73" s="1" t="n">
        <v>-0.43</v>
      </c>
      <c r="D73" s="1" t="n">
        <v>4.71</v>
      </c>
      <c r="E73" s="1" t="n">
        <v>-0.03</v>
      </c>
      <c r="F73" s="1" t="n">
        <v>0.01</v>
      </c>
      <c r="G73" s="22" t="n">
        <v>10.2947209651587</v>
      </c>
      <c r="H73" s="1" t="n">
        <v>10.29</v>
      </c>
      <c r="I73" s="22" t="n">
        <v>-0.00472096515869325</v>
      </c>
      <c r="K73" s="18" t="n">
        <v>4</v>
      </c>
      <c r="L73" s="13" t="s">
        <v>83</v>
      </c>
      <c r="M73" s="13" t="n">
        <v>9.91</v>
      </c>
      <c r="N73" s="13" t="n">
        <v>5.08</v>
      </c>
      <c r="O73" s="13" t="n">
        <v>0.03</v>
      </c>
      <c r="P73" s="13" t="n">
        <v>0.03</v>
      </c>
      <c r="Q73" s="13" t="n">
        <v>4.71</v>
      </c>
      <c r="R73" s="13" t="n">
        <v>0.05</v>
      </c>
      <c r="S73" s="13" t="n">
        <v>0.007</v>
      </c>
    </row>
    <row r="74" customFormat="false" ht="12.8" hidden="false" customHeight="false" outlineLevel="0" collapsed="false">
      <c r="A74" s="1" t="n">
        <v>6.02</v>
      </c>
      <c r="B74" s="1" t="n">
        <v>-0.07</v>
      </c>
      <c r="C74" s="1" t="n">
        <v>-0.33</v>
      </c>
      <c r="D74" s="1" t="n">
        <v>4.71</v>
      </c>
      <c r="E74" s="1" t="n">
        <v>-0.05</v>
      </c>
      <c r="F74" s="1" t="n">
        <v>0</v>
      </c>
      <c r="G74" s="22" t="n">
        <v>10.2851452437886</v>
      </c>
      <c r="H74" s="1" t="n">
        <v>10.28</v>
      </c>
      <c r="I74" s="22" t="n">
        <v>-0.00514524378859882</v>
      </c>
      <c r="K74" s="12" t="n">
        <v>4</v>
      </c>
      <c r="L74" s="13" t="s">
        <v>84</v>
      </c>
      <c r="M74" s="13" t="n">
        <v>9.83</v>
      </c>
      <c r="N74" s="13" t="n">
        <v>5.2</v>
      </c>
      <c r="O74" s="13" t="n">
        <v>0.07</v>
      </c>
      <c r="P74" s="13" t="n">
        <v>-0.15</v>
      </c>
      <c r="Q74" s="13" t="n">
        <v>4.71</v>
      </c>
      <c r="R74" s="13" t="n">
        <v>0.02</v>
      </c>
      <c r="S74" s="13" t="n">
        <v>-0.023</v>
      </c>
    </row>
    <row r="75" customFormat="false" ht="12.8" hidden="false" customHeight="false" outlineLevel="0" collapsed="false">
      <c r="A75" s="1" t="n">
        <v>5.93</v>
      </c>
      <c r="B75" s="1" t="n">
        <v>0.03</v>
      </c>
      <c r="C75" s="1" t="n">
        <v>-0.51</v>
      </c>
      <c r="D75" s="1" t="n">
        <v>4.71</v>
      </c>
      <c r="E75" s="1" t="n">
        <v>0.06</v>
      </c>
      <c r="F75" s="1" t="n">
        <v>0.01</v>
      </c>
      <c r="G75" s="22" t="n">
        <v>10.2300724497771</v>
      </c>
      <c r="H75" s="1" t="n">
        <v>10.22</v>
      </c>
      <c r="I75" s="22" t="n">
        <v>-0.0100724497770752</v>
      </c>
      <c r="K75" s="18" t="n">
        <v>4</v>
      </c>
      <c r="L75" s="13" t="s">
        <v>88</v>
      </c>
      <c r="M75" s="13" t="n">
        <v>9.95</v>
      </c>
      <c r="N75" s="13" t="n">
        <v>5.18</v>
      </c>
      <c r="O75" s="13" t="n">
        <v>0.07</v>
      </c>
      <c r="P75" s="13" t="n">
        <v>0.02</v>
      </c>
      <c r="Q75" s="13" t="n">
        <v>4.71</v>
      </c>
      <c r="R75" s="13" t="n">
        <v>-0.04</v>
      </c>
      <c r="S75" s="13" t="n">
        <v>0.007</v>
      </c>
    </row>
    <row r="76" customFormat="false" ht="12.8" hidden="false" customHeight="false" outlineLevel="0" collapsed="false">
      <c r="A76" s="1" t="n">
        <v>6.1</v>
      </c>
      <c r="B76" s="1" t="n">
        <v>-0.14</v>
      </c>
      <c r="C76" s="1" t="n">
        <v>-0.46</v>
      </c>
      <c r="D76" s="1" t="n">
        <v>4.71</v>
      </c>
      <c r="E76" s="1" t="n">
        <v>-0.04</v>
      </c>
      <c r="F76" s="1" t="n">
        <v>0.01</v>
      </c>
      <c r="G76" s="22" t="n">
        <v>10.1842933197969</v>
      </c>
      <c r="H76" s="1" t="n">
        <v>10.17</v>
      </c>
      <c r="I76" s="22" t="n">
        <v>-0.0142933197969448</v>
      </c>
      <c r="K76" s="12" t="n">
        <v>4</v>
      </c>
      <c r="L76" s="13" t="s">
        <v>89</v>
      </c>
      <c r="M76" s="13" t="n">
        <v>10.22</v>
      </c>
      <c r="N76" s="13" t="n">
        <v>5.18</v>
      </c>
      <c r="O76" s="13" t="n">
        <v>0.18</v>
      </c>
      <c r="P76" s="13" t="n">
        <v>0.15</v>
      </c>
      <c r="Q76" s="13" t="n">
        <v>4.71</v>
      </c>
      <c r="R76" s="13" t="n">
        <v>-0.01</v>
      </c>
      <c r="S76" s="13" t="n">
        <v>0.007</v>
      </c>
    </row>
    <row r="77" customFormat="false" ht="12.8" hidden="false" customHeight="false" outlineLevel="0" collapsed="false">
      <c r="A77" s="1" t="n">
        <v>5.84</v>
      </c>
      <c r="B77" s="1" t="n">
        <v>0.02</v>
      </c>
      <c r="C77" s="1" t="n">
        <v>-0.3</v>
      </c>
      <c r="D77" s="1" t="n">
        <v>4.71</v>
      </c>
      <c r="E77" s="1" t="n">
        <v>-0.04</v>
      </c>
      <c r="F77" s="1" t="n">
        <v>-0.01</v>
      </c>
      <c r="G77" s="22" t="n">
        <v>10.2234858190904</v>
      </c>
      <c r="H77" s="1" t="n">
        <v>10.22</v>
      </c>
      <c r="I77" s="22" t="n">
        <v>-0.00348581909044121</v>
      </c>
      <c r="K77" s="18" t="n">
        <v>4</v>
      </c>
      <c r="L77" s="13" t="s">
        <v>90</v>
      </c>
      <c r="M77" s="13" t="n">
        <v>10.13</v>
      </c>
      <c r="N77" s="13" t="n">
        <v>5.4</v>
      </c>
      <c r="O77" s="13" t="n">
        <v>0.03</v>
      </c>
      <c r="P77" s="13" t="n">
        <v>-0.01</v>
      </c>
      <c r="Q77" s="13" t="n">
        <v>4.71</v>
      </c>
      <c r="R77" s="13" t="n">
        <v>-0.01</v>
      </c>
      <c r="S77" s="13" t="n">
        <v>0.007</v>
      </c>
    </row>
    <row r="78" customFormat="false" ht="12.8" hidden="false" customHeight="false" outlineLevel="0" collapsed="false">
      <c r="A78" s="1" t="n">
        <v>7.05</v>
      </c>
      <c r="B78" s="1" t="n">
        <v>-0.19</v>
      </c>
      <c r="C78" s="1" t="n">
        <v>-0.79</v>
      </c>
      <c r="D78" s="1" t="n">
        <v>4.71</v>
      </c>
      <c r="E78" s="1" t="n">
        <v>-0.07</v>
      </c>
      <c r="F78" s="1" t="n">
        <v>-0.03</v>
      </c>
      <c r="G78" s="22" t="n">
        <v>10.6831502374993</v>
      </c>
      <c r="H78" s="1" t="n">
        <v>10.68</v>
      </c>
      <c r="I78" s="22" t="n">
        <v>-0.00315023749927157</v>
      </c>
      <c r="K78" s="12" t="n">
        <v>4</v>
      </c>
      <c r="L78" s="13" t="s">
        <v>91</v>
      </c>
      <c r="M78" s="13" t="n">
        <v>9.96</v>
      </c>
      <c r="N78" s="13" t="n">
        <v>5.79</v>
      </c>
      <c r="O78" s="13" t="n">
        <v>-0.02</v>
      </c>
      <c r="P78" s="13" t="n">
        <v>-0.44</v>
      </c>
      <c r="Q78" s="13" t="n">
        <v>4.71</v>
      </c>
      <c r="R78" s="13" t="n">
        <v>-0.07</v>
      </c>
      <c r="S78" s="13" t="n">
        <v>-0.012</v>
      </c>
    </row>
    <row r="79" customFormat="false" ht="12.8" hidden="false" customHeight="false" outlineLevel="0" collapsed="false">
      <c r="A79" s="1" t="n">
        <v>6.58</v>
      </c>
      <c r="B79" s="1" t="n">
        <v>-0.2</v>
      </c>
      <c r="C79" s="1" t="n">
        <v>-0.79</v>
      </c>
      <c r="D79" s="1" t="n">
        <v>4.71</v>
      </c>
      <c r="E79" s="1" t="n">
        <v>-0.01</v>
      </c>
      <c r="F79" s="1" t="n">
        <v>-0.02</v>
      </c>
      <c r="G79" s="22" t="n">
        <v>10.269437694204</v>
      </c>
      <c r="H79" s="1" t="n">
        <v>10.26</v>
      </c>
      <c r="I79" s="22" t="n">
        <v>-0.00943769420399931</v>
      </c>
      <c r="K79" s="18" t="n">
        <v>4</v>
      </c>
      <c r="L79" s="13" t="s">
        <v>92</v>
      </c>
      <c r="M79" s="13" t="n">
        <v>10.18</v>
      </c>
      <c r="N79" s="13" t="n">
        <v>5.96</v>
      </c>
      <c r="O79" s="13" t="n">
        <v>-0.03</v>
      </c>
      <c r="P79" s="13" t="n">
        <v>-0.48</v>
      </c>
      <c r="Q79" s="13" t="n">
        <v>4.71</v>
      </c>
      <c r="R79" s="13" t="n">
        <v>0.03</v>
      </c>
      <c r="S79" s="13" t="n">
        <v>0.003</v>
      </c>
    </row>
    <row r="80" customFormat="false" ht="12.8" hidden="false" customHeight="false" outlineLevel="0" collapsed="false">
      <c r="A80" s="1" t="n">
        <v>6.33</v>
      </c>
      <c r="B80" s="1" t="n">
        <v>-0.07</v>
      </c>
      <c r="C80" s="1" t="n">
        <v>-0.66</v>
      </c>
      <c r="D80" s="1" t="n">
        <v>4.71</v>
      </c>
      <c r="E80" s="1" t="n">
        <v>0.03</v>
      </c>
      <c r="F80" s="1" t="n">
        <v>-0.03</v>
      </c>
      <c r="G80" s="22" t="n">
        <v>10.307973844429</v>
      </c>
      <c r="H80" s="1" t="n">
        <v>10.29</v>
      </c>
      <c r="I80" s="22" t="n">
        <v>-0.0179738444290187</v>
      </c>
      <c r="K80" s="12" t="n">
        <v>4</v>
      </c>
      <c r="L80" s="13" t="s">
        <v>93</v>
      </c>
      <c r="M80" s="13" t="n">
        <v>9.94</v>
      </c>
      <c r="N80" s="13" t="n">
        <v>6.07</v>
      </c>
      <c r="O80" s="13" t="n">
        <v>-0.15</v>
      </c>
      <c r="P80" s="13" t="n">
        <v>-0.67</v>
      </c>
      <c r="Q80" s="13" t="n">
        <v>4.71</v>
      </c>
      <c r="R80" s="13" t="n">
        <v>-0.01</v>
      </c>
      <c r="S80" s="13" t="n">
        <v>0.007</v>
      </c>
    </row>
    <row r="81" customFormat="false" ht="12.8" hidden="false" customHeight="false" outlineLevel="0" collapsed="false">
      <c r="A81" s="1" t="n">
        <v>6.41</v>
      </c>
      <c r="B81" s="1" t="n">
        <v>-0.19</v>
      </c>
      <c r="C81" s="1" t="n">
        <v>-0.64</v>
      </c>
      <c r="D81" s="1" t="n">
        <v>4.71</v>
      </c>
      <c r="E81" s="1" t="n">
        <v>0.02</v>
      </c>
      <c r="F81" s="1" t="n">
        <v>-0.01</v>
      </c>
      <c r="G81" s="22" t="n">
        <v>10.3004712160564</v>
      </c>
      <c r="H81" s="1" t="n">
        <v>10.3</v>
      </c>
      <c r="I81" s="22" t="n">
        <v>-0.000471216056366686</v>
      </c>
      <c r="K81" s="18" t="n">
        <v>4</v>
      </c>
      <c r="L81" s="13" t="s">
        <v>94</v>
      </c>
      <c r="M81" s="13" t="n">
        <v>10.35</v>
      </c>
      <c r="N81" s="13" t="n">
        <v>6.4</v>
      </c>
      <c r="O81" s="13" t="n">
        <v>-0.29</v>
      </c>
      <c r="P81" s="13" t="n">
        <v>-0.55</v>
      </c>
      <c r="Q81" s="13" t="n">
        <v>4.71</v>
      </c>
      <c r="R81" s="13" t="n">
        <v>0.1</v>
      </c>
      <c r="S81" s="13" t="n">
        <v>-0.016</v>
      </c>
    </row>
    <row r="82" customFormat="false" ht="12.8" hidden="false" customHeight="false" outlineLevel="0" collapsed="false">
      <c r="A82" s="1" t="n">
        <v>6.14</v>
      </c>
      <c r="B82" s="1" t="n">
        <v>-0.08</v>
      </c>
      <c r="C82" s="1" t="n">
        <v>-0.85</v>
      </c>
      <c r="D82" s="1" t="n">
        <v>4.71</v>
      </c>
      <c r="E82" s="1" t="n">
        <v>-0.07</v>
      </c>
      <c r="F82" s="1" t="n">
        <v>-0.02</v>
      </c>
      <c r="G82" s="22" t="n">
        <v>9.82762305109892</v>
      </c>
      <c r="H82" s="1" t="n">
        <v>9.83</v>
      </c>
      <c r="I82" s="22" t="n">
        <v>0.00237694890108209</v>
      </c>
      <c r="K82" s="12" t="n">
        <v>4</v>
      </c>
      <c r="L82" s="13" t="s">
        <v>95</v>
      </c>
      <c r="M82" s="13" t="n">
        <v>10.25</v>
      </c>
      <c r="N82" s="13" t="n">
        <v>5.61</v>
      </c>
      <c r="O82" s="13" t="n">
        <v>0.07</v>
      </c>
      <c r="P82" s="13" t="n">
        <v>-0.18</v>
      </c>
      <c r="Q82" s="13" t="n">
        <v>4.71</v>
      </c>
      <c r="R82" s="13" t="n">
        <v>0.02</v>
      </c>
      <c r="S82" s="13" t="n">
        <v>0.007</v>
      </c>
    </row>
    <row r="83" customFormat="false" ht="12.8" hidden="false" customHeight="false" outlineLevel="0" collapsed="false">
      <c r="A83" s="1" t="n">
        <v>6.53</v>
      </c>
      <c r="B83" s="1" t="n">
        <v>-0.05</v>
      </c>
      <c r="C83" s="1" t="n">
        <v>-0.91</v>
      </c>
      <c r="D83" s="1" t="n">
        <v>4.71</v>
      </c>
      <c r="E83" s="1" t="n">
        <v>0.07</v>
      </c>
      <c r="F83" s="1" t="n">
        <v>0.01</v>
      </c>
      <c r="G83" s="22" t="n">
        <v>10.3578857734282</v>
      </c>
      <c r="H83" s="1" t="n">
        <v>10.36</v>
      </c>
      <c r="I83" s="22" t="n">
        <v>0.00211422657177884</v>
      </c>
      <c r="K83" s="18" t="n">
        <v>4</v>
      </c>
      <c r="L83" s="13" t="s">
        <v>97</v>
      </c>
      <c r="M83" s="13" t="n">
        <v>10.09</v>
      </c>
      <c r="N83" s="13" t="n">
        <v>5.41</v>
      </c>
      <c r="O83" s="13" t="n">
        <v>0.05</v>
      </c>
      <c r="P83" s="13" t="n">
        <v>-0.12</v>
      </c>
      <c r="Q83" s="13" t="n">
        <v>4.71</v>
      </c>
      <c r="R83" s="13" t="n">
        <v>0.03</v>
      </c>
      <c r="S83" s="13" t="n">
        <v>0.007</v>
      </c>
    </row>
    <row r="84" customFormat="false" ht="12.8" hidden="false" customHeight="false" outlineLevel="0" collapsed="false">
      <c r="A84" s="1" t="n">
        <v>6.56</v>
      </c>
      <c r="B84" s="1" t="n">
        <v>0.28</v>
      </c>
      <c r="C84" s="1" t="n">
        <v>-1.58</v>
      </c>
      <c r="D84" s="1" t="n">
        <v>4.71</v>
      </c>
      <c r="E84" s="1" t="n">
        <v>0.01</v>
      </c>
      <c r="F84" s="1" t="n">
        <v>-0.03</v>
      </c>
      <c r="G84" s="22" t="n">
        <v>9.93757644322875</v>
      </c>
      <c r="H84" s="1" t="n">
        <v>9.95</v>
      </c>
      <c r="I84" s="22" t="n">
        <v>0.0124235567712532</v>
      </c>
      <c r="K84" s="12" t="n">
        <v>4</v>
      </c>
      <c r="L84" s="13" t="s">
        <v>98</v>
      </c>
      <c r="M84" s="13" t="n">
        <v>10.15</v>
      </c>
      <c r="N84" s="13" t="n">
        <v>5.78</v>
      </c>
      <c r="O84" s="13" t="n">
        <v>-0.2</v>
      </c>
      <c r="P84" s="13" t="n">
        <v>-0.1</v>
      </c>
      <c r="Q84" s="13" t="n">
        <v>4.71</v>
      </c>
      <c r="R84" s="13" t="n">
        <v>-0.03</v>
      </c>
      <c r="S84" s="13" t="n">
        <v>-0.011</v>
      </c>
    </row>
    <row r="85" customFormat="false" ht="12.8" hidden="false" customHeight="false" outlineLevel="0" collapsed="false">
      <c r="A85" s="1" t="n">
        <v>6.26</v>
      </c>
      <c r="B85" s="1" t="n">
        <v>-0.31</v>
      </c>
      <c r="C85" s="1" t="n">
        <v>-0.26</v>
      </c>
      <c r="D85" s="1" t="n">
        <v>4.71</v>
      </c>
      <c r="E85" s="1" t="n">
        <v>-0.03</v>
      </c>
      <c r="F85" s="1" t="n">
        <v>0.007</v>
      </c>
      <c r="G85" s="22" t="n">
        <v>10.3843577909416</v>
      </c>
      <c r="H85" s="1" t="n">
        <v>10.39</v>
      </c>
      <c r="I85" s="22" t="n">
        <v>0.00564220905843094</v>
      </c>
      <c r="K85" s="18" t="n">
        <v>4</v>
      </c>
      <c r="L85" s="13" t="s">
        <v>99</v>
      </c>
      <c r="M85" s="13" t="n">
        <v>10.43</v>
      </c>
      <c r="N85" s="13" t="n">
        <v>6.17</v>
      </c>
      <c r="O85" s="13" t="n">
        <v>-0.11</v>
      </c>
      <c r="P85" s="13" t="n">
        <v>-0.38</v>
      </c>
      <c r="Q85" s="13" t="n">
        <v>4.71</v>
      </c>
      <c r="R85" s="13" t="n">
        <v>0.05</v>
      </c>
      <c r="S85" s="13" t="n">
        <v>-0.023</v>
      </c>
    </row>
    <row r="86" customFormat="false" ht="12.8" hidden="false" customHeight="false" outlineLevel="0" collapsed="false">
      <c r="A86" s="1" t="n">
        <v>6.37</v>
      </c>
      <c r="B86" s="1" t="n">
        <v>-0.3</v>
      </c>
      <c r="C86" s="1" t="n">
        <v>-0.81</v>
      </c>
      <c r="D86" s="1" t="n">
        <v>4.71</v>
      </c>
      <c r="E86" s="1" t="n">
        <v>0.04</v>
      </c>
      <c r="F86" s="1" t="n">
        <v>0.003</v>
      </c>
      <c r="G86" s="22" t="n">
        <v>10.0112548327364</v>
      </c>
      <c r="H86" s="1" t="n">
        <v>10.03</v>
      </c>
      <c r="I86" s="22" t="n">
        <v>0.0187451672636332</v>
      </c>
      <c r="K86" s="12" t="n">
        <v>4</v>
      </c>
      <c r="L86" s="13" t="s">
        <v>100</v>
      </c>
      <c r="M86" s="13" t="n">
        <v>10.34</v>
      </c>
      <c r="N86" s="13" t="n">
        <v>6</v>
      </c>
      <c r="O86" s="13" t="n">
        <v>-0.07</v>
      </c>
      <c r="P86" s="13" t="n">
        <v>-0.3</v>
      </c>
      <c r="Q86" s="13" t="n">
        <v>4.71</v>
      </c>
      <c r="R86" s="13" t="n">
        <v>-0.02</v>
      </c>
      <c r="S86" s="13" t="n">
        <v>0.007</v>
      </c>
    </row>
    <row r="87" customFormat="false" ht="12.8" hidden="false" customHeight="false" outlineLevel="0" collapsed="false">
      <c r="A87" s="1" t="n">
        <v>6.01</v>
      </c>
      <c r="B87" s="1" t="n">
        <v>-0.32</v>
      </c>
      <c r="C87" s="1" t="n">
        <v>-0.57</v>
      </c>
      <c r="D87" s="1" t="n">
        <v>4.71</v>
      </c>
      <c r="E87" s="1" t="n">
        <v>0.06</v>
      </c>
      <c r="F87" s="1" t="n">
        <v>0.007</v>
      </c>
      <c r="G87" s="22" t="n">
        <v>9.89611860112327</v>
      </c>
      <c r="H87" s="1" t="n">
        <v>9.91</v>
      </c>
      <c r="I87" s="22" t="n">
        <v>0.0138813988767286</v>
      </c>
      <c r="K87" s="18" t="n">
        <v>4</v>
      </c>
      <c r="L87" s="13" t="s">
        <v>101</v>
      </c>
      <c r="M87" s="13" t="n">
        <v>10.26</v>
      </c>
      <c r="N87" s="13" t="n">
        <v>5.89</v>
      </c>
      <c r="O87" s="13" t="n">
        <v>0.03</v>
      </c>
      <c r="P87" s="13" t="n">
        <v>-0.46</v>
      </c>
      <c r="Q87" s="13" t="n">
        <v>4.71</v>
      </c>
      <c r="R87" s="13" t="n">
        <v>0.07</v>
      </c>
      <c r="S87" s="13" t="n">
        <v>0.007</v>
      </c>
    </row>
    <row r="88" customFormat="false" ht="12.8" hidden="false" customHeight="false" outlineLevel="0" collapsed="false">
      <c r="A88" s="1" t="n">
        <v>5.91</v>
      </c>
      <c r="B88" s="1" t="n">
        <v>-0.17</v>
      </c>
      <c r="C88" s="1" t="n">
        <v>-0.32</v>
      </c>
      <c r="D88" s="1" t="n">
        <v>4.71</v>
      </c>
      <c r="E88" s="1" t="n">
        <v>0.07</v>
      </c>
      <c r="F88" s="1" t="n">
        <v>-0.017</v>
      </c>
      <c r="G88" s="22" t="n">
        <v>10.1829473534493</v>
      </c>
      <c r="H88" s="1" t="n">
        <v>10.18</v>
      </c>
      <c r="I88" s="22" t="n">
        <v>-0.00294735344931141</v>
      </c>
      <c r="K88" s="12" t="n">
        <v>4</v>
      </c>
      <c r="L88" s="13" t="s">
        <v>102</v>
      </c>
      <c r="M88" s="13" t="n">
        <v>10.3</v>
      </c>
      <c r="N88" s="13" t="n">
        <v>6.11</v>
      </c>
      <c r="O88" s="13" t="n">
        <v>-0.16</v>
      </c>
      <c r="P88" s="13" t="n">
        <v>-0.38</v>
      </c>
      <c r="Q88" s="13" t="n">
        <v>4.71</v>
      </c>
      <c r="R88" s="13" t="n">
        <v>0</v>
      </c>
      <c r="S88" s="13" t="n">
        <v>0.007</v>
      </c>
    </row>
    <row r="89" customFormat="false" ht="12.8" hidden="false" customHeight="false" outlineLevel="0" collapsed="false">
      <c r="A89" s="1" t="n">
        <v>6.99</v>
      </c>
      <c r="B89" s="1" t="n">
        <v>-0.63</v>
      </c>
      <c r="C89" s="1" t="n">
        <v>-0.8</v>
      </c>
      <c r="D89" s="1" t="n">
        <v>4.71</v>
      </c>
      <c r="E89" s="1" t="n">
        <v>0.02</v>
      </c>
      <c r="F89" s="1" t="n">
        <v>-0.028</v>
      </c>
      <c r="G89" s="22" t="n">
        <v>10.2619268514746</v>
      </c>
      <c r="H89" s="1" t="n">
        <v>10.27</v>
      </c>
      <c r="I89" s="22" t="n">
        <v>0.00807314852535335</v>
      </c>
      <c r="K89" s="18" t="n">
        <v>4</v>
      </c>
      <c r="L89" s="13" t="s">
        <v>103</v>
      </c>
      <c r="M89" s="13" t="n">
        <v>10.21</v>
      </c>
      <c r="N89" s="13" t="n">
        <v>5.79</v>
      </c>
      <c r="O89" s="13" t="n">
        <v>0.05</v>
      </c>
      <c r="P89" s="13" t="n">
        <v>-0.28</v>
      </c>
      <c r="Q89" s="13" t="n">
        <v>4.71</v>
      </c>
      <c r="R89" s="13" t="n">
        <v>-0.07</v>
      </c>
      <c r="S89" s="13" t="n">
        <v>0.007</v>
      </c>
    </row>
    <row r="90" customFormat="false" ht="12.8" hidden="false" customHeight="false" outlineLevel="0" collapsed="false">
      <c r="A90" s="1" t="n">
        <v>6.1</v>
      </c>
      <c r="B90" s="1" t="n">
        <v>-0.27</v>
      </c>
      <c r="C90" s="1" t="n">
        <v>-0.5</v>
      </c>
      <c r="D90" s="1" t="n">
        <v>4.71</v>
      </c>
      <c r="E90" s="1" t="n">
        <v>0</v>
      </c>
      <c r="F90" s="1" t="n">
        <v>-0.043</v>
      </c>
      <c r="G90" s="22" t="n">
        <v>9.99531815452999</v>
      </c>
      <c r="H90" s="1" t="n">
        <v>9.99</v>
      </c>
      <c r="I90" s="22" t="n">
        <v>-0.00531815452998963</v>
      </c>
      <c r="K90" s="12" t="n">
        <v>4</v>
      </c>
      <c r="L90" s="13" t="s">
        <v>104</v>
      </c>
      <c r="M90" s="13" t="n">
        <v>11</v>
      </c>
      <c r="N90" s="13" t="n">
        <v>7.13</v>
      </c>
      <c r="O90" s="13" t="n">
        <v>-0.19</v>
      </c>
      <c r="P90" s="13" t="n">
        <v>-0.74</v>
      </c>
      <c r="Q90" s="13" t="n">
        <v>4.71</v>
      </c>
      <c r="R90" s="13" t="n">
        <v>0.07</v>
      </c>
      <c r="S90" s="13" t="n">
        <v>0.007</v>
      </c>
    </row>
    <row r="91" customFormat="false" ht="12.8" hidden="false" customHeight="false" outlineLevel="0" collapsed="false">
      <c r="A91" s="1" t="n">
        <v>5.37</v>
      </c>
      <c r="B91" s="1" t="n">
        <v>-0.16</v>
      </c>
      <c r="C91" s="1" t="n">
        <v>-0.27</v>
      </c>
      <c r="D91" s="1" t="n">
        <v>4.71</v>
      </c>
      <c r="E91" s="1" t="n">
        <v>0.03</v>
      </c>
      <c r="F91" s="1" t="n">
        <v>-0.023</v>
      </c>
      <c r="G91" s="22" t="n">
        <v>9.65490867184098</v>
      </c>
      <c r="H91" s="1" t="n">
        <v>9.65</v>
      </c>
      <c r="I91" s="22" t="n">
        <v>-0.00490867184097432</v>
      </c>
      <c r="K91" s="18" t="n">
        <v>4</v>
      </c>
      <c r="L91" s="13" t="s">
        <v>105</v>
      </c>
      <c r="M91" s="13" t="n">
        <v>10.47</v>
      </c>
      <c r="N91" s="13" t="n">
        <v>6.62</v>
      </c>
      <c r="O91" s="13" t="n">
        <v>-0.21</v>
      </c>
      <c r="P91" s="13" t="n">
        <v>-0.74</v>
      </c>
      <c r="Q91" s="13" t="n">
        <v>4.71</v>
      </c>
      <c r="R91" s="13" t="n">
        <v>0.09</v>
      </c>
      <c r="S91" s="13" t="n">
        <v>-0.002</v>
      </c>
    </row>
    <row r="92" customFormat="false" ht="12.8" hidden="false" customHeight="false" outlineLevel="0" collapsed="false">
      <c r="A92" s="1" t="n">
        <v>5.05</v>
      </c>
      <c r="B92" s="1" t="n">
        <v>-0.04</v>
      </c>
      <c r="C92" s="1" t="n">
        <v>0.04</v>
      </c>
      <c r="D92" s="1" t="n">
        <v>4.71</v>
      </c>
      <c r="E92" s="1" t="n">
        <v>-0.01</v>
      </c>
      <c r="F92" s="1" t="n">
        <v>0.007</v>
      </c>
      <c r="G92" s="22" t="n">
        <v>9.76080561551876</v>
      </c>
      <c r="H92" s="1" t="n">
        <v>9.77</v>
      </c>
      <c r="I92" s="22" t="n">
        <v>0.00919438448124232</v>
      </c>
      <c r="K92" s="12" t="n">
        <v>4</v>
      </c>
      <c r="L92" s="13" t="s">
        <v>106</v>
      </c>
      <c r="M92" s="13" t="n">
        <v>10.45</v>
      </c>
      <c r="N92" s="13" t="n">
        <v>6.39</v>
      </c>
      <c r="O92" s="13" t="n">
        <v>-0.06</v>
      </c>
      <c r="P92" s="13" t="n">
        <v>-0.63</v>
      </c>
      <c r="Q92" s="13" t="n">
        <v>4.71</v>
      </c>
      <c r="R92" s="13" t="n">
        <v>0.08</v>
      </c>
      <c r="S92" s="13" t="n">
        <v>-0.037</v>
      </c>
    </row>
    <row r="93" customFormat="false" ht="12.8" hidden="false" customHeight="false" outlineLevel="0" collapsed="false">
      <c r="A93" s="1" t="n">
        <v>5.29</v>
      </c>
      <c r="B93" s="1" t="n">
        <v>-0.06</v>
      </c>
      <c r="C93" s="1" t="n">
        <v>-0.05</v>
      </c>
      <c r="D93" s="1" t="n">
        <v>4.71</v>
      </c>
      <c r="E93" s="1" t="n">
        <v>0.04</v>
      </c>
      <c r="F93" s="1" t="n">
        <v>-0.025</v>
      </c>
      <c r="G93" s="22" t="n">
        <v>9.90514141633621</v>
      </c>
      <c r="H93" s="1" t="n">
        <v>9.9</v>
      </c>
      <c r="I93" s="22" t="n">
        <v>-0.00514141633620469</v>
      </c>
      <c r="K93" s="18" t="n">
        <v>4</v>
      </c>
      <c r="L93" s="13" t="s">
        <v>107</v>
      </c>
      <c r="M93" s="13" t="n">
        <v>10.52</v>
      </c>
      <c r="N93" s="13" t="n">
        <v>6.49</v>
      </c>
      <c r="O93" s="13" t="n">
        <v>-0.21</v>
      </c>
      <c r="P93" s="13" t="n">
        <v>-0.6</v>
      </c>
      <c r="Q93" s="13" t="n">
        <v>4.71</v>
      </c>
      <c r="R93" s="13" t="n">
        <v>0.13</v>
      </c>
      <c r="S93" s="13" t="n">
        <v>-0.009</v>
      </c>
    </row>
    <row r="94" customFormat="false" ht="12.8" hidden="false" customHeight="false" outlineLevel="0" collapsed="false">
      <c r="A94" s="1" t="n">
        <v>5.15</v>
      </c>
      <c r="B94" s="1" t="n">
        <v>-0.02</v>
      </c>
      <c r="C94" s="1" t="n">
        <v>-0.08</v>
      </c>
      <c r="D94" s="1" t="n">
        <v>4.71</v>
      </c>
      <c r="E94" s="1" t="n">
        <v>-0.04</v>
      </c>
      <c r="F94" s="1" t="n">
        <v>0.007</v>
      </c>
      <c r="G94" s="22" t="n">
        <v>9.73058324720491</v>
      </c>
      <c r="H94" s="1" t="n">
        <v>9.73</v>
      </c>
      <c r="I94" s="22" t="n">
        <v>-0.00058324720491143</v>
      </c>
      <c r="K94" s="12" t="n">
        <v>4</v>
      </c>
      <c r="L94" s="13" t="s">
        <v>108</v>
      </c>
      <c r="M94" s="13" t="n">
        <v>10.14</v>
      </c>
      <c r="N94" s="13" t="n">
        <v>6.17</v>
      </c>
      <c r="O94" s="13" t="n">
        <v>-0.08</v>
      </c>
      <c r="P94" s="13" t="n">
        <v>-0.76</v>
      </c>
      <c r="Q94" s="13" t="n">
        <v>4.71</v>
      </c>
      <c r="R94" s="13" t="n">
        <v>0.1</v>
      </c>
      <c r="S94" s="13" t="n">
        <v>0.002</v>
      </c>
    </row>
    <row r="95" customFormat="false" ht="12.8" hidden="false" customHeight="false" outlineLevel="0" collapsed="false">
      <c r="A95" s="1" t="n">
        <v>4.91</v>
      </c>
      <c r="B95" s="1" t="n">
        <v>-0.02</v>
      </c>
      <c r="C95" s="1" t="n">
        <v>0.14</v>
      </c>
      <c r="D95" s="1" t="n">
        <v>4.71</v>
      </c>
      <c r="E95" s="1" t="n">
        <v>-0.04</v>
      </c>
      <c r="F95" s="1" t="n">
        <v>0.007</v>
      </c>
      <c r="G95" s="22" t="n">
        <v>9.71214675201796</v>
      </c>
      <c r="H95" s="1" t="n">
        <v>9.71</v>
      </c>
      <c r="I95" s="22" t="n">
        <v>-0.00214675201796055</v>
      </c>
      <c r="K95" s="18" t="n">
        <v>4</v>
      </c>
      <c r="L95" s="13" t="s">
        <v>109</v>
      </c>
      <c r="M95" s="13" t="n">
        <v>10.65</v>
      </c>
      <c r="N95" s="13" t="n">
        <v>6.62</v>
      </c>
      <c r="O95" s="13" t="n">
        <v>-0.03</v>
      </c>
      <c r="P95" s="13" t="n">
        <v>-0.85</v>
      </c>
      <c r="Q95" s="13" t="n">
        <v>4.71</v>
      </c>
      <c r="R95" s="13" t="n">
        <v>0.2</v>
      </c>
      <c r="S95" s="13" t="n">
        <v>0.007</v>
      </c>
    </row>
    <row r="96" customFormat="false" ht="12.8" hidden="false" customHeight="false" outlineLevel="0" collapsed="false">
      <c r="A96" s="1" t="n">
        <v>5.02</v>
      </c>
      <c r="B96" s="1" t="n">
        <v>-0.11</v>
      </c>
      <c r="C96" s="1" t="n">
        <v>0.14</v>
      </c>
      <c r="D96" s="1" t="n">
        <v>4.71</v>
      </c>
      <c r="E96" s="1" t="n">
        <v>-0.01</v>
      </c>
      <c r="F96" s="1" t="n">
        <v>0.007</v>
      </c>
      <c r="G96" s="22" t="n">
        <v>9.76192830334832</v>
      </c>
      <c r="H96" s="1" t="n">
        <v>9.76</v>
      </c>
      <c r="I96" s="22" t="n">
        <v>-0.00192830334832372</v>
      </c>
      <c r="K96" s="12" t="n">
        <v>4</v>
      </c>
      <c r="L96" s="13" t="s">
        <v>110</v>
      </c>
      <c r="M96" s="13" t="n">
        <v>10.09</v>
      </c>
      <c r="N96" s="13" t="n">
        <v>6.6</v>
      </c>
      <c r="O96" s="13" t="n">
        <v>0.3</v>
      </c>
      <c r="P96" s="13" t="n">
        <v>-1.56</v>
      </c>
      <c r="Q96" s="13" t="n">
        <v>4.71</v>
      </c>
      <c r="R96" s="13" t="n">
        <v>0.06</v>
      </c>
      <c r="S96" s="13" t="n">
        <v>-0.021</v>
      </c>
    </row>
    <row r="97" customFormat="false" ht="12.8" hidden="false" customHeight="false" outlineLevel="0" collapsed="false">
      <c r="A97" s="1" t="n">
        <v>4.31</v>
      </c>
      <c r="B97" s="1" t="n">
        <v>0.13</v>
      </c>
      <c r="C97" s="1" t="n">
        <v>0.67</v>
      </c>
      <c r="D97" s="1" t="n">
        <v>4.71</v>
      </c>
      <c r="E97" s="1" t="n">
        <v>-0.02</v>
      </c>
      <c r="F97" s="1" t="n">
        <v>0.007</v>
      </c>
      <c r="G97" s="22" t="n">
        <v>9.81540811576878</v>
      </c>
      <c r="H97" s="1" t="n">
        <v>9.81</v>
      </c>
      <c r="I97" s="22" t="n">
        <v>-0.00540811576878397</v>
      </c>
      <c r="K97" s="12" t="n">
        <v>5</v>
      </c>
      <c r="L97" s="13" t="s">
        <v>42</v>
      </c>
      <c r="M97" s="13" t="n">
        <v>10.29</v>
      </c>
      <c r="N97" s="13" t="n">
        <v>6.28</v>
      </c>
      <c r="O97" s="13" t="n">
        <v>-0.31</v>
      </c>
      <c r="P97" s="13" t="n">
        <v>-0.26</v>
      </c>
      <c r="Q97" s="13" t="n">
        <v>4.64</v>
      </c>
      <c r="R97" s="13" t="n">
        <v>-0.07</v>
      </c>
      <c r="S97" s="13" t="n">
        <v>0.01</v>
      </c>
    </row>
    <row r="98" customFormat="false" ht="12.8" hidden="false" customHeight="false" outlineLevel="0" collapsed="false">
      <c r="A98" s="1" t="n">
        <v>4.82</v>
      </c>
      <c r="B98" s="1" t="n">
        <v>-0.06</v>
      </c>
      <c r="C98" s="1" t="n">
        <v>0.41</v>
      </c>
      <c r="D98" s="1" t="n">
        <v>4.71</v>
      </c>
      <c r="E98" s="1" t="n">
        <v>-0.04</v>
      </c>
      <c r="F98" s="1" t="n">
        <v>0.007</v>
      </c>
      <c r="G98" s="22" t="n">
        <v>9.85528365637973</v>
      </c>
      <c r="H98" s="1" t="n">
        <v>9.85</v>
      </c>
      <c r="I98" s="22" t="n">
        <v>-0.00528365637972783</v>
      </c>
      <c r="K98" s="12" t="n">
        <v>5</v>
      </c>
      <c r="L98" s="13" t="s">
        <v>45</v>
      </c>
      <c r="M98" s="13" t="n">
        <v>9.79</v>
      </c>
      <c r="N98" s="13" t="n">
        <v>6.33</v>
      </c>
      <c r="O98" s="13" t="n">
        <v>-0.31</v>
      </c>
      <c r="P98" s="13" t="n">
        <v>-0.8</v>
      </c>
      <c r="Q98" s="13" t="n">
        <v>4.64</v>
      </c>
      <c r="R98" s="13" t="n">
        <v>-0.07</v>
      </c>
      <c r="S98" s="13" t="n">
        <v>0.01</v>
      </c>
    </row>
    <row r="99" customFormat="false" ht="12.8" hidden="false" customHeight="false" outlineLevel="0" collapsed="false">
      <c r="A99" s="1" t="n">
        <v>5.28</v>
      </c>
      <c r="B99" s="1" t="n">
        <v>-0.14</v>
      </c>
      <c r="C99" s="1" t="n">
        <v>-0.31</v>
      </c>
      <c r="D99" s="1" t="n">
        <v>4.71</v>
      </c>
      <c r="E99" s="1" t="n">
        <v>0</v>
      </c>
      <c r="F99" s="1" t="n">
        <v>-0.032</v>
      </c>
      <c r="G99" s="22" t="n">
        <v>9.50490557995458</v>
      </c>
      <c r="H99" s="1" t="n">
        <v>9.51</v>
      </c>
      <c r="I99" s="22" t="n">
        <v>0.00509442004541683</v>
      </c>
      <c r="K99" s="12" t="n">
        <v>5</v>
      </c>
      <c r="L99" s="13" t="s">
        <v>46</v>
      </c>
      <c r="M99" s="13" t="n">
        <v>9.77</v>
      </c>
      <c r="N99" s="13" t="n">
        <v>6</v>
      </c>
      <c r="O99" s="13" t="n">
        <v>-0.32</v>
      </c>
      <c r="P99" s="13" t="n">
        <v>-0.57</v>
      </c>
      <c r="Q99" s="13" t="n">
        <v>4.64</v>
      </c>
      <c r="R99" s="13" t="n">
        <v>0.01</v>
      </c>
      <c r="S99" s="13" t="n">
        <v>0.01</v>
      </c>
    </row>
    <row r="100" customFormat="false" ht="12.8" hidden="false" customHeight="false" outlineLevel="0" collapsed="false">
      <c r="A100" s="1" t="n">
        <v>4.88</v>
      </c>
      <c r="B100" s="1" t="n">
        <v>-0.09</v>
      </c>
      <c r="C100" s="1" t="n">
        <v>0.13</v>
      </c>
      <c r="D100" s="1" t="n">
        <v>4.71</v>
      </c>
      <c r="E100" s="1" t="n">
        <v>0.02</v>
      </c>
      <c r="F100" s="1" t="n">
        <v>-0.051</v>
      </c>
      <c r="G100" s="22" t="n">
        <v>9.59753588101668</v>
      </c>
      <c r="H100" s="1" t="n">
        <v>9.61</v>
      </c>
      <c r="I100" s="22" t="n">
        <v>0.0124641189833223</v>
      </c>
      <c r="K100" s="12" t="n">
        <v>5</v>
      </c>
      <c r="L100" s="13" t="s">
        <v>48</v>
      </c>
      <c r="M100" s="13" t="n">
        <v>10.05</v>
      </c>
      <c r="N100" s="13" t="n">
        <v>5.91</v>
      </c>
      <c r="O100" s="13" t="n">
        <v>-0.17</v>
      </c>
      <c r="P100" s="13" t="n">
        <v>-0.32</v>
      </c>
      <c r="Q100" s="13" t="n">
        <v>4.64</v>
      </c>
      <c r="R100" s="13" t="n">
        <v>0.01</v>
      </c>
      <c r="S100" s="13" t="n">
        <v>-0.012</v>
      </c>
    </row>
    <row r="101" customFormat="false" ht="12.8" hidden="false" customHeight="false" outlineLevel="0" collapsed="false">
      <c r="A101" s="1" t="n">
        <v>5.27</v>
      </c>
      <c r="B101" s="1" t="n">
        <v>-0.03</v>
      </c>
      <c r="C101" s="1" t="n">
        <v>0</v>
      </c>
      <c r="D101" s="1" t="n">
        <v>4.71</v>
      </c>
      <c r="E101" s="1" t="n">
        <v>-0.06</v>
      </c>
      <c r="F101" s="1" t="n">
        <v>0.007</v>
      </c>
      <c r="G101" s="22" t="n">
        <v>9.90295206249298</v>
      </c>
      <c r="H101" s="1" t="n">
        <v>9.89</v>
      </c>
      <c r="I101" s="22" t="n">
        <v>-0.0129520624929746</v>
      </c>
      <c r="K101" s="12" t="n">
        <v>5</v>
      </c>
      <c r="L101" s="13" t="s">
        <v>49</v>
      </c>
      <c r="M101" s="13" t="n">
        <v>9.86</v>
      </c>
      <c r="N101" s="13" t="n">
        <v>6.8</v>
      </c>
      <c r="O101" s="13" t="n">
        <v>-0.64</v>
      </c>
      <c r="P101" s="13" t="n">
        <v>-0.76</v>
      </c>
      <c r="Q101" s="13" t="n">
        <v>4.64</v>
      </c>
      <c r="R101" s="13" t="n">
        <v>-0.14</v>
      </c>
      <c r="S101" s="13" t="n">
        <v>-0.038</v>
      </c>
    </row>
    <row r="102" customFormat="false" ht="12.8" hidden="false" customHeight="false" outlineLevel="0" collapsed="false">
      <c r="A102" s="1" t="n">
        <v>5.4</v>
      </c>
      <c r="B102" s="1" t="n">
        <v>-0.12</v>
      </c>
      <c r="C102" s="1" t="n">
        <v>-0.03</v>
      </c>
      <c r="D102" s="1" t="n">
        <v>4.71</v>
      </c>
      <c r="E102" s="1" t="n">
        <v>0</v>
      </c>
      <c r="F102" s="1" t="n">
        <v>0.007</v>
      </c>
      <c r="G102" s="22" t="n">
        <v>9.97164250518378</v>
      </c>
      <c r="H102" s="1" t="n">
        <v>9.96</v>
      </c>
      <c r="I102" s="22" t="n">
        <v>-0.0116425051837812</v>
      </c>
      <c r="K102" s="12" t="n">
        <v>5</v>
      </c>
      <c r="L102" s="13" t="s">
        <v>50</v>
      </c>
      <c r="M102" s="13" t="n">
        <v>9.98</v>
      </c>
      <c r="N102" s="13" t="n">
        <v>6.15</v>
      </c>
      <c r="O102" s="13" t="n">
        <v>-0.28</v>
      </c>
      <c r="P102" s="13" t="n">
        <v>-0.48</v>
      </c>
      <c r="Q102" s="13" t="n">
        <v>4.64</v>
      </c>
      <c r="R102" s="13" t="n">
        <v>-0.01</v>
      </c>
      <c r="S102" s="13" t="n">
        <v>-0.043</v>
      </c>
    </row>
    <row r="103" customFormat="false" ht="12.8" hidden="false" customHeight="false" outlineLevel="0" collapsed="false">
      <c r="A103" s="1" t="n">
        <v>5.37</v>
      </c>
      <c r="B103" s="1" t="n">
        <v>-0.14</v>
      </c>
      <c r="C103" s="1" t="n">
        <v>-0.18</v>
      </c>
      <c r="D103" s="1" t="n">
        <v>4.71</v>
      </c>
      <c r="E103" s="1" t="n">
        <v>-0.09</v>
      </c>
      <c r="F103" s="1" t="n">
        <v>-0.021</v>
      </c>
      <c r="G103" s="22" t="n">
        <v>9.65153210466565</v>
      </c>
      <c r="H103" s="1" t="n">
        <v>9.66</v>
      </c>
      <c r="I103" s="22" t="n">
        <v>0.00846789533434667</v>
      </c>
      <c r="K103" s="12" t="n">
        <v>5</v>
      </c>
      <c r="L103" s="13" t="s">
        <v>51</v>
      </c>
      <c r="M103" s="13" t="n">
        <v>9.53</v>
      </c>
      <c r="N103" s="13" t="n">
        <v>5.42</v>
      </c>
      <c r="O103" s="13" t="n">
        <v>-0.18</v>
      </c>
      <c r="P103" s="13" t="n">
        <v>-0.27</v>
      </c>
      <c r="Q103" s="13" t="n">
        <v>4.64</v>
      </c>
      <c r="R103" s="13" t="n">
        <v>-0.06</v>
      </c>
      <c r="S103" s="13" t="n">
        <v>-0.019</v>
      </c>
      <c r="T103" s="15"/>
      <c r="U103" s="15"/>
      <c r="V103" s="15"/>
    </row>
    <row r="104" customFormat="false" ht="12.8" hidden="false" customHeight="false" outlineLevel="0" collapsed="false">
      <c r="A104" s="1" t="n">
        <v>5.26</v>
      </c>
      <c r="B104" s="1" t="n">
        <v>-0.08</v>
      </c>
      <c r="C104" s="1" t="n">
        <v>-0.24</v>
      </c>
      <c r="D104" s="1" t="n">
        <v>4.71</v>
      </c>
      <c r="E104" s="1" t="n">
        <v>0.03</v>
      </c>
      <c r="F104" s="1" t="n">
        <v>-0.011</v>
      </c>
      <c r="G104" s="22" t="n">
        <v>9.66768631184366</v>
      </c>
      <c r="H104" s="1" t="n">
        <v>9.67</v>
      </c>
      <c r="I104" s="22" t="n">
        <v>0.00231368815633815</v>
      </c>
      <c r="K104" s="12" t="n">
        <v>5</v>
      </c>
      <c r="L104" s="13" t="s">
        <v>52</v>
      </c>
      <c r="M104" s="13" t="n">
        <v>9.73</v>
      </c>
      <c r="N104" s="13" t="n">
        <v>5.12</v>
      </c>
      <c r="O104" s="13" t="n">
        <v>-0.04</v>
      </c>
      <c r="P104" s="13" t="n">
        <v>0.03</v>
      </c>
      <c r="Q104" s="13" t="n">
        <v>4.64</v>
      </c>
      <c r="R104" s="13" t="n">
        <v>-0.03</v>
      </c>
      <c r="S104" s="13" t="n">
        <v>0.01</v>
      </c>
      <c r="T104" s="15"/>
      <c r="U104" s="15"/>
      <c r="V104" s="15"/>
    </row>
    <row r="105" customFormat="false" ht="12.8" hidden="false" customHeight="false" outlineLevel="0" collapsed="false">
      <c r="A105" s="1" t="n">
        <v>5.21</v>
      </c>
      <c r="B105" s="1" t="n">
        <v>0.01</v>
      </c>
      <c r="C105" s="1" t="n">
        <v>-0.08</v>
      </c>
      <c r="D105" s="1" t="n">
        <v>4.71</v>
      </c>
      <c r="E105" s="1" t="n">
        <v>-0.04</v>
      </c>
      <c r="F105" s="1" t="n">
        <v>-0.003</v>
      </c>
      <c r="G105" s="22" t="n">
        <v>9.81019033600355</v>
      </c>
      <c r="H105" s="1" t="n">
        <v>9.82</v>
      </c>
      <c r="I105" s="22" t="n">
        <v>0.00980966399644778</v>
      </c>
      <c r="K105" s="12" t="n">
        <v>5</v>
      </c>
      <c r="L105" s="13" t="s">
        <v>53</v>
      </c>
      <c r="M105" s="13" t="n">
        <v>9.96</v>
      </c>
      <c r="N105" s="13" t="n">
        <v>5.4</v>
      </c>
      <c r="O105" s="13" t="n">
        <v>-0.06</v>
      </c>
      <c r="P105" s="13" t="n">
        <v>-0.05</v>
      </c>
      <c r="Q105" s="13" t="n">
        <v>4.64</v>
      </c>
      <c r="R105" s="13" t="n">
        <v>0.04</v>
      </c>
      <c r="S105" s="13" t="n">
        <v>-0.012</v>
      </c>
      <c r="T105" s="15"/>
      <c r="U105" s="15"/>
      <c r="V105" s="15"/>
    </row>
    <row r="106" customFormat="false" ht="12.8" hidden="false" customHeight="false" outlineLevel="0" collapsed="false">
      <c r="A106" s="1" t="n">
        <v>4.96</v>
      </c>
      <c r="B106" s="1" t="n">
        <v>-0.05</v>
      </c>
      <c r="C106" s="1" t="n">
        <v>0.1</v>
      </c>
      <c r="D106" s="1" t="n">
        <v>4.71</v>
      </c>
      <c r="E106" s="1" t="n">
        <v>0.03</v>
      </c>
      <c r="F106" s="1" t="n">
        <v>-0.02</v>
      </c>
      <c r="G106" s="22" t="n">
        <v>9.73085653087228</v>
      </c>
      <c r="H106" s="1" t="n">
        <v>9.75</v>
      </c>
      <c r="I106" s="22" t="n">
        <v>0.019143469127723</v>
      </c>
      <c r="K106" s="12" t="n">
        <v>5</v>
      </c>
      <c r="L106" s="13" t="s">
        <v>54</v>
      </c>
      <c r="M106" s="13" t="n">
        <v>9.76</v>
      </c>
      <c r="N106" s="13" t="n">
        <v>5.21</v>
      </c>
      <c r="O106" s="13" t="n">
        <v>-0.02</v>
      </c>
      <c r="P106" s="13" t="n">
        <v>-0.08</v>
      </c>
      <c r="Q106" s="13" t="n">
        <v>4.64</v>
      </c>
      <c r="R106" s="13" t="n">
        <v>0</v>
      </c>
      <c r="S106" s="13" t="n">
        <v>0.01</v>
      </c>
      <c r="T106" s="15"/>
      <c r="U106" s="15"/>
      <c r="V106" s="15"/>
    </row>
    <row r="107" customFormat="false" ht="12.8" hidden="false" customHeight="false" outlineLevel="0" collapsed="false">
      <c r="A107" s="1" t="n">
        <v>4.71</v>
      </c>
      <c r="B107" s="1" t="n">
        <v>0.2</v>
      </c>
      <c r="C107" s="1" t="n">
        <v>0.27</v>
      </c>
      <c r="D107" s="1" t="n">
        <v>4.71</v>
      </c>
      <c r="E107" s="1" t="n">
        <v>0.02</v>
      </c>
      <c r="F107" s="1" t="n">
        <v>0.007</v>
      </c>
      <c r="G107" s="22" t="n">
        <v>9.92135095600019</v>
      </c>
      <c r="H107" s="1" t="n">
        <v>9.93</v>
      </c>
      <c r="I107" s="22" t="n">
        <v>0.00864904399980659</v>
      </c>
      <c r="K107" s="12" t="n">
        <v>5</v>
      </c>
      <c r="L107" s="13" t="s">
        <v>56</v>
      </c>
      <c r="M107" s="13" t="n">
        <v>9.82</v>
      </c>
      <c r="N107" s="13" t="n">
        <v>5.03</v>
      </c>
      <c r="O107" s="13" t="n">
        <v>-0.01</v>
      </c>
      <c r="P107" s="13" t="n">
        <v>0.14</v>
      </c>
      <c r="Q107" s="13" t="n">
        <v>4.64</v>
      </c>
      <c r="R107" s="13" t="n">
        <v>0.01</v>
      </c>
      <c r="S107" s="13" t="n">
        <v>0.01</v>
      </c>
      <c r="T107" s="15"/>
      <c r="U107" s="15"/>
      <c r="V107" s="15"/>
    </row>
    <row r="108" customFormat="false" ht="12.8" hidden="false" customHeight="false" outlineLevel="0" collapsed="false">
      <c r="A108" s="1" t="n">
        <v>5.08</v>
      </c>
      <c r="B108" s="1" t="n">
        <v>0.03</v>
      </c>
      <c r="C108" s="1" t="n">
        <v>0.03</v>
      </c>
      <c r="D108" s="1" t="n">
        <v>4.71</v>
      </c>
      <c r="E108" s="1" t="n">
        <v>0.05</v>
      </c>
      <c r="F108" s="1" t="n">
        <v>0.007</v>
      </c>
      <c r="G108" s="22" t="n">
        <v>9.90932913308034</v>
      </c>
      <c r="H108" s="1" t="n">
        <v>9.91</v>
      </c>
      <c r="I108" s="22" t="n">
        <v>0.000670866919660895</v>
      </c>
      <c r="K108" s="12" t="n">
        <v>5</v>
      </c>
      <c r="L108" s="13" t="s">
        <v>58</v>
      </c>
      <c r="M108" s="13" t="n">
        <v>9.87</v>
      </c>
      <c r="N108" s="13" t="n">
        <v>5.16</v>
      </c>
      <c r="O108" s="13" t="n">
        <v>-0.1</v>
      </c>
      <c r="P108" s="13" t="n">
        <v>0.13</v>
      </c>
      <c r="Q108" s="13" t="n">
        <v>4.64</v>
      </c>
      <c r="R108" s="13" t="n">
        <v>0.03</v>
      </c>
      <c r="S108" s="13" t="n">
        <v>0.01</v>
      </c>
      <c r="T108" s="15"/>
      <c r="U108" s="15"/>
      <c r="V108" s="15"/>
    </row>
    <row r="109" customFormat="false" ht="12.8" hidden="false" customHeight="false" outlineLevel="0" collapsed="false">
      <c r="A109" s="1" t="n">
        <v>5.2</v>
      </c>
      <c r="B109" s="1" t="n">
        <v>0.07</v>
      </c>
      <c r="C109" s="1" t="n">
        <v>-0.15</v>
      </c>
      <c r="D109" s="1" t="n">
        <v>4.71</v>
      </c>
      <c r="E109" s="1" t="n">
        <v>0.02</v>
      </c>
      <c r="F109" s="1" t="n">
        <v>-0.023</v>
      </c>
      <c r="G109" s="22" t="n">
        <v>9.8260356622181</v>
      </c>
      <c r="H109" s="1" t="n">
        <v>9.83</v>
      </c>
      <c r="I109" s="22" t="n">
        <v>0.00396433778190364</v>
      </c>
      <c r="K109" s="12" t="n">
        <v>5</v>
      </c>
      <c r="L109" s="13" t="s">
        <v>60</v>
      </c>
      <c r="M109" s="13" t="n">
        <v>10</v>
      </c>
      <c r="N109" s="13" t="n">
        <v>4.47</v>
      </c>
      <c r="O109" s="13" t="n">
        <v>0.14</v>
      </c>
      <c r="P109" s="13" t="n">
        <v>0.67</v>
      </c>
      <c r="Q109" s="13" t="n">
        <v>4.64</v>
      </c>
      <c r="R109" s="13" t="n">
        <v>0.07</v>
      </c>
      <c r="S109" s="13" t="n">
        <v>0.01</v>
      </c>
      <c r="T109" s="15"/>
      <c r="U109" s="15"/>
      <c r="V109" s="15"/>
    </row>
    <row r="110" customFormat="false" ht="12.8" hidden="false" customHeight="false" outlineLevel="0" collapsed="false">
      <c r="A110" s="1" t="n">
        <v>5.18</v>
      </c>
      <c r="B110" s="1" t="n">
        <v>0.07</v>
      </c>
      <c r="C110" s="1" t="n">
        <v>0.02</v>
      </c>
      <c r="D110" s="1" t="n">
        <v>4.71</v>
      </c>
      <c r="E110" s="1" t="n">
        <v>-0.04</v>
      </c>
      <c r="F110" s="1" t="n">
        <v>0.007</v>
      </c>
      <c r="G110" s="22" t="n">
        <v>9.9522489634903</v>
      </c>
      <c r="H110" s="1" t="n">
        <v>9.95</v>
      </c>
      <c r="I110" s="22" t="n">
        <v>-0.00224896349030423</v>
      </c>
      <c r="K110" s="12" t="n">
        <v>5</v>
      </c>
      <c r="L110" s="13" t="s">
        <v>62</v>
      </c>
      <c r="M110" s="13" t="n">
        <v>10.02</v>
      </c>
      <c r="N110" s="13" t="n">
        <v>5</v>
      </c>
      <c r="O110" s="13" t="n">
        <v>-0.06</v>
      </c>
      <c r="P110" s="13" t="n">
        <v>0.39</v>
      </c>
      <c r="Q110" s="13" t="n">
        <v>4.64</v>
      </c>
      <c r="R110" s="13" t="n">
        <v>0.03</v>
      </c>
      <c r="S110" s="13" t="n">
        <v>0.01</v>
      </c>
      <c r="T110" s="15"/>
      <c r="U110" s="15"/>
      <c r="V110" s="15"/>
    </row>
    <row r="111" customFormat="false" ht="12.8" hidden="false" customHeight="false" outlineLevel="0" collapsed="false">
      <c r="A111" s="1" t="n">
        <v>5.18</v>
      </c>
      <c r="B111" s="1" t="n">
        <v>0.18</v>
      </c>
      <c r="C111" s="1" t="n">
        <v>0.15</v>
      </c>
      <c r="D111" s="1" t="n">
        <v>4.71</v>
      </c>
      <c r="E111" s="1" t="n">
        <v>-0.01</v>
      </c>
      <c r="F111" s="1" t="n">
        <v>0.007</v>
      </c>
      <c r="G111" s="22" t="n">
        <v>10.2233669113525</v>
      </c>
      <c r="H111" s="1" t="n">
        <v>10.22</v>
      </c>
      <c r="I111" s="22" t="n">
        <v>-0.00336691135245992</v>
      </c>
      <c r="K111" s="12" t="n">
        <v>5</v>
      </c>
      <c r="L111" s="13" t="s">
        <v>64</v>
      </c>
      <c r="M111" s="13" t="n">
        <v>9.33</v>
      </c>
      <c r="N111" s="13" t="n">
        <v>5.24</v>
      </c>
      <c r="O111" s="13" t="n">
        <v>-0.14</v>
      </c>
      <c r="P111" s="13" t="n">
        <v>-0.3</v>
      </c>
      <c r="Q111" s="13" t="n">
        <v>4.64</v>
      </c>
      <c r="R111" s="13" t="n">
        <v>-0.1</v>
      </c>
      <c r="S111" s="13" t="n">
        <v>-0.009</v>
      </c>
      <c r="T111" s="15"/>
      <c r="U111" s="15"/>
      <c r="V111" s="15"/>
    </row>
    <row r="112" customFormat="false" ht="12.8" hidden="false" customHeight="false" outlineLevel="0" collapsed="false">
      <c r="A112" s="1" t="n">
        <v>5.4</v>
      </c>
      <c r="B112" s="1" t="n">
        <v>0.03</v>
      </c>
      <c r="C112" s="1" t="n">
        <v>-0.01</v>
      </c>
      <c r="D112" s="1" t="n">
        <v>4.71</v>
      </c>
      <c r="E112" s="1" t="n">
        <v>-0.01</v>
      </c>
      <c r="F112" s="1" t="n">
        <v>0.007</v>
      </c>
      <c r="G112" s="22" t="n">
        <v>10.1323478831075</v>
      </c>
      <c r="H112" s="1" t="n">
        <v>10.13</v>
      </c>
      <c r="I112" s="22" t="n">
        <v>-0.00234788310747724</v>
      </c>
      <c r="K112" s="12" t="n">
        <v>5</v>
      </c>
      <c r="L112" s="13" t="s">
        <v>66</v>
      </c>
      <c r="M112" s="13" t="n">
        <v>9.57</v>
      </c>
      <c r="N112" s="13" t="n">
        <v>4.94</v>
      </c>
      <c r="O112" s="13" t="n">
        <v>-0.09</v>
      </c>
      <c r="P112" s="13" t="n">
        <v>0.11</v>
      </c>
      <c r="Q112" s="13" t="n">
        <v>4.64</v>
      </c>
      <c r="R112" s="13" t="n">
        <v>-0.05</v>
      </c>
      <c r="S112" s="13" t="n">
        <v>0.01</v>
      </c>
      <c r="T112" s="15"/>
      <c r="U112" s="15"/>
      <c r="V112" s="15"/>
    </row>
    <row r="113" customFormat="false" ht="12.8" hidden="false" customHeight="false" outlineLevel="0" collapsed="false">
      <c r="A113" s="1" t="n">
        <v>5.79</v>
      </c>
      <c r="B113" s="1" t="n">
        <v>-0.02</v>
      </c>
      <c r="C113" s="1" t="n">
        <v>-0.44</v>
      </c>
      <c r="D113" s="1" t="n">
        <v>4.71</v>
      </c>
      <c r="E113" s="1" t="n">
        <v>-0.07</v>
      </c>
      <c r="F113" s="1" t="n">
        <v>-0.012</v>
      </c>
      <c r="G113" s="22" t="n">
        <v>9.95983784752782</v>
      </c>
      <c r="H113" s="1" t="n">
        <v>9.96</v>
      </c>
      <c r="I113" s="22" t="n">
        <v>0.000162152472176658</v>
      </c>
      <c r="K113" s="12" t="n">
        <v>5</v>
      </c>
      <c r="L113" s="13" t="s">
        <v>67</v>
      </c>
      <c r="M113" s="13" t="n">
        <v>9.66</v>
      </c>
      <c r="N113" s="13" t="n">
        <v>5.26</v>
      </c>
      <c r="O113" s="13" t="n">
        <v>-0.03</v>
      </c>
      <c r="P113" s="13" t="n">
        <v>0</v>
      </c>
      <c r="Q113" s="13" t="n">
        <v>4.64</v>
      </c>
      <c r="R113" s="13" t="n">
        <v>-0.19</v>
      </c>
      <c r="S113" s="13" t="n">
        <v>-0.022</v>
      </c>
      <c r="T113" s="15"/>
      <c r="U113" s="15"/>
      <c r="V113" s="15"/>
    </row>
    <row r="114" customFormat="false" ht="12.8" hidden="false" customHeight="false" outlineLevel="0" collapsed="false">
      <c r="A114" s="1" t="n">
        <v>5.96</v>
      </c>
      <c r="B114" s="1" t="n">
        <v>-0.03</v>
      </c>
      <c r="C114" s="1" t="n">
        <v>-0.48</v>
      </c>
      <c r="D114" s="1" t="n">
        <v>4.71</v>
      </c>
      <c r="E114" s="1" t="n">
        <v>0.03</v>
      </c>
      <c r="F114" s="1" t="n">
        <v>0.003</v>
      </c>
      <c r="G114" s="22" t="n">
        <v>10.1938502496925</v>
      </c>
      <c r="H114" s="1" t="n">
        <v>10.18</v>
      </c>
      <c r="I114" s="22" t="n">
        <v>-0.0138502496924797</v>
      </c>
      <c r="K114" s="12" t="n">
        <v>5</v>
      </c>
      <c r="L114" s="13" t="s">
        <v>69</v>
      </c>
      <c r="M114" s="13" t="n">
        <v>9.91</v>
      </c>
      <c r="N114" s="13" t="n">
        <v>5.47</v>
      </c>
      <c r="O114" s="13" t="n">
        <v>-0.13</v>
      </c>
      <c r="P114" s="13" t="n">
        <v>-0.03</v>
      </c>
      <c r="Q114" s="13" t="n">
        <v>4.64</v>
      </c>
      <c r="R114" s="13" t="n">
        <v>-0.03</v>
      </c>
      <c r="S114" s="13" t="n">
        <v>-0.015</v>
      </c>
      <c r="T114" s="15"/>
      <c r="U114" s="15"/>
      <c r="V114" s="15"/>
    </row>
    <row r="115" customFormat="false" ht="12.8" hidden="false" customHeight="false" outlineLevel="0" collapsed="false">
      <c r="A115" s="1" t="n">
        <v>6.07</v>
      </c>
      <c r="B115" s="1" t="n">
        <v>-0.15</v>
      </c>
      <c r="C115" s="1" t="n">
        <v>-0.67</v>
      </c>
      <c r="D115" s="1" t="n">
        <v>4.71</v>
      </c>
      <c r="E115" s="1" t="n">
        <v>-0.01</v>
      </c>
      <c r="F115" s="1" t="n">
        <v>0.007</v>
      </c>
      <c r="G115" s="22" t="n">
        <v>9.95715437441826</v>
      </c>
      <c r="H115" s="1" t="n">
        <v>9.94</v>
      </c>
      <c r="I115" s="22" t="n">
        <v>-0.0171543744182596</v>
      </c>
      <c r="K115" s="12" t="n">
        <v>5</v>
      </c>
      <c r="L115" s="13" t="s">
        <v>75</v>
      </c>
      <c r="M115" s="13" t="n">
        <v>9.67</v>
      </c>
      <c r="N115" s="13" t="n">
        <v>5.43</v>
      </c>
      <c r="O115" s="13" t="n">
        <v>-0.15</v>
      </c>
      <c r="P115" s="13" t="n">
        <v>-0.16</v>
      </c>
      <c r="Q115" s="13" t="n">
        <v>4.64</v>
      </c>
      <c r="R115" s="13" t="n">
        <v>-0.1</v>
      </c>
      <c r="S115" s="13" t="n">
        <v>0.01</v>
      </c>
      <c r="T115" s="15"/>
      <c r="U115" s="15"/>
      <c r="V115" s="15"/>
    </row>
    <row r="116" customFormat="false" ht="12.8" hidden="false" customHeight="false" outlineLevel="0" collapsed="false">
      <c r="A116" s="1" t="n">
        <v>6.4</v>
      </c>
      <c r="B116" s="1" t="n">
        <v>-0.29</v>
      </c>
      <c r="C116" s="1" t="n">
        <v>-0.55</v>
      </c>
      <c r="D116" s="1" t="n">
        <v>4.71</v>
      </c>
      <c r="E116" s="1" t="n">
        <v>0.1</v>
      </c>
      <c r="F116" s="1" t="n">
        <v>-0.016</v>
      </c>
      <c r="G116" s="22" t="n">
        <v>10.3529374523452</v>
      </c>
      <c r="H116" s="1" t="n">
        <v>10.35</v>
      </c>
      <c r="I116" s="22" t="n">
        <v>-0.00293745234524323</v>
      </c>
      <c r="K116" s="12" t="n">
        <v>5</v>
      </c>
      <c r="L116" s="13" t="s">
        <v>76</v>
      </c>
      <c r="M116" s="13" t="n">
        <v>9.49</v>
      </c>
      <c r="N116" s="13" t="n">
        <v>5.24</v>
      </c>
      <c r="O116" s="13" t="n">
        <v>-0.08</v>
      </c>
      <c r="P116" s="13" t="n">
        <v>-0.2</v>
      </c>
      <c r="Q116" s="13" t="n">
        <v>4.64</v>
      </c>
      <c r="R116" s="13" t="n">
        <v>-0.07</v>
      </c>
      <c r="S116" s="13" t="n">
        <v>-0.037</v>
      </c>
      <c r="T116" s="15"/>
      <c r="U116" s="15"/>
      <c r="V116" s="15"/>
    </row>
    <row r="117" customFormat="false" ht="12.8" hidden="false" customHeight="false" outlineLevel="0" collapsed="false">
      <c r="A117" s="1" t="n">
        <v>5.61</v>
      </c>
      <c r="B117" s="1" t="n">
        <v>0.07</v>
      </c>
      <c r="C117" s="1" t="n">
        <v>-0.18</v>
      </c>
      <c r="D117" s="1" t="n">
        <v>4.71</v>
      </c>
      <c r="E117" s="1" t="n">
        <v>0.02</v>
      </c>
      <c r="F117" s="1" t="n">
        <v>0.007</v>
      </c>
      <c r="G117" s="22" t="n">
        <v>10.2405349174898</v>
      </c>
      <c r="H117" s="1" t="n">
        <v>10.25</v>
      </c>
      <c r="I117" s="22" t="n">
        <v>0.00946508251022671</v>
      </c>
      <c r="K117" s="12" t="n">
        <v>5</v>
      </c>
      <c r="L117" s="13" t="s">
        <v>78</v>
      </c>
      <c r="M117" s="13" t="n">
        <v>9.8</v>
      </c>
      <c r="N117" s="13" t="n">
        <v>5.31</v>
      </c>
      <c r="O117" s="13" t="n">
        <v>0.01</v>
      </c>
      <c r="P117" s="13" t="n">
        <v>-0.09</v>
      </c>
      <c r="Q117" s="13" t="n">
        <v>4.64</v>
      </c>
      <c r="R117" s="13" t="n">
        <v>0.02</v>
      </c>
      <c r="S117" s="13" t="n">
        <v>-0.084</v>
      </c>
      <c r="T117" s="15"/>
      <c r="U117" s="15"/>
      <c r="V117" s="15"/>
    </row>
    <row r="118" customFormat="false" ht="12.8" hidden="false" customHeight="false" outlineLevel="0" collapsed="false">
      <c r="A118" s="1" t="n">
        <v>5.41</v>
      </c>
      <c r="B118" s="1" t="n">
        <v>0.05</v>
      </c>
      <c r="C118" s="1" t="n">
        <v>-0.12</v>
      </c>
      <c r="D118" s="1" t="n">
        <v>4.71</v>
      </c>
      <c r="E118" s="1" t="n">
        <v>0.03</v>
      </c>
      <c r="F118" s="1" t="n">
        <v>0.007</v>
      </c>
      <c r="G118" s="22" t="n">
        <v>10.0898435568987</v>
      </c>
      <c r="H118" s="1" t="n">
        <v>10.09</v>
      </c>
      <c r="I118" s="22" t="n">
        <v>0.00015644310128593</v>
      </c>
      <c r="K118" s="12" t="n">
        <v>5</v>
      </c>
      <c r="L118" s="13" t="s">
        <v>80</v>
      </c>
      <c r="M118" s="13" t="n">
        <v>9.75</v>
      </c>
      <c r="N118" s="13" t="n">
        <v>5.03</v>
      </c>
      <c r="O118" s="13" t="n">
        <v>-0.04</v>
      </c>
      <c r="P118" s="13" t="n">
        <v>0.11</v>
      </c>
      <c r="Q118" s="13" t="n">
        <v>4.64</v>
      </c>
      <c r="R118" s="13" t="n">
        <v>0.03</v>
      </c>
      <c r="S118" s="13" t="n">
        <v>-0.013</v>
      </c>
      <c r="T118" s="15"/>
      <c r="U118" s="15"/>
      <c r="V118" s="15"/>
    </row>
    <row r="119" customFormat="false" ht="12.8" hidden="false" customHeight="false" outlineLevel="0" collapsed="false">
      <c r="A119" s="1" t="n">
        <v>5.78</v>
      </c>
      <c r="B119" s="1" t="n">
        <v>-0.2</v>
      </c>
      <c r="C119" s="1" t="n">
        <v>-0.1</v>
      </c>
      <c r="D119" s="1" t="n">
        <v>4.71</v>
      </c>
      <c r="E119" s="1" t="n">
        <v>-0.03</v>
      </c>
      <c r="F119" s="1" t="n">
        <v>-0.011</v>
      </c>
      <c r="G119" s="22" t="n">
        <v>10.1542986657035</v>
      </c>
      <c r="H119" s="1" t="n">
        <v>10.15</v>
      </c>
      <c r="I119" s="22" t="n">
        <v>-0.0042986657035371</v>
      </c>
      <c r="K119" s="12" t="n">
        <v>5</v>
      </c>
      <c r="L119" s="13" t="s">
        <v>81</v>
      </c>
      <c r="M119" s="13" t="n">
        <v>10.01</v>
      </c>
      <c r="N119" s="13" t="n">
        <v>4.84</v>
      </c>
      <c r="O119" s="13" t="n">
        <v>0.2</v>
      </c>
      <c r="P119" s="13" t="n">
        <v>0.27</v>
      </c>
      <c r="Q119" s="13" t="n">
        <v>4.64</v>
      </c>
      <c r="R119" s="13" t="n">
        <v>0.05</v>
      </c>
      <c r="S119" s="13" t="n">
        <v>0.01</v>
      </c>
      <c r="T119" s="15"/>
      <c r="U119" s="15"/>
      <c r="V119" s="15"/>
    </row>
    <row r="120" customFormat="false" ht="12.8" hidden="false" customHeight="false" outlineLevel="0" collapsed="false">
      <c r="A120" s="1" t="n">
        <v>6.17</v>
      </c>
      <c r="B120" s="1" t="n">
        <v>-0.11</v>
      </c>
      <c r="C120" s="1" t="n">
        <v>-0.38</v>
      </c>
      <c r="D120" s="1" t="n">
        <v>4.71</v>
      </c>
      <c r="E120" s="1" t="n">
        <v>0.05</v>
      </c>
      <c r="F120" s="1" t="n">
        <v>-0.023</v>
      </c>
      <c r="G120" s="22" t="n">
        <v>10.4178412290282</v>
      </c>
      <c r="H120" s="1" t="n">
        <v>10.43</v>
      </c>
      <c r="I120" s="22" t="n">
        <v>0.012158770971805</v>
      </c>
      <c r="K120" s="12" t="n">
        <v>5</v>
      </c>
      <c r="L120" s="13" t="s">
        <v>83</v>
      </c>
      <c r="M120" s="13" t="n">
        <v>9.81</v>
      </c>
      <c r="N120" s="13" t="n">
        <v>5.15</v>
      </c>
      <c r="O120" s="13" t="n">
        <v>0.01</v>
      </c>
      <c r="P120" s="13" t="n">
        <v>0.01</v>
      </c>
      <c r="Q120" s="13" t="n">
        <v>4.64</v>
      </c>
      <c r="R120" s="13" t="n">
        <v>-0.02</v>
      </c>
      <c r="S120" s="13" t="n">
        <v>0.01</v>
      </c>
      <c r="T120" s="15"/>
      <c r="U120" s="15"/>
      <c r="V120" s="15"/>
    </row>
    <row r="121" customFormat="false" ht="12.8" hidden="false" customHeight="false" outlineLevel="0" collapsed="false">
      <c r="A121" s="1" t="n">
        <v>6</v>
      </c>
      <c r="B121" s="1" t="n">
        <v>-0.07</v>
      </c>
      <c r="C121" s="1" t="n">
        <v>-0.3</v>
      </c>
      <c r="D121" s="1" t="n">
        <v>4.71</v>
      </c>
      <c r="E121" s="1" t="n">
        <v>-0.02</v>
      </c>
      <c r="F121" s="1" t="n">
        <v>0.007</v>
      </c>
      <c r="G121" s="22" t="n">
        <v>10.3321942497842</v>
      </c>
      <c r="H121" s="1" t="n">
        <v>10.34</v>
      </c>
      <c r="I121" s="22" t="n">
        <v>0.00780575021578045</v>
      </c>
      <c r="K121" s="12" t="n">
        <v>5</v>
      </c>
      <c r="L121" s="13" t="s">
        <v>84</v>
      </c>
      <c r="M121" s="13" t="n">
        <v>9.73</v>
      </c>
      <c r="N121" s="13" t="n">
        <v>5.22</v>
      </c>
      <c r="O121" s="13" t="n">
        <v>0.07</v>
      </c>
      <c r="P121" s="13" t="n">
        <v>-0.15</v>
      </c>
      <c r="Q121" s="13" t="n">
        <v>4.64</v>
      </c>
      <c r="R121" s="13" t="n">
        <v>-0.06</v>
      </c>
      <c r="S121" s="13" t="n">
        <v>0.01</v>
      </c>
      <c r="T121" s="15"/>
      <c r="U121" s="15"/>
      <c r="V121" s="15"/>
    </row>
    <row r="122" customFormat="false" ht="12.8" hidden="false" customHeight="false" outlineLevel="0" collapsed="false">
      <c r="A122" s="1" t="n">
        <v>5.89</v>
      </c>
      <c r="B122" s="1" t="n">
        <v>0.03</v>
      </c>
      <c r="C122" s="1" t="n">
        <v>-0.46</v>
      </c>
      <c r="D122" s="1" t="n">
        <v>4.71</v>
      </c>
      <c r="E122" s="1" t="n">
        <v>0.07</v>
      </c>
      <c r="F122" s="1" t="n">
        <v>0.007</v>
      </c>
      <c r="G122" s="22" t="n">
        <v>10.2470124087469</v>
      </c>
      <c r="H122" s="1" t="n">
        <v>10.26</v>
      </c>
      <c r="I122" s="22" t="n">
        <v>0.0129875912530721</v>
      </c>
      <c r="K122" s="12" t="n">
        <v>5</v>
      </c>
      <c r="L122" s="13" t="s">
        <v>88</v>
      </c>
      <c r="M122" s="13" t="n">
        <v>10.09</v>
      </c>
      <c r="N122" s="13" t="n">
        <v>5.36</v>
      </c>
      <c r="O122" s="13" t="n">
        <v>0.06</v>
      </c>
      <c r="P122" s="13" t="n">
        <v>0.01</v>
      </c>
      <c r="Q122" s="13" t="n">
        <v>4.64</v>
      </c>
      <c r="R122" s="13" t="n">
        <v>0.02</v>
      </c>
      <c r="S122" s="13" t="n">
        <v>-0.007</v>
      </c>
      <c r="T122" s="15"/>
      <c r="U122" s="15"/>
      <c r="V122" s="15"/>
    </row>
    <row r="123" customFormat="false" ht="12.8" hidden="false" customHeight="false" outlineLevel="0" collapsed="false">
      <c r="A123" s="1" t="n">
        <v>6.11</v>
      </c>
      <c r="B123" s="1" t="n">
        <v>-0.16</v>
      </c>
      <c r="C123" s="1" t="n">
        <v>-0.38</v>
      </c>
      <c r="D123" s="1" t="n">
        <v>4.71</v>
      </c>
      <c r="E123" s="1" t="n">
        <v>0</v>
      </c>
      <c r="F123" s="1" t="n">
        <v>0.007</v>
      </c>
      <c r="G123" s="22" t="n">
        <v>10.2911355653701</v>
      </c>
      <c r="H123" s="1" t="n">
        <v>10.3</v>
      </c>
      <c r="I123" s="22" t="n">
        <v>0.00886443462985653</v>
      </c>
      <c r="K123" s="12" t="n">
        <v>5</v>
      </c>
      <c r="L123" s="13" t="s">
        <v>89</v>
      </c>
      <c r="M123" s="13" t="n">
        <v>10.29</v>
      </c>
      <c r="N123" s="13" t="n">
        <v>5.33</v>
      </c>
      <c r="O123" s="13" t="n">
        <v>0.17</v>
      </c>
      <c r="P123" s="13" t="n">
        <v>0.13</v>
      </c>
      <c r="Q123" s="13" t="n">
        <v>4.64</v>
      </c>
      <c r="R123" s="13" t="n">
        <v>0.01</v>
      </c>
      <c r="S123" s="13" t="n">
        <v>0.01</v>
      </c>
      <c r="T123" s="15"/>
      <c r="U123" s="15"/>
      <c r="V123" s="15"/>
    </row>
    <row r="124" customFormat="false" ht="12.8" hidden="false" customHeight="false" outlineLevel="0" collapsed="false">
      <c r="A124" s="1" t="n">
        <v>5.79</v>
      </c>
      <c r="B124" s="1" t="n">
        <v>0.05</v>
      </c>
      <c r="C124" s="1" t="n">
        <v>-0.28</v>
      </c>
      <c r="D124" s="1" t="n">
        <v>4.71</v>
      </c>
      <c r="E124" s="1" t="n">
        <v>-0.07</v>
      </c>
      <c r="F124" s="1" t="n">
        <v>0.007</v>
      </c>
      <c r="G124" s="22" t="n">
        <v>10.212638124448</v>
      </c>
      <c r="H124" s="1" t="n">
        <v>10.21</v>
      </c>
      <c r="I124" s="22" t="n">
        <v>-0.00263812444803513</v>
      </c>
      <c r="K124" s="12" t="n">
        <v>5</v>
      </c>
      <c r="L124" s="13" t="s">
        <v>90</v>
      </c>
      <c r="M124" s="13" t="n">
        <v>10.17</v>
      </c>
      <c r="N124" s="13" t="n">
        <v>5.53</v>
      </c>
      <c r="O124" s="13" t="n">
        <v>0.03</v>
      </c>
      <c r="P124" s="13" t="n">
        <v>-0.02</v>
      </c>
      <c r="Q124" s="13" t="n">
        <v>4.64</v>
      </c>
      <c r="R124" s="13" t="n">
        <v>-0.02</v>
      </c>
      <c r="S124" s="13" t="n">
        <v>0.01</v>
      </c>
      <c r="T124" s="15"/>
      <c r="U124" s="15"/>
      <c r="V124" s="15"/>
    </row>
    <row r="125" customFormat="false" ht="12.8" hidden="false" customHeight="false" outlineLevel="0" collapsed="false">
      <c r="A125" s="1" t="n">
        <v>7.13</v>
      </c>
      <c r="B125" s="1" t="n">
        <v>-0.19</v>
      </c>
      <c r="C125" s="1" t="n">
        <v>-0.74</v>
      </c>
      <c r="D125" s="1" t="n">
        <v>4.71</v>
      </c>
      <c r="E125" s="1" t="n">
        <v>0.07</v>
      </c>
      <c r="F125" s="1" t="n">
        <v>0.007</v>
      </c>
      <c r="G125" s="22" t="n">
        <v>10.990547382822</v>
      </c>
      <c r="H125" s="1" t="n">
        <v>11</v>
      </c>
      <c r="I125" s="22" t="n">
        <v>0.00945261717801316</v>
      </c>
      <c r="K125" s="12" t="n">
        <v>5</v>
      </c>
      <c r="L125" s="13" t="s">
        <v>91</v>
      </c>
      <c r="M125" s="13" t="n">
        <v>10.14</v>
      </c>
      <c r="N125" s="13" t="n">
        <v>5.96</v>
      </c>
      <c r="O125" s="13" t="n">
        <v>-0.03</v>
      </c>
      <c r="P125" s="13" t="n">
        <v>-0.44</v>
      </c>
      <c r="Q125" s="13" t="n">
        <v>4.64</v>
      </c>
      <c r="R125" s="13" t="n">
        <v>0.09</v>
      </c>
      <c r="S125" s="13" t="n">
        <v>-0.077</v>
      </c>
      <c r="T125" s="15"/>
      <c r="U125" s="15"/>
      <c r="V125" s="15"/>
    </row>
    <row r="126" customFormat="false" ht="12.8" hidden="false" customHeight="false" outlineLevel="0" collapsed="false">
      <c r="A126" s="1" t="n">
        <v>6.62</v>
      </c>
      <c r="B126" s="1" t="n">
        <v>-0.21</v>
      </c>
      <c r="C126" s="1" t="n">
        <v>-0.74</v>
      </c>
      <c r="D126" s="1" t="n">
        <v>4.71</v>
      </c>
      <c r="E126" s="1" t="n">
        <v>0.09</v>
      </c>
      <c r="F126" s="1" t="n">
        <v>-0.002</v>
      </c>
      <c r="G126" s="22" t="n">
        <v>10.4671321098993</v>
      </c>
      <c r="H126" s="1" t="n">
        <v>10.47</v>
      </c>
      <c r="I126" s="22" t="n">
        <v>0.00286789010068311</v>
      </c>
      <c r="K126" s="12" t="n">
        <v>5</v>
      </c>
      <c r="L126" s="13" t="s">
        <v>92</v>
      </c>
      <c r="M126" s="13" t="n">
        <v>9.94</v>
      </c>
      <c r="N126" s="13" t="n">
        <v>5.95</v>
      </c>
      <c r="O126" s="13" t="n">
        <v>-0.05</v>
      </c>
      <c r="P126" s="13" t="n">
        <v>-0.5</v>
      </c>
      <c r="Q126" s="13" t="n">
        <v>4.64</v>
      </c>
      <c r="R126" s="13" t="n">
        <v>-0.09</v>
      </c>
      <c r="S126" s="13" t="n">
        <v>-0.002</v>
      </c>
      <c r="T126" s="15"/>
      <c r="U126" s="15"/>
      <c r="V126" s="15"/>
    </row>
    <row r="127" customFormat="false" ht="12.8" hidden="false" customHeight="false" outlineLevel="0" collapsed="false">
      <c r="A127" s="1" t="n">
        <v>6.39</v>
      </c>
      <c r="B127" s="1" t="n">
        <v>-0.06</v>
      </c>
      <c r="C127" s="1" t="n">
        <v>-0.63</v>
      </c>
      <c r="D127" s="1" t="n">
        <v>4.71</v>
      </c>
      <c r="E127" s="1" t="n">
        <v>0.08</v>
      </c>
      <c r="F127" s="1" t="n">
        <v>-0.037</v>
      </c>
      <c r="G127" s="22" t="n">
        <v>10.4498805529812</v>
      </c>
      <c r="H127" s="1" t="n">
        <v>10.45</v>
      </c>
      <c r="I127" s="22" t="n">
        <v>0.000119447018764873</v>
      </c>
      <c r="K127" s="12" t="n">
        <v>5</v>
      </c>
      <c r="L127" s="13" t="s">
        <v>93</v>
      </c>
      <c r="M127" s="13" t="n">
        <v>9.82</v>
      </c>
      <c r="N127" s="13" t="n">
        <v>6.09</v>
      </c>
      <c r="O127" s="13" t="n">
        <v>-0.16</v>
      </c>
      <c r="P127" s="13" t="n">
        <v>-0.67</v>
      </c>
      <c r="Q127" s="13" t="n">
        <v>4.64</v>
      </c>
      <c r="R127" s="13" t="n">
        <v>-0.07</v>
      </c>
      <c r="S127" s="13" t="n">
        <v>-0.018</v>
      </c>
      <c r="T127" s="15"/>
      <c r="U127" s="15"/>
      <c r="V127" s="15"/>
    </row>
    <row r="128" customFormat="false" ht="12.8" hidden="false" customHeight="false" outlineLevel="0" collapsed="false">
      <c r="A128" s="1" t="n">
        <v>6.49</v>
      </c>
      <c r="B128" s="1" t="n">
        <v>-0.21</v>
      </c>
      <c r="C128" s="1" t="n">
        <v>-0.6</v>
      </c>
      <c r="D128" s="1" t="n">
        <v>4.71</v>
      </c>
      <c r="E128" s="1" t="n">
        <v>0.13</v>
      </c>
      <c r="F128" s="1" t="n">
        <v>-0.009</v>
      </c>
      <c r="G128" s="22" t="n">
        <v>10.5096445785016</v>
      </c>
      <c r="H128" s="1" t="n">
        <v>10.52</v>
      </c>
      <c r="I128" s="22" t="n">
        <v>0.0103554214984012</v>
      </c>
      <c r="K128" s="12" t="n">
        <v>5</v>
      </c>
      <c r="L128" s="13" t="s">
        <v>94</v>
      </c>
      <c r="M128" s="13" t="n">
        <v>10.26</v>
      </c>
      <c r="N128" s="13" t="n">
        <v>6.4</v>
      </c>
      <c r="O128" s="13" t="n">
        <v>-0.31</v>
      </c>
      <c r="P128" s="13" t="n">
        <v>-0.55</v>
      </c>
      <c r="Q128" s="13" t="n">
        <v>4.64</v>
      </c>
      <c r="R128" s="13" t="n">
        <v>0.07</v>
      </c>
      <c r="S128" s="13" t="n">
        <v>0.01</v>
      </c>
      <c r="T128" s="15"/>
      <c r="U128" s="15"/>
      <c r="V128" s="15"/>
    </row>
    <row r="129" customFormat="false" ht="12.8" hidden="false" customHeight="false" outlineLevel="0" collapsed="false">
      <c r="A129" s="1" t="n">
        <v>6.17</v>
      </c>
      <c r="B129" s="1" t="n">
        <v>-0.08</v>
      </c>
      <c r="C129" s="1" t="n">
        <v>-0.76</v>
      </c>
      <c r="D129" s="1" t="n">
        <v>4.71</v>
      </c>
      <c r="E129" s="1" t="n">
        <v>0.1</v>
      </c>
      <c r="F129" s="1" t="n">
        <v>0.002</v>
      </c>
      <c r="G129" s="22" t="n">
        <v>10.1382727928485</v>
      </c>
      <c r="H129" s="1" t="n">
        <v>10.14</v>
      </c>
      <c r="I129" s="22" t="n">
        <v>0.00172720715150554</v>
      </c>
      <c r="K129" s="12" t="n">
        <v>5</v>
      </c>
      <c r="L129" s="13" t="s">
        <v>95</v>
      </c>
      <c r="M129" s="13" t="n">
        <v>10.07</v>
      </c>
      <c r="N129" s="13" t="n">
        <v>5.61</v>
      </c>
      <c r="O129" s="13" t="n">
        <v>0.07</v>
      </c>
      <c r="P129" s="13" t="n">
        <v>-0.18</v>
      </c>
      <c r="Q129" s="13" t="n">
        <v>4.64</v>
      </c>
      <c r="R129" s="13" t="n">
        <v>-0.08</v>
      </c>
      <c r="S129" s="13" t="n">
        <v>0.01</v>
      </c>
      <c r="T129" s="15"/>
      <c r="U129" s="15"/>
      <c r="V129" s="15"/>
    </row>
    <row r="130" customFormat="false" ht="12.8" hidden="false" customHeight="false" outlineLevel="0" collapsed="false">
      <c r="A130" s="1" t="n">
        <v>6.62</v>
      </c>
      <c r="B130" s="1" t="n">
        <v>-0.03</v>
      </c>
      <c r="C130" s="1" t="n">
        <v>-0.85</v>
      </c>
      <c r="D130" s="1" t="n">
        <v>4.71</v>
      </c>
      <c r="E130" s="1" t="n">
        <v>0.2</v>
      </c>
      <c r="F130" s="1" t="n">
        <v>0.007</v>
      </c>
      <c r="G130" s="22" t="n">
        <v>10.6525896532743</v>
      </c>
      <c r="H130" s="1" t="n">
        <v>10.65</v>
      </c>
      <c r="I130" s="22" t="n">
        <v>-0.00258965327432747</v>
      </c>
      <c r="K130" s="12" t="n">
        <v>5</v>
      </c>
      <c r="L130" s="13" t="s">
        <v>97</v>
      </c>
      <c r="M130" s="13" t="n">
        <v>9.92</v>
      </c>
      <c r="N130" s="13" t="n">
        <v>5.43</v>
      </c>
      <c r="O130" s="13" t="n">
        <v>0.04</v>
      </c>
      <c r="P130" s="13" t="n">
        <v>-0.14</v>
      </c>
      <c r="Q130" s="13" t="n">
        <v>4.64</v>
      </c>
      <c r="R130" s="13" t="n">
        <v>-0.06</v>
      </c>
      <c r="S130" s="13" t="n">
        <v>0.01</v>
      </c>
      <c r="T130" s="15"/>
      <c r="U130" s="15"/>
      <c r="V130" s="15"/>
    </row>
    <row r="131" customFormat="false" ht="12.8" hidden="false" customHeight="false" outlineLevel="0" collapsed="false">
      <c r="A131" s="1" t="n">
        <v>6.6</v>
      </c>
      <c r="B131" s="1" t="n">
        <v>0.3</v>
      </c>
      <c r="C131" s="1" t="n">
        <v>-1.56</v>
      </c>
      <c r="D131" s="1" t="n">
        <v>4.71</v>
      </c>
      <c r="E131" s="1" t="n">
        <v>0.06</v>
      </c>
      <c r="F131" s="1" t="n">
        <v>-0.021</v>
      </c>
      <c r="G131" s="22" t="n">
        <v>10.0765048483886</v>
      </c>
      <c r="H131" s="1" t="n">
        <v>10.09</v>
      </c>
      <c r="I131" s="22" t="n">
        <v>0.0134951516114068</v>
      </c>
      <c r="K131" s="12" t="n">
        <v>5</v>
      </c>
      <c r="L131" s="13" t="s">
        <v>98</v>
      </c>
      <c r="M131" s="13" t="n">
        <v>9.96</v>
      </c>
      <c r="N131" s="13" t="n">
        <v>5.73</v>
      </c>
      <c r="O131" s="13" t="n">
        <v>-0.19</v>
      </c>
      <c r="P131" s="13" t="n">
        <v>-0.1</v>
      </c>
      <c r="Q131" s="13" t="n">
        <v>4.64</v>
      </c>
      <c r="R131" s="13" t="n">
        <v>-0.13</v>
      </c>
      <c r="S131" s="13" t="n">
        <v>0.01</v>
      </c>
      <c r="T131" s="15"/>
      <c r="U131" s="15"/>
      <c r="V131" s="15"/>
    </row>
    <row r="132" customFormat="false" ht="12.8" hidden="false" customHeight="false" outlineLevel="0" collapsed="false">
      <c r="A132" s="1" t="n">
        <v>6.28</v>
      </c>
      <c r="B132" s="1" t="n">
        <v>-0.31</v>
      </c>
      <c r="C132" s="1" t="n">
        <v>-0.26</v>
      </c>
      <c r="D132" s="1" t="n">
        <v>4.64</v>
      </c>
      <c r="E132" s="1" t="n">
        <v>-0.07</v>
      </c>
      <c r="F132" s="1" t="n">
        <v>0.01</v>
      </c>
      <c r="G132" s="22" t="n">
        <v>10.2949194093788</v>
      </c>
      <c r="H132" s="1" t="n">
        <v>10.29</v>
      </c>
      <c r="I132" s="22" t="n">
        <v>-0.00491940937880564</v>
      </c>
      <c r="K132" s="12" t="n">
        <v>5</v>
      </c>
      <c r="L132" s="13" t="s">
        <v>99</v>
      </c>
      <c r="M132" s="13" t="n">
        <v>10.25</v>
      </c>
      <c r="N132" s="13" t="n">
        <v>6.11</v>
      </c>
      <c r="O132" s="13" t="n">
        <v>-0.12</v>
      </c>
      <c r="P132" s="13" t="n">
        <v>-0.35</v>
      </c>
      <c r="Q132" s="13" t="n">
        <v>4.64</v>
      </c>
      <c r="R132" s="13" t="n">
        <v>-0.04</v>
      </c>
      <c r="S132" s="13" t="n">
        <v>0.01</v>
      </c>
      <c r="T132" s="15"/>
      <c r="U132" s="15"/>
      <c r="V132" s="15"/>
    </row>
    <row r="133" customFormat="false" ht="12.8" hidden="false" customHeight="false" outlineLevel="0" collapsed="false">
      <c r="A133" s="1" t="n">
        <v>6.33</v>
      </c>
      <c r="B133" s="1" t="n">
        <v>-0.31</v>
      </c>
      <c r="C133" s="1" t="n">
        <v>-0.8</v>
      </c>
      <c r="D133" s="1" t="n">
        <v>4.64</v>
      </c>
      <c r="E133" s="1" t="n">
        <v>-0.07</v>
      </c>
      <c r="F133" s="1" t="n">
        <v>0.01</v>
      </c>
      <c r="G133" s="22" t="n">
        <v>9.7977574420689</v>
      </c>
      <c r="H133" s="1" t="n">
        <v>9.79</v>
      </c>
      <c r="I133" s="22" t="n">
        <v>-0.00775744206889861</v>
      </c>
      <c r="K133" s="12" t="n">
        <v>5</v>
      </c>
      <c r="L133" s="13" t="s">
        <v>100</v>
      </c>
      <c r="M133" s="13" t="n">
        <v>10.23</v>
      </c>
      <c r="N133" s="13" t="n">
        <v>6.05</v>
      </c>
      <c r="O133" s="13" t="n">
        <v>-0.07</v>
      </c>
      <c r="P133" s="13" t="n">
        <v>-0.33</v>
      </c>
      <c r="Q133" s="13" t="n">
        <v>4.64</v>
      </c>
      <c r="R133" s="13" t="n">
        <v>-0.04</v>
      </c>
      <c r="S133" s="13" t="n">
        <v>-0.021</v>
      </c>
      <c r="T133" s="15"/>
      <c r="U133" s="15"/>
      <c r="V133" s="15"/>
    </row>
    <row r="134" customFormat="false" ht="12.8" hidden="false" customHeight="false" outlineLevel="0" collapsed="false">
      <c r="A134" s="1" t="n">
        <v>6</v>
      </c>
      <c r="B134" s="1" t="n">
        <v>-0.32</v>
      </c>
      <c r="C134" s="1" t="n">
        <v>-0.57</v>
      </c>
      <c r="D134" s="1" t="n">
        <v>4.64</v>
      </c>
      <c r="E134" s="1" t="n">
        <v>0.01</v>
      </c>
      <c r="F134" s="1" t="n">
        <v>0.01</v>
      </c>
      <c r="G134" s="22" t="n">
        <v>9.76676170006248</v>
      </c>
      <c r="H134" s="1" t="n">
        <v>9.77</v>
      </c>
      <c r="I134" s="22" t="n">
        <v>0.00323829993752334</v>
      </c>
      <c r="K134" s="12" t="n">
        <v>5</v>
      </c>
      <c r="L134" s="13" t="s">
        <v>101</v>
      </c>
      <c r="M134" s="13" t="n">
        <v>10.01</v>
      </c>
      <c r="N134" s="13" t="n">
        <v>5.87</v>
      </c>
      <c r="O134" s="13" t="n">
        <v>0.02</v>
      </c>
      <c r="P134" s="13" t="n">
        <v>-0.45</v>
      </c>
      <c r="Q134" s="13" t="n">
        <v>4.64</v>
      </c>
      <c r="R134" s="13" t="n">
        <v>-0.08</v>
      </c>
      <c r="S134" s="13" t="n">
        <v>0.01</v>
      </c>
      <c r="T134" s="15"/>
      <c r="U134" s="15"/>
      <c r="V134" s="15"/>
    </row>
    <row r="135" customFormat="false" ht="12.8" hidden="false" customHeight="false" outlineLevel="0" collapsed="false">
      <c r="A135" s="1" t="n">
        <v>5.91</v>
      </c>
      <c r="B135" s="1" t="n">
        <v>-0.17</v>
      </c>
      <c r="C135" s="1" t="n">
        <v>-0.32</v>
      </c>
      <c r="D135" s="1" t="n">
        <v>4.64</v>
      </c>
      <c r="E135" s="1" t="n">
        <v>0.01</v>
      </c>
      <c r="F135" s="1" t="n">
        <v>-0.012</v>
      </c>
      <c r="G135" s="22" t="n">
        <v>10.0560776592662</v>
      </c>
      <c r="H135" s="1" t="n">
        <v>10.05</v>
      </c>
      <c r="I135" s="22" t="n">
        <v>-0.00607765926618242</v>
      </c>
      <c r="K135" s="12" t="n">
        <v>5</v>
      </c>
      <c r="L135" s="13" t="s">
        <v>102</v>
      </c>
      <c r="M135" s="13" t="n">
        <v>10.1</v>
      </c>
      <c r="N135" s="13" t="n">
        <v>6.05</v>
      </c>
      <c r="O135" s="13" t="n">
        <v>-0.16</v>
      </c>
      <c r="P135" s="13" t="n">
        <v>-0.38</v>
      </c>
      <c r="Q135" s="13" t="n">
        <v>4.64</v>
      </c>
      <c r="R135" s="13" t="n">
        <v>-0.06</v>
      </c>
      <c r="S135" s="13" t="n">
        <v>0.01</v>
      </c>
      <c r="T135" s="15"/>
      <c r="U135" s="15"/>
      <c r="V135" s="15"/>
    </row>
    <row r="136" customFormat="false" ht="12.8" hidden="false" customHeight="false" outlineLevel="0" collapsed="false">
      <c r="A136" s="1" t="n">
        <v>6.8</v>
      </c>
      <c r="B136" s="1" t="n">
        <v>-0.64</v>
      </c>
      <c r="C136" s="1" t="n">
        <v>-0.76</v>
      </c>
      <c r="D136" s="1" t="n">
        <v>4.64</v>
      </c>
      <c r="E136" s="1" t="n">
        <v>-0.14</v>
      </c>
      <c r="F136" s="1" t="n">
        <v>-0.038</v>
      </c>
      <c r="G136" s="22" t="n">
        <v>9.86089979602508</v>
      </c>
      <c r="H136" s="1" t="n">
        <v>9.86</v>
      </c>
      <c r="I136" s="22" t="n">
        <v>-0.000899796025075617</v>
      </c>
      <c r="K136" s="12" t="n">
        <v>5</v>
      </c>
      <c r="L136" s="13" t="s">
        <v>103</v>
      </c>
      <c r="M136" s="13" t="n">
        <v>10.36</v>
      </c>
      <c r="N136" s="13" t="n">
        <v>5.91</v>
      </c>
      <c r="O136" s="13" t="n">
        <v>0.05</v>
      </c>
      <c r="P136" s="13" t="n">
        <v>-0.29</v>
      </c>
      <c r="Q136" s="13" t="n">
        <v>4.64</v>
      </c>
      <c r="R136" s="13" t="n">
        <v>0.04</v>
      </c>
      <c r="S136" s="13" t="n">
        <v>0.01</v>
      </c>
      <c r="T136" s="15"/>
      <c r="U136" s="15"/>
      <c r="V136" s="15"/>
    </row>
    <row r="137" customFormat="false" ht="12.8" hidden="false" customHeight="false" outlineLevel="0" collapsed="false">
      <c r="A137" s="1" t="n">
        <v>6.15</v>
      </c>
      <c r="B137" s="1" t="n">
        <v>-0.28</v>
      </c>
      <c r="C137" s="1" t="n">
        <v>-0.48</v>
      </c>
      <c r="D137" s="1" t="n">
        <v>4.64</v>
      </c>
      <c r="E137" s="1" t="n">
        <v>-0.01</v>
      </c>
      <c r="F137" s="1" t="n">
        <v>-0.043</v>
      </c>
      <c r="G137" s="22" t="n">
        <v>9.97229260417121</v>
      </c>
      <c r="H137" s="1" t="n">
        <v>9.98</v>
      </c>
      <c r="I137" s="22" t="n">
        <v>0.0077073958287901</v>
      </c>
      <c r="K137" s="12" t="n">
        <v>5</v>
      </c>
      <c r="L137" s="13" t="s">
        <v>104</v>
      </c>
      <c r="M137" s="13" t="n">
        <v>10.51</v>
      </c>
      <c r="N137" s="13" t="n">
        <v>6.92</v>
      </c>
      <c r="O137" s="13" t="n">
        <v>-0.2</v>
      </c>
      <c r="P137" s="13" t="n">
        <v>-0.71</v>
      </c>
      <c r="Q137" s="13" t="n">
        <v>4.64</v>
      </c>
      <c r="R137" s="13" t="n">
        <v>-0.11</v>
      </c>
      <c r="S137" s="13" t="n">
        <v>-0.023</v>
      </c>
      <c r="T137" s="15"/>
      <c r="U137" s="15"/>
      <c r="V137" s="15"/>
    </row>
    <row r="138" customFormat="false" ht="12.8" hidden="false" customHeight="false" outlineLevel="0" collapsed="false">
      <c r="A138" s="1" t="n">
        <v>5.42</v>
      </c>
      <c r="B138" s="1" t="n">
        <v>-0.18</v>
      </c>
      <c r="C138" s="1" t="n">
        <v>-0.27</v>
      </c>
      <c r="D138" s="1" t="n">
        <v>4.64</v>
      </c>
      <c r="E138" s="1" t="n">
        <v>-0.06</v>
      </c>
      <c r="F138" s="1" t="n">
        <v>-0.019</v>
      </c>
      <c r="G138" s="22" t="n">
        <v>9.52804555671934</v>
      </c>
      <c r="H138" s="1" t="n">
        <v>9.53</v>
      </c>
      <c r="I138" s="22" t="n">
        <v>0.00195444328065619</v>
      </c>
      <c r="K138" s="12" t="n">
        <v>5</v>
      </c>
      <c r="L138" s="13" t="s">
        <v>105</v>
      </c>
      <c r="M138" s="13" t="n">
        <v>10.21</v>
      </c>
      <c r="N138" s="13" t="n">
        <v>6.6</v>
      </c>
      <c r="O138" s="13" t="n">
        <v>-0.23</v>
      </c>
      <c r="P138" s="13" t="n">
        <v>-0.77</v>
      </c>
      <c r="Q138" s="13" t="n">
        <v>4.64</v>
      </c>
      <c r="R138" s="13" t="n">
        <v>-0.04</v>
      </c>
      <c r="S138" s="13" t="n">
        <v>0.002</v>
      </c>
      <c r="T138" s="15"/>
      <c r="U138" s="15"/>
      <c r="V138" s="15"/>
    </row>
    <row r="139" customFormat="false" ht="12.8" hidden="false" customHeight="false" outlineLevel="0" collapsed="false">
      <c r="A139" s="1" t="n">
        <v>5.12</v>
      </c>
      <c r="B139" s="1" t="n">
        <v>-0.04</v>
      </c>
      <c r="C139" s="1" t="n">
        <v>0.03</v>
      </c>
      <c r="D139" s="1" t="n">
        <v>4.64</v>
      </c>
      <c r="E139" s="1" t="n">
        <v>-0.03</v>
      </c>
      <c r="F139" s="1" t="n">
        <v>0.01</v>
      </c>
      <c r="G139" s="22" t="n">
        <v>9.73100426982197</v>
      </c>
      <c r="H139" s="1" t="n">
        <v>9.73</v>
      </c>
      <c r="I139" s="22" t="n">
        <v>-0.00100426982196566</v>
      </c>
      <c r="K139" s="12" t="n">
        <v>5</v>
      </c>
      <c r="L139" s="13" t="s">
        <v>106</v>
      </c>
      <c r="M139" s="13" t="n">
        <v>10.32</v>
      </c>
      <c r="N139" s="13" t="n">
        <v>6.4</v>
      </c>
      <c r="O139" s="13" t="n">
        <v>-0.08</v>
      </c>
      <c r="P139" s="13" t="n">
        <v>-0.62</v>
      </c>
      <c r="Q139" s="13" t="n">
        <v>4.64</v>
      </c>
      <c r="R139" s="13" t="n">
        <v>0.03</v>
      </c>
      <c r="S139" s="13" t="n">
        <v>-0.047</v>
      </c>
      <c r="T139" s="15"/>
      <c r="U139" s="15"/>
      <c r="V139" s="15"/>
    </row>
    <row r="140" customFormat="false" ht="12.8" hidden="false" customHeight="false" outlineLevel="0" collapsed="false">
      <c r="A140" s="1" t="n">
        <v>5.4</v>
      </c>
      <c r="B140" s="1" t="n">
        <v>-0.06</v>
      </c>
      <c r="C140" s="1" t="n">
        <v>-0.05</v>
      </c>
      <c r="D140" s="1" t="n">
        <v>4.64</v>
      </c>
      <c r="E140" s="1" t="n">
        <v>0.04</v>
      </c>
      <c r="F140" s="1" t="n">
        <v>-0.012</v>
      </c>
      <c r="G140" s="22" t="n">
        <v>9.9559874626196</v>
      </c>
      <c r="H140" s="1" t="n">
        <v>9.96</v>
      </c>
      <c r="I140" s="22" t="n">
        <v>0.00401253738040097</v>
      </c>
      <c r="K140" s="12" t="n">
        <v>5</v>
      </c>
      <c r="L140" s="13" t="s">
        <v>107</v>
      </c>
      <c r="M140" s="13" t="n">
        <v>10.2</v>
      </c>
      <c r="N140" s="13" t="n">
        <v>6.43</v>
      </c>
      <c r="O140" s="13" t="n">
        <v>-0.22</v>
      </c>
      <c r="P140" s="13" t="n">
        <v>-0.6</v>
      </c>
      <c r="Q140" s="13" t="n">
        <v>4.64</v>
      </c>
      <c r="R140" s="13" t="n">
        <v>-0.03</v>
      </c>
      <c r="S140" s="13" t="n">
        <v>-0.019</v>
      </c>
      <c r="T140" s="15"/>
      <c r="U140" s="15"/>
      <c r="V140" s="15"/>
    </row>
    <row r="141" customFormat="false" ht="12.8" hidden="false" customHeight="false" outlineLevel="0" collapsed="false">
      <c r="A141" s="1" t="n">
        <v>5.21</v>
      </c>
      <c r="B141" s="1" t="n">
        <v>-0.02</v>
      </c>
      <c r="C141" s="1" t="n">
        <v>-0.08</v>
      </c>
      <c r="D141" s="1" t="n">
        <v>4.64</v>
      </c>
      <c r="E141" s="1" t="n">
        <v>0</v>
      </c>
      <c r="F141" s="1" t="n">
        <v>0.01</v>
      </c>
      <c r="G141" s="22" t="n">
        <v>9.75925973290948</v>
      </c>
      <c r="H141" s="1" t="n">
        <v>9.76</v>
      </c>
      <c r="I141" s="22" t="n">
        <v>0.000740267090524327</v>
      </c>
      <c r="K141" s="12" t="n">
        <v>5</v>
      </c>
      <c r="L141" s="13" t="s">
        <v>108</v>
      </c>
      <c r="M141" s="13" t="n">
        <v>9.76</v>
      </c>
      <c r="N141" s="13" t="n">
        <v>6.05</v>
      </c>
      <c r="O141" s="13" t="n">
        <v>-0.1</v>
      </c>
      <c r="P141" s="13" t="n">
        <v>-0.75</v>
      </c>
      <c r="Q141" s="13" t="n">
        <v>4.64</v>
      </c>
      <c r="R141" s="13" t="n">
        <v>-0.08</v>
      </c>
      <c r="S141" s="13" t="n">
        <v>-0.003</v>
      </c>
      <c r="T141" s="15"/>
      <c r="U141" s="15"/>
      <c r="V141" s="15"/>
    </row>
    <row r="142" customFormat="false" ht="12.8" hidden="false" customHeight="false" outlineLevel="0" collapsed="false">
      <c r="A142" s="1" t="n">
        <v>5.03</v>
      </c>
      <c r="B142" s="1" t="n">
        <v>-0.01</v>
      </c>
      <c r="C142" s="1" t="n">
        <v>0.14</v>
      </c>
      <c r="D142" s="1" t="n">
        <v>4.64</v>
      </c>
      <c r="E142" s="1" t="n">
        <v>0.01</v>
      </c>
      <c r="F142" s="1" t="n">
        <v>0.01</v>
      </c>
      <c r="G142" s="22" t="n">
        <v>9.82093756564314</v>
      </c>
      <c r="H142" s="1" t="n">
        <v>9.82</v>
      </c>
      <c r="I142" s="22" t="n">
        <v>-0.000937565643139848</v>
      </c>
      <c r="K142" s="12" t="n">
        <v>5</v>
      </c>
      <c r="L142" s="13" t="s">
        <v>109</v>
      </c>
      <c r="M142" s="13" t="n">
        <v>10.26</v>
      </c>
      <c r="N142" s="13" t="n">
        <v>6.59</v>
      </c>
      <c r="O142" s="13" t="n">
        <v>-0.06</v>
      </c>
      <c r="P142" s="13" t="n">
        <v>-0.88</v>
      </c>
      <c r="Q142" s="13" t="n">
        <v>4.64</v>
      </c>
      <c r="R142" s="13" t="n">
        <v>0.02</v>
      </c>
      <c r="S142" s="13" t="n">
        <v>-0.056</v>
      </c>
      <c r="T142" s="15"/>
      <c r="U142" s="15"/>
      <c r="V142" s="15"/>
    </row>
    <row r="143" customFormat="false" ht="12.8" hidden="false" customHeight="false" outlineLevel="0" collapsed="false">
      <c r="A143" s="1" t="n">
        <v>5.16</v>
      </c>
      <c r="B143" s="1" t="n">
        <v>-0.1</v>
      </c>
      <c r="C143" s="1" t="n">
        <v>0.13</v>
      </c>
      <c r="D143" s="1" t="n">
        <v>4.64</v>
      </c>
      <c r="E143" s="1" t="n">
        <v>0.03</v>
      </c>
      <c r="F143" s="1" t="n">
        <v>0.01</v>
      </c>
      <c r="G143" s="22" t="n">
        <v>9.87097058096046</v>
      </c>
      <c r="H143" s="1" t="n">
        <v>9.87</v>
      </c>
      <c r="I143" s="22" t="n">
        <v>-0.000970580960460765</v>
      </c>
      <c r="K143" s="12" t="n">
        <v>5</v>
      </c>
      <c r="L143" s="13" t="s">
        <v>110</v>
      </c>
      <c r="M143" s="13" t="n">
        <v>9.89</v>
      </c>
      <c r="N143" s="13" t="n">
        <v>6.64</v>
      </c>
      <c r="O143" s="13" t="n">
        <v>0.25</v>
      </c>
      <c r="P143" s="13" t="n">
        <v>-1.59</v>
      </c>
      <c r="Q143" s="13" t="n">
        <v>4.64</v>
      </c>
      <c r="R143" s="13" t="n">
        <v>-0.04</v>
      </c>
      <c r="S143" s="13" t="n">
        <v>-0.011</v>
      </c>
      <c r="T143" s="15"/>
      <c r="U143" s="15"/>
      <c r="V143" s="15"/>
    </row>
    <row r="144" customFormat="false" ht="12.8" hidden="false" customHeight="false" outlineLevel="0" collapsed="false">
      <c r="A144" s="1" t="n">
        <v>4.47</v>
      </c>
      <c r="B144" s="1" t="n">
        <v>0.14</v>
      </c>
      <c r="C144" s="1" t="n">
        <v>0.67</v>
      </c>
      <c r="D144" s="1" t="n">
        <v>4.64</v>
      </c>
      <c r="E144" s="1" t="n">
        <v>0.07</v>
      </c>
      <c r="F144" s="1" t="n">
        <v>0.01</v>
      </c>
      <c r="G144" s="22" t="n">
        <v>10.0033796918993</v>
      </c>
      <c r="H144" s="1" t="n">
        <v>10</v>
      </c>
      <c r="I144" s="22" t="n">
        <v>-0.00337969189932075</v>
      </c>
      <c r="K144" s="12" t="n">
        <v>6</v>
      </c>
      <c r="L144" s="13" t="s">
        <v>42</v>
      </c>
      <c r="M144" s="13" t="n">
        <v>10.21</v>
      </c>
      <c r="N144" s="13" t="n">
        <v>6.26</v>
      </c>
      <c r="O144" s="13" t="n">
        <v>-0.31</v>
      </c>
      <c r="P144" s="13" t="n">
        <v>-0.25</v>
      </c>
      <c r="Q144" s="13" t="n">
        <v>4.6</v>
      </c>
      <c r="R144" s="13" t="n">
        <v>-0.1</v>
      </c>
      <c r="S144" s="13" t="n">
        <v>0.01</v>
      </c>
      <c r="T144" s="15"/>
      <c r="U144" s="15"/>
      <c r="V144" s="15"/>
    </row>
    <row r="145" customFormat="false" ht="12.8" hidden="false" customHeight="false" outlineLevel="0" collapsed="false">
      <c r="A145" s="1" t="n">
        <v>5</v>
      </c>
      <c r="B145" s="1" t="n">
        <v>-0.06</v>
      </c>
      <c r="C145" s="1" t="n">
        <v>0.39</v>
      </c>
      <c r="D145" s="1" t="n">
        <v>4.64</v>
      </c>
      <c r="E145" s="1" t="n">
        <v>0.03</v>
      </c>
      <c r="F145" s="1" t="n">
        <v>0.01</v>
      </c>
      <c r="G145" s="22" t="n">
        <v>10.0136240164974</v>
      </c>
      <c r="H145" s="1" t="n">
        <v>10.02</v>
      </c>
      <c r="I145" s="22" t="n">
        <v>0.00637598350256319</v>
      </c>
      <c r="K145" s="12" t="n">
        <v>6</v>
      </c>
      <c r="L145" s="13" t="s">
        <v>45</v>
      </c>
      <c r="M145" s="13" t="n">
        <v>9.49</v>
      </c>
      <c r="N145" s="13" t="n">
        <v>6.26</v>
      </c>
      <c r="O145" s="13" t="n">
        <v>-0.32</v>
      </c>
      <c r="P145" s="13" t="n">
        <v>-0.81</v>
      </c>
      <c r="Q145" s="13" t="n">
        <v>4.6</v>
      </c>
      <c r="R145" s="13" t="n">
        <v>-0.25</v>
      </c>
      <c r="S145" s="13" t="n">
        <v>0.01</v>
      </c>
      <c r="T145" s="15"/>
      <c r="U145" s="15"/>
      <c r="V145" s="15"/>
    </row>
    <row r="146" customFormat="false" ht="12.8" hidden="false" customHeight="false" outlineLevel="0" collapsed="false">
      <c r="A146" s="1" t="n">
        <v>5.24</v>
      </c>
      <c r="B146" s="1" t="n">
        <v>-0.14</v>
      </c>
      <c r="C146" s="1" t="n">
        <v>-0.3</v>
      </c>
      <c r="D146" s="1" t="n">
        <v>4.64</v>
      </c>
      <c r="E146" s="1" t="n">
        <v>-0.1</v>
      </c>
      <c r="F146" s="1" t="n">
        <v>-0.009</v>
      </c>
      <c r="G146" s="22" t="n">
        <v>9.32842507965118</v>
      </c>
      <c r="H146" s="1" t="n">
        <v>9.33</v>
      </c>
      <c r="I146" s="22" t="n">
        <v>0.00157492034882267</v>
      </c>
      <c r="K146" s="12" t="n">
        <v>6</v>
      </c>
      <c r="L146" s="13" t="s">
        <v>46</v>
      </c>
      <c r="M146" s="13" t="n">
        <v>9.63</v>
      </c>
      <c r="N146" s="13" t="n">
        <v>6.04</v>
      </c>
      <c r="O146" s="13" t="n">
        <v>-0.32</v>
      </c>
      <c r="P146" s="13" t="n">
        <v>-0.6</v>
      </c>
      <c r="Q146" s="13" t="n">
        <v>4.6</v>
      </c>
      <c r="R146" s="13" t="n">
        <v>-0.1</v>
      </c>
      <c r="S146" s="13" t="n">
        <v>0.01</v>
      </c>
      <c r="T146" s="15"/>
      <c r="U146" s="15"/>
      <c r="V146" s="15"/>
    </row>
    <row r="147" customFormat="false" ht="12.8" hidden="false" customHeight="false" outlineLevel="0" collapsed="false">
      <c r="A147" s="1" t="n">
        <v>4.94</v>
      </c>
      <c r="B147" s="1" t="n">
        <v>-0.09</v>
      </c>
      <c r="C147" s="1" t="n">
        <v>0.11</v>
      </c>
      <c r="D147" s="1" t="n">
        <v>4.64</v>
      </c>
      <c r="E147" s="1" t="n">
        <v>-0.05</v>
      </c>
      <c r="F147" s="1" t="n">
        <v>0.01</v>
      </c>
      <c r="G147" s="22" t="n">
        <v>9.56147989157446</v>
      </c>
      <c r="H147" s="1" t="n">
        <v>9.57</v>
      </c>
      <c r="I147" s="22" t="n">
        <v>0.00852010842553774</v>
      </c>
      <c r="K147" s="12" t="n">
        <v>6</v>
      </c>
      <c r="L147" s="13" t="s">
        <v>48</v>
      </c>
      <c r="M147" s="13" t="n">
        <v>10.01</v>
      </c>
      <c r="N147" s="13" t="n">
        <v>5.98</v>
      </c>
      <c r="O147" s="13" t="n">
        <v>-0.17</v>
      </c>
      <c r="P147" s="13" t="n">
        <v>-0.34</v>
      </c>
      <c r="Q147" s="13" t="n">
        <v>4.6</v>
      </c>
      <c r="R147" s="13" t="n">
        <v>-0.07</v>
      </c>
      <c r="S147" s="13" t="n">
        <v>0.01</v>
      </c>
      <c r="T147" s="15"/>
      <c r="U147" s="15"/>
      <c r="V147" s="15"/>
    </row>
    <row r="148" customFormat="false" ht="12.8" hidden="false" customHeight="false" outlineLevel="0" collapsed="false">
      <c r="A148" s="1" t="n">
        <v>5.26</v>
      </c>
      <c r="B148" s="1" t="n">
        <v>-0.03</v>
      </c>
      <c r="C148" s="1" t="n">
        <v>0</v>
      </c>
      <c r="D148" s="1" t="n">
        <v>4.64</v>
      </c>
      <c r="E148" s="1" t="n">
        <v>-0.19</v>
      </c>
      <c r="F148" s="1" t="n">
        <v>-0.022</v>
      </c>
      <c r="G148" s="22" t="n">
        <v>9.6611818537912</v>
      </c>
      <c r="H148" s="1" t="n">
        <v>9.66</v>
      </c>
      <c r="I148" s="22" t="n">
        <v>-0.00118185379119495</v>
      </c>
      <c r="K148" s="12" t="n">
        <v>6</v>
      </c>
      <c r="L148" s="13" t="s">
        <v>49</v>
      </c>
      <c r="M148" s="13" t="n">
        <v>9.85</v>
      </c>
      <c r="N148" s="13" t="n">
        <v>6.83</v>
      </c>
      <c r="O148" s="13" t="n">
        <v>-0.62</v>
      </c>
      <c r="P148" s="13" t="n">
        <v>-0.75</v>
      </c>
      <c r="Q148" s="13" t="n">
        <v>4.6</v>
      </c>
      <c r="R148" s="13" t="n">
        <v>-0.21</v>
      </c>
      <c r="S148" s="13" t="n">
        <v>-0.005</v>
      </c>
      <c r="T148" s="15"/>
      <c r="U148" s="15"/>
      <c r="V148" s="15"/>
    </row>
    <row r="149" customFormat="false" ht="12.8" hidden="false" customHeight="false" outlineLevel="0" collapsed="false">
      <c r="A149" s="1" t="n">
        <v>5.47</v>
      </c>
      <c r="B149" s="1" t="n">
        <v>-0.13</v>
      </c>
      <c r="C149" s="1" t="n">
        <v>-0.03</v>
      </c>
      <c r="D149" s="1" t="n">
        <v>4.64</v>
      </c>
      <c r="E149" s="1" t="n">
        <v>-0.03</v>
      </c>
      <c r="F149" s="1" t="n">
        <v>-0.015</v>
      </c>
      <c r="G149" s="22" t="n">
        <v>9.90524679897176</v>
      </c>
      <c r="H149" s="1" t="n">
        <v>9.91</v>
      </c>
      <c r="I149" s="22" t="n">
        <v>0.00475320102824384</v>
      </c>
      <c r="K149" s="12" t="n">
        <v>6</v>
      </c>
      <c r="L149" s="13" t="s">
        <v>50</v>
      </c>
      <c r="M149" s="13" t="n">
        <v>9.84</v>
      </c>
      <c r="N149" s="13" t="n">
        <v>6.2</v>
      </c>
      <c r="O149" s="13" t="n">
        <v>-0.29</v>
      </c>
      <c r="P149" s="13" t="n">
        <v>-0.49</v>
      </c>
      <c r="Q149" s="13" t="n">
        <v>4.6</v>
      </c>
      <c r="R149" s="13" t="n">
        <v>-0.02</v>
      </c>
      <c r="S149" s="13" t="n">
        <v>-0.152</v>
      </c>
      <c r="T149" s="15"/>
      <c r="U149" s="15"/>
      <c r="V149" s="15"/>
    </row>
    <row r="150" customFormat="false" ht="12.8" hidden="false" customHeight="false" outlineLevel="0" collapsed="false">
      <c r="A150" s="1" t="n">
        <v>5.43</v>
      </c>
      <c r="B150" s="1" t="n">
        <v>-0.15</v>
      </c>
      <c r="C150" s="1" t="n">
        <v>-0.16</v>
      </c>
      <c r="D150" s="1" t="n">
        <v>4.64</v>
      </c>
      <c r="E150" s="1" t="n">
        <v>-0.1</v>
      </c>
      <c r="F150" s="1" t="n">
        <v>0.01</v>
      </c>
      <c r="G150" s="22" t="n">
        <v>9.6720337825436</v>
      </c>
      <c r="H150" s="1" t="n">
        <v>9.67</v>
      </c>
      <c r="I150" s="22" t="n">
        <v>-0.00203378254360054</v>
      </c>
      <c r="K150" s="12" t="n">
        <v>6</v>
      </c>
      <c r="L150" s="13" t="s">
        <v>51</v>
      </c>
      <c r="M150" s="13" t="n">
        <v>9.59</v>
      </c>
      <c r="N150" s="13" t="n">
        <v>5.49</v>
      </c>
      <c r="O150" s="13" t="n">
        <v>-0.19</v>
      </c>
      <c r="P150" s="13" t="n">
        <v>-0.28</v>
      </c>
      <c r="Q150" s="13" t="n">
        <v>4.6</v>
      </c>
      <c r="R150" s="13" t="n">
        <v>-0.04</v>
      </c>
      <c r="S150" s="13" t="n">
        <v>0.01</v>
      </c>
    </row>
    <row r="151" customFormat="false" ht="12.8" hidden="false" customHeight="false" outlineLevel="0" collapsed="false">
      <c r="A151" s="1" t="n">
        <v>5.24</v>
      </c>
      <c r="B151" s="1" t="n">
        <v>-0.08</v>
      </c>
      <c r="C151" s="1" t="n">
        <v>-0.2</v>
      </c>
      <c r="D151" s="1" t="n">
        <v>4.64</v>
      </c>
      <c r="E151" s="1" t="n">
        <v>-0.07</v>
      </c>
      <c r="F151" s="1" t="n">
        <v>-0.037</v>
      </c>
      <c r="G151" s="22" t="n">
        <v>9.48884697500296</v>
      </c>
      <c r="H151" s="1" t="n">
        <v>9.49</v>
      </c>
      <c r="I151" s="22" t="n">
        <v>0.00115302499703951</v>
      </c>
      <c r="K151" s="12" t="n">
        <v>6</v>
      </c>
      <c r="L151" s="13" t="s">
        <v>52</v>
      </c>
      <c r="M151" s="13" t="n">
        <v>9.66</v>
      </c>
      <c r="N151" s="13" t="n">
        <v>5.13</v>
      </c>
      <c r="O151" s="13" t="n">
        <v>-0.04</v>
      </c>
      <c r="P151" s="13" t="n">
        <v>0.03</v>
      </c>
      <c r="Q151" s="13" t="n">
        <v>4.6</v>
      </c>
      <c r="R151" s="13" t="n">
        <v>-0.06</v>
      </c>
      <c r="S151" s="13" t="n">
        <v>0.01</v>
      </c>
    </row>
    <row r="152" customFormat="false" ht="12.8" hidden="false" customHeight="false" outlineLevel="0" collapsed="false">
      <c r="A152" s="1" t="n">
        <v>5.31</v>
      </c>
      <c r="B152" s="1" t="n">
        <v>0.01</v>
      </c>
      <c r="C152" s="1" t="n">
        <v>-0.09</v>
      </c>
      <c r="D152" s="1" t="n">
        <v>4.64</v>
      </c>
      <c r="E152" s="1" t="n">
        <v>0.02</v>
      </c>
      <c r="F152" s="1" t="n">
        <v>-0.084</v>
      </c>
      <c r="G152" s="22" t="n">
        <v>9.79776131058102</v>
      </c>
      <c r="H152" s="1" t="n">
        <v>9.8</v>
      </c>
      <c r="I152" s="22" t="n">
        <v>0.00223868941898431</v>
      </c>
      <c r="K152" s="12" t="n">
        <v>6</v>
      </c>
      <c r="L152" s="13" t="s">
        <v>53</v>
      </c>
      <c r="M152" s="13" t="n">
        <v>9.79</v>
      </c>
      <c r="N152" s="13" t="n">
        <v>5.4</v>
      </c>
      <c r="O152" s="13" t="n">
        <v>-0.07</v>
      </c>
      <c r="P152" s="13" t="n">
        <v>-0.06</v>
      </c>
      <c r="Q152" s="13" t="n">
        <v>4.6</v>
      </c>
      <c r="R152" s="13" t="n">
        <v>-0.03</v>
      </c>
      <c r="S152" s="13" t="n">
        <v>-0.048</v>
      </c>
    </row>
    <row r="153" customFormat="false" ht="12.8" hidden="false" customHeight="false" outlineLevel="0" collapsed="false">
      <c r="A153" s="1" t="n">
        <v>5.03</v>
      </c>
      <c r="B153" s="1" t="n">
        <v>-0.04</v>
      </c>
      <c r="C153" s="1" t="n">
        <v>0.11</v>
      </c>
      <c r="D153" s="1" t="n">
        <v>4.64</v>
      </c>
      <c r="E153" s="1" t="n">
        <v>0.03</v>
      </c>
      <c r="F153" s="1" t="n">
        <v>-0.013</v>
      </c>
      <c r="G153" s="22" t="n">
        <v>9.75512786732464</v>
      </c>
      <c r="H153" s="1" t="n">
        <v>9.75</v>
      </c>
      <c r="I153" s="22" t="n">
        <v>-0.00512786732463511</v>
      </c>
      <c r="K153" s="12" t="n">
        <v>6</v>
      </c>
      <c r="L153" s="13" t="s">
        <v>54</v>
      </c>
      <c r="M153" s="13" t="n">
        <v>9.81</v>
      </c>
      <c r="N153" s="13" t="n">
        <v>5.28</v>
      </c>
      <c r="O153" s="13" t="n">
        <v>-0.02</v>
      </c>
      <c r="P153" s="13" t="n">
        <v>-0.08</v>
      </c>
      <c r="Q153" s="13" t="n">
        <v>4.6</v>
      </c>
      <c r="R153" s="13" t="n">
        <v>0.02</v>
      </c>
      <c r="S153" s="13" t="n">
        <v>0.01</v>
      </c>
    </row>
    <row r="154" customFormat="false" ht="12.8" hidden="false" customHeight="false" outlineLevel="0" collapsed="false">
      <c r="A154" s="1" t="n">
        <v>4.84</v>
      </c>
      <c r="B154" s="1" t="n">
        <v>0.2</v>
      </c>
      <c r="C154" s="1" t="n">
        <v>0.27</v>
      </c>
      <c r="D154" s="1" t="n">
        <v>4.64</v>
      </c>
      <c r="E154" s="1" t="n">
        <v>0.05</v>
      </c>
      <c r="F154" s="1" t="n">
        <v>0.01</v>
      </c>
      <c r="G154" s="22" t="n">
        <v>10.0107255665652</v>
      </c>
      <c r="H154" s="1" t="n">
        <v>10.01</v>
      </c>
      <c r="I154" s="22" t="n">
        <v>-0.000725566565185076</v>
      </c>
      <c r="K154" s="12" t="n">
        <v>6</v>
      </c>
      <c r="L154" s="13" t="s">
        <v>56</v>
      </c>
      <c r="M154" s="13" t="n">
        <v>9.78</v>
      </c>
      <c r="N154" s="13" t="n">
        <v>5.03</v>
      </c>
      <c r="O154" s="13" t="n">
        <v>-0.01</v>
      </c>
      <c r="P154" s="13" t="n">
        <v>0.13</v>
      </c>
      <c r="Q154" s="13" t="n">
        <v>4.6</v>
      </c>
      <c r="R154" s="13" t="n">
        <v>0.01</v>
      </c>
      <c r="S154" s="13" t="n">
        <v>0.01</v>
      </c>
    </row>
    <row r="155" customFormat="false" ht="12.8" hidden="false" customHeight="false" outlineLevel="0" collapsed="false">
      <c r="A155" s="1" t="n">
        <v>5.15</v>
      </c>
      <c r="B155" s="1" t="n">
        <v>0.01</v>
      </c>
      <c r="C155" s="1" t="n">
        <v>0.01</v>
      </c>
      <c r="D155" s="1" t="n">
        <v>4.64</v>
      </c>
      <c r="E155" s="1" t="n">
        <v>-0.02</v>
      </c>
      <c r="F155" s="1" t="n">
        <v>0.01</v>
      </c>
      <c r="G155" s="22" t="n">
        <v>9.80070018750674</v>
      </c>
      <c r="H155" s="1" t="n">
        <v>9.81</v>
      </c>
      <c r="I155" s="22" t="n">
        <v>0.00929981249325707</v>
      </c>
      <c r="K155" s="12" t="n">
        <v>6</v>
      </c>
      <c r="L155" s="13" t="s">
        <v>58</v>
      </c>
      <c r="M155" s="13" t="n">
        <v>9.77</v>
      </c>
      <c r="N155" s="13" t="n">
        <v>5.12</v>
      </c>
      <c r="O155" s="13" t="n">
        <v>-0.08</v>
      </c>
      <c r="P155" s="13" t="n">
        <v>0.12</v>
      </c>
      <c r="Q155" s="13" t="n">
        <v>4.6</v>
      </c>
      <c r="R155" s="13" t="n">
        <v>0</v>
      </c>
      <c r="S155" s="13" t="n">
        <v>0.01</v>
      </c>
    </row>
    <row r="156" customFormat="false" ht="12.8" hidden="false" customHeight="false" outlineLevel="0" collapsed="false">
      <c r="A156" s="1" t="n">
        <v>5.22</v>
      </c>
      <c r="B156" s="1" t="n">
        <v>0.07</v>
      </c>
      <c r="C156" s="1" t="n">
        <v>-0.15</v>
      </c>
      <c r="D156" s="1" t="n">
        <v>4.64</v>
      </c>
      <c r="E156" s="1" t="n">
        <v>-0.06</v>
      </c>
      <c r="F156" s="1" t="n">
        <v>0.01</v>
      </c>
      <c r="G156" s="22" t="n">
        <v>9.73004920537808</v>
      </c>
      <c r="H156" s="1" t="n">
        <v>9.73</v>
      </c>
      <c r="I156" s="22" t="n">
        <v>-4.92053780813961E-005</v>
      </c>
      <c r="K156" s="12" t="n">
        <v>6</v>
      </c>
      <c r="L156" s="13" t="s">
        <v>60</v>
      </c>
      <c r="M156" s="13" t="n">
        <v>9.98</v>
      </c>
      <c r="N156" s="13" t="n">
        <v>4.48</v>
      </c>
      <c r="O156" s="13" t="n">
        <v>0.16</v>
      </c>
      <c r="P156" s="13" t="n">
        <v>0.66</v>
      </c>
      <c r="Q156" s="13" t="n">
        <v>4.6</v>
      </c>
      <c r="R156" s="13" t="n">
        <v>0.07</v>
      </c>
      <c r="S156" s="13" t="n">
        <v>0.01</v>
      </c>
    </row>
    <row r="157" customFormat="false" ht="12.8" hidden="false" customHeight="false" outlineLevel="0" collapsed="false">
      <c r="A157" s="1" t="n">
        <v>5.36</v>
      </c>
      <c r="B157" s="1" t="n">
        <v>0.06</v>
      </c>
      <c r="C157" s="1" t="n">
        <v>0.01</v>
      </c>
      <c r="D157" s="1" t="n">
        <v>4.64</v>
      </c>
      <c r="E157" s="1" t="n">
        <v>0.02</v>
      </c>
      <c r="F157" s="1" t="n">
        <v>-0.007</v>
      </c>
      <c r="G157" s="22" t="n">
        <v>10.082631237622</v>
      </c>
      <c r="H157" s="1" t="n">
        <v>10.09</v>
      </c>
      <c r="I157" s="22" t="n">
        <v>0.00736876237796125</v>
      </c>
      <c r="K157" s="12" t="n">
        <v>6</v>
      </c>
      <c r="L157" s="13" t="s">
        <v>62</v>
      </c>
      <c r="M157" s="13" t="n">
        <v>10.02</v>
      </c>
      <c r="N157" s="13" t="n">
        <v>5.02</v>
      </c>
      <c r="O157" s="13" t="n">
        <v>-0.06</v>
      </c>
      <c r="P157" s="13" t="n">
        <v>0.38</v>
      </c>
      <c r="Q157" s="13" t="n">
        <v>4.6</v>
      </c>
      <c r="R157" s="13" t="n">
        <v>0.06</v>
      </c>
      <c r="S157" s="13" t="n">
        <v>0.01</v>
      </c>
    </row>
    <row r="158" customFormat="false" ht="12.8" hidden="false" customHeight="false" outlineLevel="0" collapsed="false">
      <c r="A158" s="1" t="n">
        <v>5.33</v>
      </c>
      <c r="B158" s="1" t="n">
        <v>0.17</v>
      </c>
      <c r="C158" s="1" t="n">
        <v>0.13</v>
      </c>
      <c r="D158" s="1" t="n">
        <v>4.64</v>
      </c>
      <c r="E158" s="1" t="n">
        <v>0.01</v>
      </c>
      <c r="F158" s="1" t="n">
        <v>0.01</v>
      </c>
      <c r="G158" s="22" t="n">
        <v>10.2928438320951</v>
      </c>
      <c r="H158" s="1" t="n">
        <v>10.29</v>
      </c>
      <c r="I158" s="22" t="n">
        <v>-0.00284383209512029</v>
      </c>
      <c r="K158" s="12" t="n">
        <v>6</v>
      </c>
      <c r="L158" s="13" t="s">
        <v>64</v>
      </c>
      <c r="M158" s="13" t="n">
        <v>9.35</v>
      </c>
      <c r="N158" s="13" t="n">
        <v>5.31</v>
      </c>
      <c r="O158" s="13" t="n">
        <v>-0.14</v>
      </c>
      <c r="P158" s="13" t="n">
        <v>-0.31</v>
      </c>
      <c r="Q158" s="13" t="n">
        <v>4.6</v>
      </c>
      <c r="R158" s="13" t="n">
        <v>-0.08</v>
      </c>
      <c r="S158" s="13" t="n">
        <v>-0.02</v>
      </c>
    </row>
    <row r="159" customFormat="false" ht="12.8" hidden="false" customHeight="false" outlineLevel="0" collapsed="false">
      <c r="A159" s="1" t="n">
        <v>5.53</v>
      </c>
      <c r="B159" s="1" t="n">
        <v>0.03</v>
      </c>
      <c r="C159" s="1" t="n">
        <v>-0.02</v>
      </c>
      <c r="D159" s="1" t="n">
        <v>4.64</v>
      </c>
      <c r="E159" s="1" t="n">
        <v>-0.02</v>
      </c>
      <c r="F159" s="1" t="n">
        <v>0.01</v>
      </c>
      <c r="G159" s="22" t="n">
        <v>10.1726500502163</v>
      </c>
      <c r="H159" s="1" t="n">
        <v>10.17</v>
      </c>
      <c r="I159" s="22" t="n">
        <v>-0.00265005021625342</v>
      </c>
      <c r="K159" s="12" t="n">
        <v>6</v>
      </c>
      <c r="L159" s="13" t="s">
        <v>66</v>
      </c>
      <c r="M159" s="13" t="n">
        <v>9.62</v>
      </c>
      <c r="N159" s="13" t="n">
        <v>4.98</v>
      </c>
      <c r="O159" s="13" t="n">
        <v>-0.07</v>
      </c>
      <c r="P159" s="13" t="n">
        <v>0.12</v>
      </c>
      <c r="Q159" s="13" t="n">
        <v>4.6</v>
      </c>
      <c r="R159" s="13" t="n">
        <v>0</v>
      </c>
      <c r="S159" s="13" t="n">
        <v>-0.01</v>
      </c>
    </row>
    <row r="160" customFormat="false" ht="12.8" hidden="false" customHeight="false" outlineLevel="0" collapsed="false">
      <c r="A160" s="1" t="n">
        <v>5.96</v>
      </c>
      <c r="B160" s="1" t="n">
        <v>-0.03</v>
      </c>
      <c r="C160" s="1" t="n">
        <v>-0.44</v>
      </c>
      <c r="D160" s="1" t="n">
        <v>4.64</v>
      </c>
      <c r="E160" s="1" t="n">
        <v>0.09</v>
      </c>
      <c r="F160" s="1" t="n">
        <v>-0.077</v>
      </c>
      <c r="G160" s="22" t="n">
        <v>10.1325758076989</v>
      </c>
      <c r="H160" s="1" t="n">
        <v>10.14</v>
      </c>
      <c r="I160" s="22" t="n">
        <v>0.00742419230114244</v>
      </c>
      <c r="K160" s="12" t="n">
        <v>6</v>
      </c>
      <c r="L160" s="13" t="s">
        <v>67</v>
      </c>
      <c r="M160" s="13" t="n">
        <v>9.94</v>
      </c>
      <c r="N160" s="13" t="n">
        <v>5.33</v>
      </c>
      <c r="O160" s="13" t="n">
        <v>-0.02</v>
      </c>
      <c r="P160" s="13" t="n">
        <v>0.03</v>
      </c>
      <c r="Q160" s="13" t="n">
        <v>4.6</v>
      </c>
      <c r="R160" s="13" t="n">
        <v>-0.01</v>
      </c>
      <c r="S160" s="13" t="n">
        <v>0.01</v>
      </c>
    </row>
    <row r="161" customFormat="false" ht="12.8" hidden="false" customHeight="false" outlineLevel="0" collapsed="false">
      <c r="A161" s="1" t="n">
        <v>5.95</v>
      </c>
      <c r="B161" s="1" t="n">
        <v>-0.05</v>
      </c>
      <c r="C161" s="1" t="n">
        <v>-0.5</v>
      </c>
      <c r="D161" s="1" t="n">
        <v>4.64</v>
      </c>
      <c r="E161" s="1" t="n">
        <v>-0.09</v>
      </c>
      <c r="F161" s="1" t="n">
        <v>-0.002</v>
      </c>
      <c r="G161" s="22" t="n">
        <v>9.94742408315039</v>
      </c>
      <c r="H161" s="1" t="n">
        <v>9.94</v>
      </c>
      <c r="I161" s="22" t="n">
        <v>-0.00742408315039178</v>
      </c>
      <c r="K161" s="12" t="n">
        <v>6</v>
      </c>
      <c r="L161" s="13" t="s">
        <v>69</v>
      </c>
      <c r="M161" s="13" t="n">
        <v>10.07</v>
      </c>
      <c r="N161" s="13" t="n">
        <v>5.58</v>
      </c>
      <c r="O161" s="13" t="n">
        <v>-0.14</v>
      </c>
      <c r="P161" s="13" t="n">
        <v>-0.03</v>
      </c>
      <c r="Q161" s="13" t="n">
        <v>4.6</v>
      </c>
      <c r="R161" s="13" t="n">
        <v>0.05</v>
      </c>
      <c r="S161" s="13" t="n">
        <v>0.01</v>
      </c>
    </row>
    <row r="162" customFormat="false" ht="12.8" hidden="false" customHeight="false" outlineLevel="0" collapsed="false">
      <c r="A162" s="1" t="n">
        <v>6.09</v>
      </c>
      <c r="B162" s="1" t="n">
        <v>-0.16</v>
      </c>
      <c r="C162" s="1" t="n">
        <v>-0.67</v>
      </c>
      <c r="D162" s="1" t="n">
        <v>4.64</v>
      </c>
      <c r="E162" s="1" t="n">
        <v>-0.07</v>
      </c>
      <c r="F162" s="1" t="n">
        <v>-0.018</v>
      </c>
      <c r="G162" s="22" t="n">
        <v>9.80801116450705</v>
      </c>
      <c r="H162" s="1" t="n">
        <v>9.82</v>
      </c>
      <c r="I162" s="22" t="n">
        <v>0.01198883549295</v>
      </c>
      <c r="K162" s="12" t="n">
        <v>6</v>
      </c>
      <c r="L162" s="13" t="s">
        <v>75</v>
      </c>
      <c r="M162" s="13" t="n">
        <v>9.94</v>
      </c>
      <c r="N162" s="13" t="n">
        <v>5.54</v>
      </c>
      <c r="O162" s="13" t="n">
        <v>-0.15</v>
      </c>
      <c r="P162" s="13" t="n">
        <v>-0.14</v>
      </c>
      <c r="Q162" s="13" t="n">
        <v>4.6</v>
      </c>
      <c r="R162" s="13" t="n">
        <v>0.08</v>
      </c>
      <c r="S162" s="13" t="n">
        <v>0.01</v>
      </c>
    </row>
    <row r="163" customFormat="false" ht="12.8" hidden="false" customHeight="false" outlineLevel="0" collapsed="false">
      <c r="A163" s="1" t="n">
        <v>6.4</v>
      </c>
      <c r="B163" s="1" t="n">
        <v>-0.31</v>
      </c>
      <c r="C163" s="1" t="n">
        <v>-0.55</v>
      </c>
      <c r="D163" s="1" t="n">
        <v>4.64</v>
      </c>
      <c r="E163" s="1" t="n">
        <v>0.07</v>
      </c>
      <c r="F163" s="1" t="n">
        <v>0.01</v>
      </c>
      <c r="G163" s="22" t="n">
        <v>10.2579169271428</v>
      </c>
      <c r="H163" s="1" t="n">
        <v>10.26</v>
      </c>
      <c r="I163" s="22" t="n">
        <v>0.002083072857193</v>
      </c>
      <c r="K163" s="12" t="n">
        <v>6</v>
      </c>
      <c r="L163" s="13" t="s">
        <v>76</v>
      </c>
      <c r="M163" s="13" t="n">
        <v>9.55</v>
      </c>
      <c r="N163" s="13" t="n">
        <v>5.27</v>
      </c>
      <c r="O163" s="13" t="n">
        <v>-0.08</v>
      </c>
      <c r="P163" s="13" t="n">
        <v>-0.17</v>
      </c>
      <c r="Q163" s="13" t="n">
        <v>4.6</v>
      </c>
      <c r="R163" s="13" t="n">
        <v>-0.04</v>
      </c>
      <c r="S163" s="13" t="n">
        <v>-0.028</v>
      </c>
    </row>
    <row r="164" customFormat="false" ht="12.8" hidden="false" customHeight="false" outlineLevel="0" collapsed="false">
      <c r="A164" s="1" t="n">
        <v>5.61</v>
      </c>
      <c r="B164" s="1" t="n">
        <v>0.07</v>
      </c>
      <c r="C164" s="1" t="n">
        <v>-0.18</v>
      </c>
      <c r="D164" s="1" t="n">
        <v>4.64</v>
      </c>
      <c r="E164" s="1" t="n">
        <v>-0.08</v>
      </c>
      <c r="F164" s="1" t="n">
        <v>0.01</v>
      </c>
      <c r="G164" s="22" t="n">
        <v>10.0725720499124</v>
      </c>
      <c r="H164" s="1" t="n">
        <v>10.07</v>
      </c>
      <c r="I164" s="22" t="n">
        <v>-0.0025720499123576</v>
      </c>
      <c r="K164" s="12" t="n">
        <v>6</v>
      </c>
      <c r="L164" s="13" t="s">
        <v>78</v>
      </c>
      <c r="M164" s="13" t="n">
        <v>9.91</v>
      </c>
      <c r="N164" s="13" t="n">
        <v>5.38</v>
      </c>
      <c r="O164" s="13" t="n">
        <v>0</v>
      </c>
      <c r="P164" s="13" t="n">
        <v>-0.09</v>
      </c>
      <c r="Q164" s="13" t="n">
        <v>4.6</v>
      </c>
      <c r="R164" s="13" t="n">
        <v>0.03</v>
      </c>
      <c r="S164" s="13" t="n">
        <v>-0.016</v>
      </c>
    </row>
    <row r="165" customFormat="false" ht="12.8" hidden="false" customHeight="false" outlineLevel="0" collapsed="false">
      <c r="A165" s="1" t="n">
        <v>5.43</v>
      </c>
      <c r="B165" s="1" t="n">
        <v>0.04</v>
      </c>
      <c r="C165" s="1" t="n">
        <v>-0.14</v>
      </c>
      <c r="D165" s="1" t="n">
        <v>4.64</v>
      </c>
      <c r="E165" s="1" t="n">
        <v>-0.06</v>
      </c>
      <c r="F165" s="1" t="n">
        <v>0.01</v>
      </c>
      <c r="G165" s="22" t="n">
        <v>9.92145005187995</v>
      </c>
      <c r="H165" s="1" t="n">
        <v>9.92</v>
      </c>
      <c r="I165" s="22" t="n">
        <v>-0.0014500518799494</v>
      </c>
      <c r="K165" s="12" t="n">
        <v>6</v>
      </c>
      <c r="L165" s="13" t="s">
        <v>80</v>
      </c>
      <c r="M165" s="13" t="n">
        <v>9.85</v>
      </c>
      <c r="N165" s="13" t="n">
        <v>5.13</v>
      </c>
      <c r="O165" s="13" t="n">
        <v>-0.04</v>
      </c>
      <c r="P165" s="13" t="n">
        <v>0.1</v>
      </c>
      <c r="Q165" s="13" t="n">
        <v>4.6</v>
      </c>
      <c r="R165" s="13" t="n">
        <v>0.05</v>
      </c>
      <c r="S165" s="13" t="n">
        <v>0.01</v>
      </c>
    </row>
    <row r="166" customFormat="false" ht="12.8" hidden="false" customHeight="false" outlineLevel="0" collapsed="false">
      <c r="A166" s="1" t="n">
        <v>5.73</v>
      </c>
      <c r="B166" s="1" t="n">
        <v>-0.19</v>
      </c>
      <c r="C166" s="1" t="n">
        <v>-0.1</v>
      </c>
      <c r="D166" s="1" t="n">
        <v>4.64</v>
      </c>
      <c r="E166" s="1" t="n">
        <v>-0.13</v>
      </c>
      <c r="F166" s="1" t="n">
        <v>0.01</v>
      </c>
      <c r="G166" s="22" t="n">
        <v>9.96546990875277</v>
      </c>
      <c r="H166" s="1" t="n">
        <v>9.96</v>
      </c>
      <c r="I166" s="22" t="n">
        <v>-0.00546990875277231</v>
      </c>
      <c r="K166" s="12" t="n">
        <v>6</v>
      </c>
      <c r="L166" s="13" t="s">
        <v>81</v>
      </c>
      <c r="M166" s="13" t="n">
        <v>10.02</v>
      </c>
      <c r="N166" s="13" t="n">
        <v>4.92</v>
      </c>
      <c r="O166" s="13" t="n">
        <v>0.19</v>
      </c>
      <c r="P166" s="13" t="n">
        <v>0.25</v>
      </c>
      <c r="Q166" s="13" t="n">
        <v>4.6</v>
      </c>
      <c r="R166" s="13" t="n">
        <v>0.05</v>
      </c>
      <c r="S166" s="13" t="n">
        <v>0.01</v>
      </c>
    </row>
    <row r="167" customFormat="false" ht="12.8" hidden="false" customHeight="false" outlineLevel="0" collapsed="false">
      <c r="A167" s="1" t="n">
        <v>6.11</v>
      </c>
      <c r="B167" s="1" t="n">
        <v>-0.12</v>
      </c>
      <c r="C167" s="1" t="n">
        <v>-0.35</v>
      </c>
      <c r="D167" s="1" t="n">
        <v>4.64</v>
      </c>
      <c r="E167" s="1" t="n">
        <v>-0.04</v>
      </c>
      <c r="F167" s="1" t="n">
        <v>0.01</v>
      </c>
      <c r="G167" s="22" t="n">
        <v>10.2520321314786</v>
      </c>
      <c r="H167" s="1" t="n">
        <v>10.25</v>
      </c>
      <c r="I167" s="22" t="n">
        <v>-0.00203213147860382</v>
      </c>
      <c r="K167" s="12" t="n">
        <v>6</v>
      </c>
      <c r="L167" s="13" t="s">
        <v>83</v>
      </c>
      <c r="M167" s="13" t="n">
        <v>9.94</v>
      </c>
      <c r="N167" s="13" t="n">
        <v>5.26</v>
      </c>
      <c r="O167" s="13" t="n">
        <v>0.02</v>
      </c>
      <c r="P167" s="13" t="n">
        <v>0.01</v>
      </c>
      <c r="Q167" s="13" t="n">
        <v>4.6</v>
      </c>
      <c r="R167" s="13" t="n">
        <v>0.04</v>
      </c>
      <c r="S167" s="13" t="n">
        <v>0.01</v>
      </c>
    </row>
    <row r="168" customFormat="false" ht="12.8" hidden="false" customHeight="false" outlineLevel="0" collapsed="false">
      <c r="A168" s="1" t="n">
        <v>6.05</v>
      </c>
      <c r="B168" s="1" t="n">
        <v>-0.07</v>
      </c>
      <c r="C168" s="1" t="n">
        <v>-0.33</v>
      </c>
      <c r="D168" s="1" t="n">
        <v>4.64</v>
      </c>
      <c r="E168" s="1" t="n">
        <v>-0.04</v>
      </c>
      <c r="F168" s="1" t="n">
        <v>-0.021</v>
      </c>
      <c r="G168" s="22" t="n">
        <v>10.2285273340264</v>
      </c>
      <c r="H168" s="1" t="n">
        <v>10.23</v>
      </c>
      <c r="I168" s="22" t="n">
        <v>0.00147266597363327</v>
      </c>
      <c r="K168" s="12" t="n">
        <v>6</v>
      </c>
      <c r="L168" s="13" t="s">
        <v>84</v>
      </c>
      <c r="M168" s="13" t="n">
        <v>9.89</v>
      </c>
      <c r="N168" s="13" t="n">
        <v>5.32</v>
      </c>
      <c r="O168" s="13" t="n">
        <v>0.07</v>
      </c>
      <c r="P168" s="13" t="n">
        <v>-0.14</v>
      </c>
      <c r="Q168" s="13" t="n">
        <v>4.6</v>
      </c>
      <c r="R168" s="13" t="n">
        <v>0.02</v>
      </c>
      <c r="S168" s="13" t="n">
        <v>0.01</v>
      </c>
    </row>
    <row r="169" customFormat="false" ht="12.8" hidden="false" customHeight="false" outlineLevel="0" collapsed="false">
      <c r="A169" s="1" t="n">
        <v>5.87</v>
      </c>
      <c r="B169" s="1" t="n">
        <v>0.02</v>
      </c>
      <c r="C169" s="1" t="n">
        <v>-0.45</v>
      </c>
      <c r="D169" s="1" t="n">
        <v>4.64</v>
      </c>
      <c r="E169" s="1" t="n">
        <v>-0.08</v>
      </c>
      <c r="F169" s="1" t="n">
        <v>0.01</v>
      </c>
      <c r="G169" s="22" t="n">
        <v>10.0103861049246</v>
      </c>
      <c r="H169" s="1" t="n">
        <v>10.01</v>
      </c>
      <c r="I169" s="22" t="n">
        <v>-0.000386104924551489</v>
      </c>
      <c r="K169" s="12" t="n">
        <v>6</v>
      </c>
      <c r="L169" s="13" t="s">
        <v>88</v>
      </c>
      <c r="M169" s="13" t="n">
        <v>10.13</v>
      </c>
      <c r="N169" s="13" t="n">
        <v>5.36</v>
      </c>
      <c r="O169" s="13" t="n">
        <v>0.06</v>
      </c>
      <c r="P169" s="13" t="n">
        <v>0.03</v>
      </c>
      <c r="Q169" s="13" t="n">
        <v>4.6</v>
      </c>
      <c r="R169" s="13" t="n">
        <v>0.06</v>
      </c>
      <c r="S169" s="13" t="n">
        <v>0.01</v>
      </c>
    </row>
    <row r="170" customFormat="false" ht="12.8" hidden="false" customHeight="false" outlineLevel="0" collapsed="false">
      <c r="A170" s="1" t="n">
        <v>6.05</v>
      </c>
      <c r="B170" s="1" t="n">
        <v>-0.16</v>
      </c>
      <c r="C170" s="1" t="n">
        <v>-0.38</v>
      </c>
      <c r="D170" s="1" t="n">
        <v>4.64</v>
      </c>
      <c r="E170" s="1" t="n">
        <v>-0.06</v>
      </c>
      <c r="F170" s="1" t="n">
        <v>0.01</v>
      </c>
      <c r="G170" s="22" t="n">
        <v>10.1017368159396</v>
      </c>
      <c r="H170" s="1" t="n">
        <v>10.1</v>
      </c>
      <c r="I170" s="22" t="n">
        <v>-0.00173681593962449</v>
      </c>
      <c r="K170" s="12" t="n">
        <v>6</v>
      </c>
      <c r="L170" s="13" t="s">
        <v>89</v>
      </c>
      <c r="M170" s="13" t="n">
        <v>10.34</v>
      </c>
      <c r="N170" s="13" t="n">
        <v>5.39</v>
      </c>
      <c r="O170" s="13" t="n">
        <v>0.17</v>
      </c>
      <c r="P170" s="13" t="n">
        <v>0.13</v>
      </c>
      <c r="Q170" s="13" t="n">
        <v>4.6</v>
      </c>
      <c r="R170" s="13" t="n">
        <v>0.05</v>
      </c>
      <c r="S170" s="13" t="n">
        <v>0.01</v>
      </c>
    </row>
    <row r="171" customFormat="false" ht="12.8" hidden="false" customHeight="false" outlineLevel="0" collapsed="false">
      <c r="A171" s="1" t="n">
        <v>5.91</v>
      </c>
      <c r="B171" s="1" t="n">
        <v>0.05</v>
      </c>
      <c r="C171" s="1" t="n">
        <v>-0.29</v>
      </c>
      <c r="D171" s="1" t="n">
        <v>4.64</v>
      </c>
      <c r="E171" s="1" t="n">
        <v>0.04</v>
      </c>
      <c r="F171" s="1" t="n">
        <v>0.01</v>
      </c>
      <c r="G171" s="22" t="n">
        <v>10.3596809414069</v>
      </c>
      <c r="H171" s="1" t="n">
        <v>10.36</v>
      </c>
      <c r="I171" s="22" t="n">
        <v>0.000319058593113653</v>
      </c>
      <c r="K171" s="12" t="n">
        <v>6</v>
      </c>
      <c r="L171" s="13" t="s">
        <v>90</v>
      </c>
      <c r="M171" s="13" t="n">
        <v>10.18</v>
      </c>
      <c r="N171" s="13" t="n">
        <v>5.56</v>
      </c>
      <c r="O171" s="13" t="n">
        <v>0.02</v>
      </c>
      <c r="P171" s="13" t="n">
        <v>-0.03</v>
      </c>
      <c r="Q171" s="13" t="n">
        <v>4.6</v>
      </c>
      <c r="R171" s="13" t="n">
        <v>0.01</v>
      </c>
      <c r="S171" s="13" t="n">
        <v>0.01</v>
      </c>
    </row>
    <row r="172" customFormat="false" ht="12.8" hidden="false" customHeight="false" outlineLevel="0" collapsed="false">
      <c r="A172" s="1" t="n">
        <v>6.92</v>
      </c>
      <c r="B172" s="1" t="n">
        <v>-0.2</v>
      </c>
      <c r="C172" s="1" t="n">
        <v>-0.71</v>
      </c>
      <c r="D172" s="1" t="n">
        <v>4.64</v>
      </c>
      <c r="E172" s="1" t="n">
        <v>-0.11</v>
      </c>
      <c r="F172" s="1" t="n">
        <v>-0.023</v>
      </c>
      <c r="G172" s="22" t="n">
        <v>10.5182009211023</v>
      </c>
      <c r="H172" s="1" t="n">
        <v>10.51</v>
      </c>
      <c r="I172" s="22" t="n">
        <v>-0.00820092110234683</v>
      </c>
      <c r="K172" s="12" t="n">
        <v>6</v>
      </c>
      <c r="L172" s="13" t="s">
        <v>91</v>
      </c>
      <c r="M172" s="13" t="n">
        <v>10.22</v>
      </c>
      <c r="N172" s="13" t="n">
        <v>6</v>
      </c>
      <c r="O172" s="13" t="n">
        <v>-0.02</v>
      </c>
      <c r="P172" s="13" t="n">
        <v>-0.43</v>
      </c>
      <c r="Q172" s="13" t="n">
        <v>4.6</v>
      </c>
      <c r="R172" s="13" t="n">
        <v>0.09</v>
      </c>
      <c r="S172" s="13" t="n">
        <v>-0.023</v>
      </c>
    </row>
    <row r="173" customFormat="false" ht="12.8" hidden="false" customHeight="false" outlineLevel="0" collapsed="false">
      <c r="A173" s="1" t="n">
        <v>6.6</v>
      </c>
      <c r="B173" s="1" t="n">
        <v>-0.23</v>
      </c>
      <c r="C173" s="1" t="n">
        <v>-0.77</v>
      </c>
      <c r="D173" s="1" t="n">
        <v>4.64</v>
      </c>
      <c r="E173" s="1" t="n">
        <v>-0.04</v>
      </c>
      <c r="F173" s="1" t="n">
        <v>0.002</v>
      </c>
      <c r="G173" s="22" t="n">
        <v>10.2004882228821</v>
      </c>
      <c r="H173" s="1" t="n">
        <v>10.21</v>
      </c>
      <c r="I173" s="22" t="n">
        <v>0.00951177711793783</v>
      </c>
      <c r="K173" s="12" t="n">
        <v>6</v>
      </c>
      <c r="L173" s="13" t="s">
        <v>92</v>
      </c>
      <c r="M173" s="13" t="n">
        <v>10</v>
      </c>
      <c r="N173" s="13" t="n">
        <v>6.03</v>
      </c>
      <c r="O173" s="13" t="n">
        <v>-0.06</v>
      </c>
      <c r="P173" s="13" t="n">
        <v>-0.5</v>
      </c>
      <c r="Q173" s="13" t="n">
        <v>4.6</v>
      </c>
      <c r="R173" s="13" t="n">
        <v>-0.08</v>
      </c>
      <c r="S173" s="13" t="n">
        <v>0.01</v>
      </c>
    </row>
    <row r="174" customFormat="false" ht="12.8" hidden="false" customHeight="false" outlineLevel="0" collapsed="false">
      <c r="A174" s="1" t="n">
        <v>6.4</v>
      </c>
      <c r="B174" s="1" t="n">
        <v>-0.08</v>
      </c>
      <c r="C174" s="1" t="n">
        <v>-0.62</v>
      </c>
      <c r="D174" s="1" t="n">
        <v>4.64</v>
      </c>
      <c r="E174" s="1" t="n">
        <v>0.03</v>
      </c>
      <c r="F174" s="1" t="n">
        <v>-0.047</v>
      </c>
      <c r="G174" s="22" t="n">
        <v>10.3167297431462</v>
      </c>
      <c r="H174" s="1" t="n">
        <v>10.32</v>
      </c>
      <c r="I174" s="22" t="n">
        <v>0.00327025685376725</v>
      </c>
      <c r="K174" s="12" t="n">
        <v>6</v>
      </c>
      <c r="L174" s="13" t="s">
        <v>93</v>
      </c>
      <c r="M174" s="13" t="n">
        <v>9.68</v>
      </c>
      <c r="N174" s="13" t="n">
        <v>6.04</v>
      </c>
      <c r="O174" s="13" t="n">
        <v>-0.16</v>
      </c>
      <c r="P174" s="13" t="n">
        <v>-0.67</v>
      </c>
      <c r="Q174" s="13" t="n">
        <v>4.6</v>
      </c>
      <c r="R174" s="13" t="n">
        <v>-0.14</v>
      </c>
      <c r="S174" s="13" t="n">
        <v>0.01</v>
      </c>
    </row>
    <row r="175" customFormat="false" ht="12.8" hidden="false" customHeight="false" outlineLevel="0" collapsed="false">
      <c r="A175" s="1" t="n">
        <v>6.43</v>
      </c>
      <c r="B175" s="1" t="n">
        <v>-0.22</v>
      </c>
      <c r="C175" s="1" t="n">
        <v>-0.6</v>
      </c>
      <c r="D175" s="1" t="n">
        <v>4.64</v>
      </c>
      <c r="E175" s="1" t="n">
        <v>-0.03</v>
      </c>
      <c r="F175" s="1" t="n">
        <v>-0.019</v>
      </c>
      <c r="G175" s="22" t="n">
        <v>10.1988658059411</v>
      </c>
      <c r="H175" s="1" t="n">
        <v>10.2</v>
      </c>
      <c r="I175" s="22" t="n">
        <v>0.0011341940589471</v>
      </c>
      <c r="K175" s="12" t="n">
        <v>6</v>
      </c>
      <c r="L175" s="13" t="s">
        <v>94</v>
      </c>
      <c r="M175" s="13" t="n">
        <v>9.92</v>
      </c>
      <c r="N175" s="13" t="n">
        <v>6.36</v>
      </c>
      <c r="O175" s="13" t="n">
        <v>-0.29</v>
      </c>
      <c r="P175" s="13" t="n">
        <v>-0.55</v>
      </c>
      <c r="Q175" s="13" t="n">
        <v>4.6</v>
      </c>
      <c r="R175" s="13" t="n">
        <v>-0.13</v>
      </c>
      <c r="S175" s="13" t="n">
        <v>-0.08</v>
      </c>
    </row>
    <row r="176" customFormat="false" ht="12.8" hidden="false" customHeight="false" outlineLevel="0" collapsed="false">
      <c r="A176" s="1" t="n">
        <v>6.05</v>
      </c>
      <c r="B176" s="1" t="n">
        <v>-0.1</v>
      </c>
      <c r="C176" s="1" t="n">
        <v>-0.75</v>
      </c>
      <c r="D176" s="1" t="n">
        <v>4.64</v>
      </c>
      <c r="E176" s="1" t="n">
        <v>-0.08</v>
      </c>
      <c r="F176" s="1" t="n">
        <v>-0.003</v>
      </c>
      <c r="G176" s="22" t="n">
        <v>9.75318217645187</v>
      </c>
      <c r="H176" s="1" t="n">
        <v>9.76</v>
      </c>
      <c r="I176" s="22" t="n">
        <v>0.0068178235481291</v>
      </c>
      <c r="K176" s="12" t="n">
        <v>6</v>
      </c>
      <c r="L176" s="13" t="s">
        <v>95</v>
      </c>
      <c r="M176" s="13" t="n">
        <v>10.02</v>
      </c>
      <c r="N176" s="13" t="n">
        <v>5.65</v>
      </c>
      <c r="O176" s="13" t="n">
        <v>0.06</v>
      </c>
      <c r="P176" s="13" t="n">
        <v>-0.2</v>
      </c>
      <c r="Q176" s="13" t="n">
        <v>4.6</v>
      </c>
      <c r="R176" s="13" t="n">
        <v>-0.11</v>
      </c>
      <c r="S176" s="13" t="n">
        <v>0.01</v>
      </c>
    </row>
    <row r="177" customFormat="false" ht="12.8" hidden="false" customHeight="false" outlineLevel="0" collapsed="false">
      <c r="A177" s="1" t="n">
        <v>6.59</v>
      </c>
      <c r="B177" s="1" t="n">
        <v>-0.06</v>
      </c>
      <c r="C177" s="1" t="n">
        <v>-0.88</v>
      </c>
      <c r="D177" s="1" t="n">
        <v>4.64</v>
      </c>
      <c r="E177" s="1" t="n">
        <v>0.02</v>
      </c>
      <c r="F177" s="1" t="n">
        <v>-0.056</v>
      </c>
      <c r="G177" s="22" t="n">
        <v>10.2448768565712</v>
      </c>
      <c r="H177" s="1" t="n">
        <v>10.26</v>
      </c>
      <c r="I177" s="22" t="n">
        <v>0.0151231434288359</v>
      </c>
      <c r="K177" s="12" t="n">
        <v>6</v>
      </c>
      <c r="L177" s="13" t="s">
        <v>97</v>
      </c>
      <c r="M177" s="13" t="n">
        <v>9.95</v>
      </c>
      <c r="N177" s="13" t="n">
        <v>5.5</v>
      </c>
      <c r="O177" s="13" t="n">
        <v>0.04</v>
      </c>
      <c r="P177" s="13" t="n">
        <v>-0.15</v>
      </c>
      <c r="Q177" s="13" t="n">
        <v>4.6</v>
      </c>
      <c r="R177" s="13" t="n">
        <v>-0.06</v>
      </c>
      <c r="S177" s="13" t="n">
        <v>0.01</v>
      </c>
    </row>
    <row r="178" customFormat="false" ht="12.8" hidden="false" customHeight="false" outlineLevel="0" collapsed="false">
      <c r="A178" s="1" t="n">
        <v>6.64</v>
      </c>
      <c r="B178" s="1" t="n">
        <v>0.25</v>
      </c>
      <c r="C178" s="1" t="n">
        <v>-1.59</v>
      </c>
      <c r="D178" s="1" t="n">
        <v>4.64</v>
      </c>
      <c r="E178" s="1" t="n">
        <v>-0.04</v>
      </c>
      <c r="F178" s="1" t="n">
        <v>-0.011</v>
      </c>
      <c r="G178" s="22" t="n">
        <v>9.8758762871097</v>
      </c>
      <c r="H178" s="1" t="n">
        <v>9.89</v>
      </c>
      <c r="I178" s="22" t="n">
        <v>0.0141237128903011</v>
      </c>
      <c r="K178" s="12" t="n">
        <v>6</v>
      </c>
      <c r="L178" s="13" t="s">
        <v>98</v>
      </c>
      <c r="M178" s="13" t="n">
        <v>10.2</v>
      </c>
      <c r="N178" s="13" t="n">
        <v>5.87</v>
      </c>
      <c r="O178" s="13" t="n">
        <v>-0.17</v>
      </c>
      <c r="P178" s="13" t="n">
        <v>-0.11</v>
      </c>
      <c r="Q178" s="13" t="n">
        <v>4.6</v>
      </c>
      <c r="R178" s="13" t="n">
        <v>0</v>
      </c>
      <c r="S178" s="13" t="n">
        <v>0.01</v>
      </c>
    </row>
    <row r="179" customFormat="false" ht="12.8" hidden="false" customHeight="false" outlineLevel="0" collapsed="false">
      <c r="A179" s="1" t="n">
        <v>6.26</v>
      </c>
      <c r="B179" s="1" t="n">
        <v>-0.31</v>
      </c>
      <c r="C179" s="1" t="n">
        <v>-0.25</v>
      </c>
      <c r="D179" s="1" t="n">
        <v>4.6</v>
      </c>
      <c r="E179" s="1" t="n">
        <v>-0.1</v>
      </c>
      <c r="F179" s="1" t="n">
        <v>0.01</v>
      </c>
      <c r="G179" s="22" t="n">
        <v>10.2135245785608</v>
      </c>
      <c r="H179" s="1" t="n">
        <v>10.21</v>
      </c>
      <c r="I179" s="22" t="n">
        <v>-0.00352457856075894</v>
      </c>
      <c r="K179" s="12" t="n">
        <v>6</v>
      </c>
      <c r="L179" s="13" t="s">
        <v>99</v>
      </c>
      <c r="M179" s="13" t="n">
        <v>10.19</v>
      </c>
      <c r="N179" s="13" t="n">
        <v>6.16</v>
      </c>
      <c r="O179" s="13" t="n">
        <v>-0.11</v>
      </c>
      <c r="P179" s="13" t="n">
        <v>-0.36</v>
      </c>
      <c r="Q179" s="13" t="n">
        <v>4.6</v>
      </c>
      <c r="R179" s="13" t="n">
        <v>-0.11</v>
      </c>
      <c r="S179" s="13" t="n">
        <v>0.01</v>
      </c>
    </row>
    <row r="180" customFormat="false" ht="12.8" hidden="false" customHeight="false" outlineLevel="0" collapsed="false">
      <c r="A180" s="1" t="n">
        <v>6.26</v>
      </c>
      <c r="B180" s="1" t="n">
        <v>-0.32</v>
      </c>
      <c r="C180" s="1" t="n">
        <v>-0.81</v>
      </c>
      <c r="D180" s="1" t="n">
        <v>4.6</v>
      </c>
      <c r="E180" s="1" t="n">
        <v>-0.25</v>
      </c>
      <c r="F180" s="1" t="n">
        <v>0.01</v>
      </c>
      <c r="G180" s="22" t="n">
        <v>9.48976390371069</v>
      </c>
      <c r="H180" s="1" t="n">
        <v>9.49</v>
      </c>
      <c r="I180" s="22" t="n">
        <v>0.000236096289309984</v>
      </c>
      <c r="K180" s="12" t="n">
        <v>6</v>
      </c>
      <c r="L180" s="13" t="s">
        <v>100</v>
      </c>
      <c r="M180" s="13" t="n">
        <v>10.33</v>
      </c>
      <c r="N180" s="13" t="n">
        <v>6.16</v>
      </c>
      <c r="O180" s="13" t="n">
        <v>-0.06</v>
      </c>
      <c r="P180" s="13" t="n">
        <v>-0.36</v>
      </c>
      <c r="Q180" s="13" t="n">
        <v>4.6</v>
      </c>
      <c r="R180" s="13" t="n">
        <v>-0.02</v>
      </c>
      <c r="S180" s="13" t="n">
        <v>0.01</v>
      </c>
    </row>
    <row r="181" customFormat="false" ht="12.8" hidden="false" customHeight="false" outlineLevel="0" collapsed="false">
      <c r="A181" s="1" t="n">
        <v>6.04</v>
      </c>
      <c r="B181" s="1" t="n">
        <v>-0.32</v>
      </c>
      <c r="C181" s="1" t="n">
        <v>-0.6</v>
      </c>
      <c r="D181" s="1" t="n">
        <v>4.6</v>
      </c>
      <c r="E181" s="1" t="n">
        <v>-0.1</v>
      </c>
      <c r="F181" s="1" t="n">
        <v>0.01</v>
      </c>
      <c r="G181" s="22" t="n">
        <v>9.62731529155859</v>
      </c>
      <c r="H181" s="1" t="n">
        <v>9.63</v>
      </c>
      <c r="I181" s="22" t="n">
        <v>0.00268470844141433</v>
      </c>
      <c r="K181" s="12" t="n">
        <v>6</v>
      </c>
      <c r="L181" s="13" t="s">
        <v>101</v>
      </c>
      <c r="M181" s="13" t="n">
        <v>10.03</v>
      </c>
      <c r="N181" s="13" t="n">
        <v>5.97</v>
      </c>
      <c r="O181" s="13" t="n">
        <v>0</v>
      </c>
      <c r="P181" s="13" t="n">
        <v>-0.47</v>
      </c>
      <c r="Q181" s="13" t="n">
        <v>4.6</v>
      </c>
      <c r="R181" s="13" t="n">
        <v>-0.08</v>
      </c>
      <c r="S181" s="13" t="n">
        <v>0.01</v>
      </c>
    </row>
    <row r="182" customFormat="false" ht="12.8" hidden="false" customHeight="false" outlineLevel="0" collapsed="false">
      <c r="A182" s="1" t="n">
        <v>5.98</v>
      </c>
      <c r="B182" s="1" t="n">
        <v>-0.17</v>
      </c>
      <c r="C182" s="1" t="n">
        <v>-0.34</v>
      </c>
      <c r="D182" s="1" t="n">
        <v>4.6</v>
      </c>
      <c r="E182" s="1" t="n">
        <v>-0.07</v>
      </c>
      <c r="F182" s="1" t="n">
        <v>0.01</v>
      </c>
      <c r="G182" s="22" t="n">
        <v>10.009904916291</v>
      </c>
      <c r="H182" s="1" t="n">
        <v>10.01</v>
      </c>
      <c r="I182" s="22" t="n">
        <v>9.50837089810364E-005</v>
      </c>
      <c r="K182" s="12" t="n">
        <v>6</v>
      </c>
      <c r="L182" s="13" t="s">
        <v>102</v>
      </c>
      <c r="M182" s="13" t="n">
        <v>9.89</v>
      </c>
      <c r="N182" s="13" t="n">
        <v>6.04</v>
      </c>
      <c r="O182" s="13" t="n">
        <v>-0.16</v>
      </c>
      <c r="P182" s="13" t="n">
        <v>-0.4</v>
      </c>
      <c r="Q182" s="13" t="n">
        <v>4.6</v>
      </c>
      <c r="R182" s="13" t="n">
        <v>-0.2</v>
      </c>
      <c r="S182" s="13" t="n">
        <v>0.01</v>
      </c>
    </row>
    <row r="183" customFormat="false" ht="12.8" hidden="false" customHeight="false" outlineLevel="0" collapsed="false">
      <c r="A183" s="1" t="n">
        <v>6.83</v>
      </c>
      <c r="B183" s="1" t="n">
        <v>-0.62</v>
      </c>
      <c r="C183" s="1" t="n">
        <v>-0.75</v>
      </c>
      <c r="D183" s="1" t="n">
        <v>4.6</v>
      </c>
      <c r="E183" s="1" t="n">
        <v>-0.21</v>
      </c>
      <c r="F183" s="1" t="n">
        <v>-0.005</v>
      </c>
      <c r="G183" s="22" t="n">
        <v>9.84652544528758</v>
      </c>
      <c r="H183" s="1" t="n">
        <v>9.85</v>
      </c>
      <c r="I183" s="22" t="n">
        <v>0.00347455471242242</v>
      </c>
      <c r="K183" s="12" t="n">
        <v>6</v>
      </c>
      <c r="L183" s="13" t="s">
        <v>103</v>
      </c>
      <c r="M183" s="13" t="n">
        <v>10.35</v>
      </c>
      <c r="N183" s="13" t="n">
        <v>5.99</v>
      </c>
      <c r="O183" s="13" t="n">
        <v>0.04</v>
      </c>
      <c r="P183" s="13" t="n">
        <v>-0.3</v>
      </c>
      <c r="Q183" s="13" t="n">
        <v>4.6</v>
      </c>
      <c r="R183" s="13" t="n">
        <v>0.06</v>
      </c>
      <c r="S183" s="13" t="n">
        <v>-0.045</v>
      </c>
    </row>
    <row r="184" customFormat="false" ht="12.8" hidden="false" customHeight="false" outlineLevel="0" collapsed="false">
      <c r="A184" s="1" t="n">
        <v>6.2</v>
      </c>
      <c r="B184" s="1" t="n">
        <v>-0.29</v>
      </c>
      <c r="C184" s="1" t="n">
        <v>-0.49</v>
      </c>
      <c r="D184" s="1" t="n">
        <v>4.6</v>
      </c>
      <c r="E184" s="1" t="n">
        <v>-0.02</v>
      </c>
      <c r="F184" s="1" t="n">
        <v>-0.152</v>
      </c>
      <c r="G184" s="22" t="n">
        <v>9.83283974382038</v>
      </c>
      <c r="H184" s="1" t="n">
        <v>9.84</v>
      </c>
      <c r="I184" s="22" t="n">
        <v>0.00716025617962401</v>
      </c>
      <c r="K184" s="12" t="n">
        <v>6</v>
      </c>
      <c r="L184" s="13" t="s">
        <v>104</v>
      </c>
      <c r="M184" s="13" t="n">
        <v>10.42</v>
      </c>
      <c r="N184" s="13" t="n">
        <v>7.07</v>
      </c>
      <c r="O184" s="13" t="n">
        <v>-0.2</v>
      </c>
      <c r="P184" s="13" t="n">
        <v>-0.71</v>
      </c>
      <c r="Q184" s="13" t="n">
        <v>4.6</v>
      </c>
      <c r="R184" s="13" t="n">
        <v>-0.16</v>
      </c>
      <c r="S184" s="13" t="n">
        <v>-0.187</v>
      </c>
    </row>
    <row r="185" customFormat="false" ht="12.8" hidden="false" customHeight="false" outlineLevel="0" collapsed="false">
      <c r="A185" s="1" t="n">
        <v>5.49</v>
      </c>
      <c r="B185" s="1" t="n">
        <v>-0.19</v>
      </c>
      <c r="C185" s="1" t="n">
        <v>-0.28</v>
      </c>
      <c r="D185" s="1" t="n">
        <v>4.6</v>
      </c>
      <c r="E185" s="1" t="n">
        <v>-0.04</v>
      </c>
      <c r="F185" s="1" t="n">
        <v>0.01</v>
      </c>
      <c r="G185" s="22" t="n">
        <v>9.58689233944141</v>
      </c>
      <c r="H185" s="1" t="n">
        <v>9.59</v>
      </c>
      <c r="I185" s="22" t="n">
        <v>0.00310766055858736</v>
      </c>
      <c r="K185" s="12" t="n">
        <v>6</v>
      </c>
      <c r="L185" s="13" t="s">
        <v>105</v>
      </c>
      <c r="M185" s="13" t="n">
        <v>10.17</v>
      </c>
      <c r="N185" s="13" t="n">
        <v>6.71</v>
      </c>
      <c r="O185" s="13" t="n">
        <v>-0.24</v>
      </c>
      <c r="P185" s="13" t="n">
        <v>-0.79</v>
      </c>
      <c r="Q185" s="13" t="n">
        <v>4.6</v>
      </c>
      <c r="R185" s="13" t="n">
        <v>-0.1</v>
      </c>
      <c r="S185" s="13" t="n">
        <v>0</v>
      </c>
    </row>
    <row r="186" customFormat="false" ht="12.8" hidden="false" customHeight="false" outlineLevel="0" collapsed="false">
      <c r="A186" s="1" t="n">
        <v>5.13</v>
      </c>
      <c r="B186" s="1" t="n">
        <v>-0.04</v>
      </c>
      <c r="C186" s="1" t="n">
        <v>0.03</v>
      </c>
      <c r="D186" s="1" t="n">
        <v>4.6</v>
      </c>
      <c r="E186" s="1" t="n">
        <v>-0.06</v>
      </c>
      <c r="F186" s="1" t="n">
        <v>0.01</v>
      </c>
      <c r="G186" s="22" t="n">
        <v>9.66965609361721</v>
      </c>
      <c r="H186" s="1" t="n">
        <v>9.66</v>
      </c>
      <c r="I186" s="22" t="n">
        <v>-0.0096560936172132</v>
      </c>
      <c r="K186" s="12" t="n">
        <v>6</v>
      </c>
      <c r="L186" s="13" t="s">
        <v>106</v>
      </c>
      <c r="M186" s="13" t="n">
        <v>10.3</v>
      </c>
      <c r="N186" s="13" t="n">
        <v>6.46</v>
      </c>
      <c r="O186" s="13" t="n">
        <v>-0.1</v>
      </c>
      <c r="P186" s="13" t="n">
        <v>-0.61</v>
      </c>
      <c r="Q186" s="13" t="n">
        <v>4.6</v>
      </c>
      <c r="R186" s="13" t="n">
        <v>-0.05</v>
      </c>
      <c r="S186" s="13" t="n">
        <v>0.002</v>
      </c>
    </row>
    <row r="187" customFormat="false" ht="12.8" hidden="false" customHeight="false" outlineLevel="0" collapsed="false">
      <c r="A187" s="1" t="n">
        <v>5.4</v>
      </c>
      <c r="B187" s="1" t="n">
        <v>-0.07</v>
      </c>
      <c r="C187" s="1" t="n">
        <v>-0.06</v>
      </c>
      <c r="D187" s="1" t="n">
        <v>4.6</v>
      </c>
      <c r="E187" s="1" t="n">
        <v>-0.03</v>
      </c>
      <c r="F187" s="1" t="n">
        <v>-0.048</v>
      </c>
      <c r="G187" s="22" t="n">
        <v>9.78663112802607</v>
      </c>
      <c r="H187" s="1" t="n">
        <v>9.79</v>
      </c>
      <c r="I187" s="22" t="n">
        <v>0.00336887197392777</v>
      </c>
      <c r="K187" s="12" t="n">
        <v>6</v>
      </c>
      <c r="L187" s="13" t="s">
        <v>107</v>
      </c>
      <c r="M187" s="13" t="n">
        <v>10.25</v>
      </c>
      <c r="N187" s="13" t="n">
        <v>6.54</v>
      </c>
      <c r="O187" s="13" t="n">
        <v>-0.22</v>
      </c>
      <c r="P187" s="13" t="n">
        <v>-0.6</v>
      </c>
      <c r="Q187" s="13" t="n">
        <v>4.6</v>
      </c>
      <c r="R187" s="13" t="n">
        <v>-0.08</v>
      </c>
      <c r="S187" s="13" t="n">
        <v>0.01</v>
      </c>
    </row>
    <row r="188" customFormat="false" ht="12.8" hidden="false" customHeight="false" outlineLevel="0" collapsed="false">
      <c r="A188" s="1" t="n">
        <v>5.28</v>
      </c>
      <c r="B188" s="1" t="n">
        <v>-0.02</v>
      </c>
      <c r="C188" s="1" t="n">
        <v>-0.08</v>
      </c>
      <c r="D188" s="1" t="n">
        <v>4.6</v>
      </c>
      <c r="E188" s="1" t="n">
        <v>0.02</v>
      </c>
      <c r="F188" s="1" t="n">
        <v>0.01</v>
      </c>
      <c r="G188" s="22" t="n">
        <v>9.80694917427227</v>
      </c>
      <c r="H188" s="1" t="n">
        <v>9.81</v>
      </c>
      <c r="I188" s="22" t="n">
        <v>0.0030508257277333</v>
      </c>
      <c r="K188" s="12" t="n">
        <v>6</v>
      </c>
      <c r="L188" s="13" t="s">
        <v>108</v>
      </c>
      <c r="M188" s="13" t="n">
        <v>9.85</v>
      </c>
      <c r="N188" s="13" t="n">
        <v>6.24</v>
      </c>
      <c r="O188" s="13" t="n">
        <v>-0.12</v>
      </c>
      <c r="P188" s="13" t="n">
        <v>-0.76</v>
      </c>
      <c r="Q188" s="13" t="n">
        <v>4.6</v>
      </c>
      <c r="R188" s="13" t="n">
        <v>-0.08</v>
      </c>
      <c r="S188" s="13" t="n">
        <v>-0.028</v>
      </c>
    </row>
    <row r="189" customFormat="false" ht="12.8" hidden="false" customHeight="false" outlineLevel="0" collapsed="false">
      <c r="A189" s="1" t="n">
        <v>5.03</v>
      </c>
      <c r="B189" s="1" t="n">
        <v>-0.01</v>
      </c>
      <c r="C189" s="1" t="n">
        <v>0.13</v>
      </c>
      <c r="D189" s="1" t="n">
        <v>4.6</v>
      </c>
      <c r="E189" s="1" t="n">
        <v>0.01</v>
      </c>
      <c r="F189" s="1" t="n">
        <v>0.01</v>
      </c>
      <c r="G189" s="22" t="n">
        <v>9.76858996487978</v>
      </c>
      <c r="H189" s="1" t="n">
        <v>9.78</v>
      </c>
      <c r="I189" s="22" t="n">
        <v>0.0114100351202193</v>
      </c>
      <c r="K189" s="12" t="n">
        <v>6</v>
      </c>
      <c r="L189" s="13" t="s">
        <v>109</v>
      </c>
      <c r="M189" s="13" t="n">
        <v>10.13</v>
      </c>
      <c r="N189" s="13" t="n">
        <v>6.7</v>
      </c>
      <c r="O189" s="13" t="n">
        <v>-0.09</v>
      </c>
      <c r="P189" s="13" t="n">
        <v>-0.9</v>
      </c>
      <c r="Q189" s="13" t="n">
        <v>4.6</v>
      </c>
      <c r="R189" s="13" t="n">
        <v>-0.13</v>
      </c>
      <c r="S189" s="13" t="n">
        <v>-0.052</v>
      </c>
    </row>
    <row r="190" customFormat="false" ht="12.8" hidden="false" customHeight="false" outlineLevel="0" collapsed="false">
      <c r="A190" s="1" t="n">
        <v>5.12</v>
      </c>
      <c r="B190" s="1" t="n">
        <v>-0.08</v>
      </c>
      <c r="C190" s="1" t="n">
        <v>0.12</v>
      </c>
      <c r="D190" s="1" t="n">
        <v>4.6</v>
      </c>
      <c r="E190" s="1" t="n">
        <v>0</v>
      </c>
      <c r="F190" s="1" t="n">
        <v>0.01</v>
      </c>
      <c r="G190" s="22" t="n">
        <v>9.76919737411233</v>
      </c>
      <c r="H190" s="1" t="n">
        <v>9.77</v>
      </c>
      <c r="I190" s="22" t="n">
        <v>0.000802625887668995</v>
      </c>
      <c r="K190" s="12" t="n">
        <v>6</v>
      </c>
      <c r="L190" s="13" t="s">
        <v>110</v>
      </c>
      <c r="M190" s="13" t="n">
        <v>9.52</v>
      </c>
      <c r="N190" s="13" t="n">
        <v>6.59</v>
      </c>
      <c r="O190" s="13" t="n">
        <v>0.17</v>
      </c>
      <c r="P190" s="13" t="n">
        <v>-1.58</v>
      </c>
      <c r="Q190" s="13" t="n">
        <v>4.6</v>
      </c>
      <c r="R190" s="13" t="n">
        <v>-0.27</v>
      </c>
      <c r="S190" s="13" t="n">
        <v>0.01</v>
      </c>
    </row>
    <row r="191" customFormat="false" ht="12.8" hidden="false" customHeight="false" outlineLevel="0" collapsed="false">
      <c r="A191" s="1" t="n">
        <v>4.48</v>
      </c>
      <c r="B191" s="1" t="n">
        <v>0.16</v>
      </c>
      <c r="C191" s="1" t="n">
        <v>0.66</v>
      </c>
      <c r="D191" s="1" t="n">
        <v>4.6</v>
      </c>
      <c r="E191" s="1" t="n">
        <v>0.07</v>
      </c>
      <c r="F191" s="1" t="n">
        <v>0.01</v>
      </c>
      <c r="G191" s="22" t="n">
        <v>9.9811153858019</v>
      </c>
      <c r="H191" s="1" t="n">
        <v>9.98</v>
      </c>
      <c r="I191" s="22" t="n">
        <v>-0.00111538580190107</v>
      </c>
      <c r="K191" s="12" t="n">
        <v>7</v>
      </c>
      <c r="L191" s="13" t="s">
        <v>42</v>
      </c>
      <c r="M191" s="13" t="n">
        <v>10.31</v>
      </c>
      <c r="N191" s="13" t="n">
        <v>6.21</v>
      </c>
      <c r="O191" s="13" t="n">
        <v>-0.33</v>
      </c>
      <c r="P191" s="13" t="n">
        <v>-0.22</v>
      </c>
      <c r="Q191" s="13" t="n">
        <v>4.65</v>
      </c>
      <c r="R191" s="13" t="n">
        <v>-0.02</v>
      </c>
      <c r="S191" s="13" t="n">
        <v>0.01</v>
      </c>
    </row>
    <row r="192" customFormat="false" ht="12.8" hidden="false" customHeight="false" outlineLevel="0" collapsed="false">
      <c r="A192" s="1" t="n">
        <v>5.02</v>
      </c>
      <c r="B192" s="1" t="n">
        <v>-0.06</v>
      </c>
      <c r="C192" s="1" t="n">
        <v>0.38</v>
      </c>
      <c r="D192" s="1" t="n">
        <v>4.6</v>
      </c>
      <c r="E192" s="1" t="n">
        <v>0.06</v>
      </c>
      <c r="F192" s="1" t="n">
        <v>0.01</v>
      </c>
      <c r="G192" s="22" t="n">
        <v>10.0106003231772</v>
      </c>
      <c r="H192" s="1" t="n">
        <v>10.02</v>
      </c>
      <c r="I192" s="22" t="n">
        <v>0.00939967682275267</v>
      </c>
      <c r="K192" s="12" t="n">
        <v>7</v>
      </c>
      <c r="L192" s="13" t="s">
        <v>45</v>
      </c>
      <c r="M192" s="13" t="n">
        <v>9.85</v>
      </c>
      <c r="N192" s="13" t="n">
        <v>6.35</v>
      </c>
      <c r="O192" s="13" t="n">
        <v>-0.37</v>
      </c>
      <c r="P192" s="13" t="n">
        <v>-0.79</v>
      </c>
      <c r="Q192" s="13" t="n">
        <v>4.65</v>
      </c>
      <c r="R192" s="13" t="n">
        <v>-0.01</v>
      </c>
      <c r="S192" s="13" t="n">
        <v>0.007</v>
      </c>
    </row>
    <row r="193" customFormat="false" ht="12.8" hidden="false" customHeight="false" outlineLevel="0" collapsed="false">
      <c r="A193" s="1" t="n">
        <v>5.31</v>
      </c>
      <c r="B193" s="1" t="n">
        <v>-0.14</v>
      </c>
      <c r="C193" s="1" t="n">
        <v>-0.31</v>
      </c>
      <c r="D193" s="1" t="n">
        <v>4.6</v>
      </c>
      <c r="E193" s="1" t="n">
        <v>-0.08</v>
      </c>
      <c r="F193" s="1" t="n">
        <v>-0.02</v>
      </c>
      <c r="G193" s="22" t="n">
        <v>9.35410130484199</v>
      </c>
      <c r="H193" s="1" t="n">
        <v>9.35</v>
      </c>
      <c r="I193" s="22" t="n">
        <v>-0.004101304841992</v>
      </c>
      <c r="K193" s="12" t="n">
        <v>7</v>
      </c>
      <c r="L193" s="13" t="s">
        <v>46</v>
      </c>
      <c r="M193" s="13" t="n">
        <v>9.62</v>
      </c>
      <c r="N193" s="13" t="n">
        <v>5.99</v>
      </c>
      <c r="O193" s="13" t="n">
        <v>-0.35</v>
      </c>
      <c r="P193" s="13" t="n">
        <v>-0.62</v>
      </c>
      <c r="Q193" s="13" t="n">
        <v>4.65</v>
      </c>
      <c r="R193" s="13" t="n">
        <v>-0.07</v>
      </c>
      <c r="S193" s="13" t="n">
        <v>0.01</v>
      </c>
    </row>
    <row r="194" customFormat="false" ht="12.8" hidden="false" customHeight="false" outlineLevel="0" collapsed="false">
      <c r="A194" s="1" t="n">
        <v>4.98</v>
      </c>
      <c r="B194" s="1" t="n">
        <v>-0.07</v>
      </c>
      <c r="C194" s="1" t="n">
        <v>0.12</v>
      </c>
      <c r="D194" s="1" t="n">
        <v>4.6</v>
      </c>
      <c r="E194" s="1" t="n">
        <v>0</v>
      </c>
      <c r="F194" s="1" t="n">
        <v>-0.01</v>
      </c>
      <c r="G194" s="22" t="n">
        <v>9.61675420080238</v>
      </c>
      <c r="H194" s="1" t="n">
        <v>9.62</v>
      </c>
      <c r="I194" s="22" t="n">
        <v>0.00324579919761625</v>
      </c>
      <c r="K194" s="12" t="n">
        <v>7</v>
      </c>
      <c r="L194" s="13" t="s">
        <v>48</v>
      </c>
      <c r="M194" s="13" t="n">
        <v>10.11</v>
      </c>
      <c r="N194" s="13" t="n">
        <v>5.91</v>
      </c>
      <c r="O194" s="13" t="n">
        <v>-0.16</v>
      </c>
      <c r="P194" s="13" t="n">
        <v>-0.33</v>
      </c>
      <c r="Q194" s="13" t="n">
        <v>4.65</v>
      </c>
      <c r="R194" s="13" t="n">
        <v>0.03</v>
      </c>
      <c r="S194" s="13" t="n">
        <v>0.01</v>
      </c>
    </row>
    <row r="195" customFormat="false" ht="12.8" hidden="false" customHeight="false" outlineLevel="0" collapsed="false">
      <c r="A195" s="1" t="n">
        <v>5.33</v>
      </c>
      <c r="B195" s="1" t="n">
        <v>-0.02</v>
      </c>
      <c r="C195" s="1" t="n">
        <v>0.03</v>
      </c>
      <c r="D195" s="1" t="n">
        <v>4.6</v>
      </c>
      <c r="E195" s="1" t="n">
        <v>-0.01</v>
      </c>
      <c r="F195" s="1" t="n">
        <v>0.01</v>
      </c>
      <c r="G195" s="22" t="n">
        <v>9.93957864351669</v>
      </c>
      <c r="H195" s="1" t="n">
        <v>9.94</v>
      </c>
      <c r="I195" s="22" t="n">
        <v>0.000421356483306212</v>
      </c>
      <c r="K195" s="12" t="n">
        <v>7</v>
      </c>
      <c r="L195" s="13" t="s">
        <v>49</v>
      </c>
      <c r="M195" s="13" t="n">
        <v>10.01</v>
      </c>
      <c r="N195" s="13" t="n">
        <v>6.72</v>
      </c>
      <c r="O195" s="13" t="n">
        <v>-0.63</v>
      </c>
      <c r="P195" s="13" t="n">
        <v>-0.72</v>
      </c>
      <c r="Q195" s="13" t="n">
        <v>4.65</v>
      </c>
      <c r="R195" s="13" t="n">
        <v>-0.01</v>
      </c>
      <c r="S195" s="13" t="n">
        <v>0</v>
      </c>
    </row>
    <row r="196" customFormat="false" ht="12.8" hidden="false" customHeight="false" outlineLevel="0" collapsed="false">
      <c r="A196" s="1" t="n">
        <v>5.58</v>
      </c>
      <c r="B196" s="1" t="n">
        <v>-0.14</v>
      </c>
      <c r="C196" s="1" t="n">
        <v>-0.03</v>
      </c>
      <c r="D196" s="1" t="n">
        <v>4.6</v>
      </c>
      <c r="E196" s="1" t="n">
        <v>0.05</v>
      </c>
      <c r="F196" s="1" t="n">
        <v>0.01</v>
      </c>
      <c r="G196" s="22" t="n">
        <v>10.0685615980098</v>
      </c>
      <c r="H196" s="1" t="n">
        <v>10.07</v>
      </c>
      <c r="I196" s="22" t="n">
        <v>0.00143840199021916</v>
      </c>
      <c r="K196" s="12" t="n">
        <v>7</v>
      </c>
      <c r="L196" s="13" t="s">
        <v>50</v>
      </c>
      <c r="M196" s="13" t="n">
        <v>9.75</v>
      </c>
      <c r="N196" s="13" t="n">
        <v>6.12</v>
      </c>
      <c r="O196" s="13" t="n">
        <v>-0.31</v>
      </c>
      <c r="P196" s="13" t="n">
        <v>-0.49</v>
      </c>
      <c r="Q196" s="13" t="n">
        <v>4.65</v>
      </c>
      <c r="R196" s="13" t="n">
        <v>-0.06</v>
      </c>
      <c r="S196" s="13" t="n">
        <v>-0.148</v>
      </c>
    </row>
    <row r="197" customFormat="false" ht="12.8" hidden="false" customHeight="false" outlineLevel="0" collapsed="false">
      <c r="A197" s="1" t="n">
        <v>5.54</v>
      </c>
      <c r="B197" s="1" t="n">
        <v>-0.15</v>
      </c>
      <c r="C197" s="1" t="n">
        <v>-0.14</v>
      </c>
      <c r="D197" s="1" t="n">
        <v>4.6</v>
      </c>
      <c r="E197" s="1" t="n">
        <v>0.08</v>
      </c>
      <c r="F197" s="1" t="n">
        <v>0.01</v>
      </c>
      <c r="G197" s="22" t="n">
        <v>9.93598297808615</v>
      </c>
      <c r="H197" s="1" t="n">
        <v>9.94</v>
      </c>
      <c r="I197" s="22" t="n">
        <v>0.00401702191384601</v>
      </c>
      <c r="K197" s="12" t="n">
        <v>7</v>
      </c>
      <c r="L197" s="13" t="s">
        <v>51</v>
      </c>
      <c r="M197" s="13" t="n">
        <v>9.62</v>
      </c>
      <c r="N197" s="13" t="n">
        <v>5.43</v>
      </c>
      <c r="O197" s="13" t="n">
        <v>-0.2</v>
      </c>
      <c r="P197" s="13" t="n">
        <v>-0.28</v>
      </c>
      <c r="Q197" s="13" t="n">
        <v>4.65</v>
      </c>
      <c r="R197" s="13" t="n">
        <v>0.01</v>
      </c>
      <c r="S197" s="13" t="n">
        <v>0.01</v>
      </c>
    </row>
    <row r="198" customFormat="false" ht="12.8" hidden="false" customHeight="false" outlineLevel="0" collapsed="false">
      <c r="A198" s="1" t="n">
        <v>5.27</v>
      </c>
      <c r="B198" s="1" t="n">
        <v>-0.08</v>
      </c>
      <c r="C198" s="1" t="n">
        <v>-0.17</v>
      </c>
      <c r="D198" s="1" t="n">
        <v>4.6</v>
      </c>
      <c r="E198" s="1" t="n">
        <v>-0.04</v>
      </c>
      <c r="F198" s="1" t="n">
        <v>-0.028</v>
      </c>
      <c r="G198" s="22" t="n">
        <v>9.54615410974101</v>
      </c>
      <c r="H198" s="1" t="n">
        <v>9.55</v>
      </c>
      <c r="I198" s="22" t="n">
        <v>0.00384589025899373</v>
      </c>
      <c r="K198" s="12" t="n">
        <v>7</v>
      </c>
      <c r="L198" s="13" t="s">
        <v>52</v>
      </c>
      <c r="M198" s="13" t="n">
        <v>9.67</v>
      </c>
      <c r="N198" s="13" t="n">
        <v>5.07</v>
      </c>
      <c r="O198" s="13" t="n">
        <v>-0.04</v>
      </c>
      <c r="P198" s="13" t="n">
        <v>0.02</v>
      </c>
      <c r="Q198" s="13" t="n">
        <v>4.65</v>
      </c>
      <c r="R198" s="13" t="n">
        <v>-0.04</v>
      </c>
      <c r="S198" s="13" t="n">
        <v>0.01</v>
      </c>
    </row>
    <row r="199" customFormat="false" ht="12.8" hidden="false" customHeight="false" outlineLevel="0" collapsed="false">
      <c r="A199" s="1" t="n">
        <v>5.38</v>
      </c>
      <c r="B199" s="1" t="n">
        <v>0</v>
      </c>
      <c r="C199" s="1" t="n">
        <v>-0.09</v>
      </c>
      <c r="D199" s="1" t="n">
        <v>4.6</v>
      </c>
      <c r="E199" s="1" t="n">
        <v>0.03</v>
      </c>
      <c r="F199" s="1" t="n">
        <v>-0.016</v>
      </c>
      <c r="G199" s="22" t="n">
        <v>9.89911474413698</v>
      </c>
      <c r="H199" s="1" t="n">
        <v>9.91</v>
      </c>
      <c r="I199" s="22" t="n">
        <v>0.010885255863025</v>
      </c>
      <c r="K199" s="12" t="n">
        <v>7</v>
      </c>
      <c r="L199" s="13" t="s">
        <v>53</v>
      </c>
      <c r="M199" s="13" t="n">
        <v>9.82</v>
      </c>
      <c r="N199" s="13" t="n">
        <v>5.38</v>
      </c>
      <c r="O199" s="13" t="n">
        <v>-0.08</v>
      </c>
      <c r="P199" s="13" t="n">
        <v>-0.09</v>
      </c>
      <c r="Q199" s="13" t="n">
        <v>4.65</v>
      </c>
      <c r="R199" s="13" t="n">
        <v>-0.06</v>
      </c>
      <c r="S199" s="13" t="n">
        <v>0.01</v>
      </c>
    </row>
    <row r="200" customFormat="false" ht="12.8" hidden="false" customHeight="false" outlineLevel="0" collapsed="false">
      <c r="A200" s="1" t="n">
        <v>5.13</v>
      </c>
      <c r="B200" s="1" t="n">
        <v>-0.04</v>
      </c>
      <c r="C200" s="1" t="n">
        <v>0.1</v>
      </c>
      <c r="D200" s="1" t="n">
        <v>4.6</v>
      </c>
      <c r="E200" s="1" t="n">
        <v>0.05</v>
      </c>
      <c r="F200" s="1" t="n">
        <v>0.01</v>
      </c>
      <c r="G200" s="22" t="n">
        <v>9.84769325257234</v>
      </c>
      <c r="H200" s="1" t="n">
        <v>9.85</v>
      </c>
      <c r="I200" s="22" t="n">
        <v>0.00230674742765835</v>
      </c>
      <c r="K200" s="12" t="n">
        <v>7</v>
      </c>
      <c r="L200" s="13" t="s">
        <v>54</v>
      </c>
      <c r="M200" s="13" t="n">
        <v>9.77</v>
      </c>
      <c r="N200" s="13" t="n">
        <v>5.2</v>
      </c>
      <c r="O200" s="13" t="n">
        <v>-0.02</v>
      </c>
      <c r="P200" s="13" t="n">
        <v>-0.08</v>
      </c>
      <c r="Q200" s="13" t="n">
        <v>4.65</v>
      </c>
      <c r="R200" s="13" t="n">
        <v>0.01</v>
      </c>
      <c r="S200" s="13" t="n">
        <v>0.01</v>
      </c>
    </row>
    <row r="201" customFormat="false" ht="12.8" hidden="false" customHeight="false" outlineLevel="0" collapsed="false">
      <c r="A201" s="1" t="n">
        <v>4.92</v>
      </c>
      <c r="B201" s="1" t="n">
        <v>0.19</v>
      </c>
      <c r="C201" s="1" t="n">
        <v>0.25</v>
      </c>
      <c r="D201" s="1" t="n">
        <v>4.6</v>
      </c>
      <c r="E201" s="1" t="n">
        <v>0.05</v>
      </c>
      <c r="F201" s="1" t="n">
        <v>0.01</v>
      </c>
      <c r="G201" s="22" t="n">
        <v>10.0187221274793</v>
      </c>
      <c r="H201" s="1" t="n">
        <v>10.02</v>
      </c>
      <c r="I201" s="22" t="n">
        <v>0.00127787252069744</v>
      </c>
      <c r="K201" s="12" t="n">
        <v>7</v>
      </c>
      <c r="L201" s="13" t="s">
        <v>56</v>
      </c>
      <c r="M201" s="13" t="n">
        <v>9.76</v>
      </c>
      <c r="N201" s="13" t="n">
        <v>5.02</v>
      </c>
      <c r="O201" s="13" t="n">
        <v>-0.01</v>
      </c>
      <c r="P201" s="13" t="n">
        <v>0.11</v>
      </c>
      <c r="Q201" s="13" t="n">
        <v>4.65</v>
      </c>
      <c r="R201" s="13" t="n">
        <v>-0.02</v>
      </c>
      <c r="S201" s="13" t="n">
        <v>0.01</v>
      </c>
    </row>
    <row r="202" customFormat="false" ht="12.8" hidden="false" customHeight="false" outlineLevel="0" collapsed="false">
      <c r="A202" s="1" t="n">
        <v>5.26</v>
      </c>
      <c r="B202" s="1" t="n">
        <v>0.02</v>
      </c>
      <c r="C202" s="1" t="n">
        <v>0.01</v>
      </c>
      <c r="D202" s="1" t="n">
        <v>4.6</v>
      </c>
      <c r="E202" s="1" t="n">
        <v>0.04</v>
      </c>
      <c r="F202" s="1" t="n">
        <v>0.01</v>
      </c>
      <c r="G202" s="22" t="n">
        <v>9.93758120648994</v>
      </c>
      <c r="H202" s="1" t="n">
        <v>9.94</v>
      </c>
      <c r="I202" s="22" t="n">
        <v>0.00241879351006169</v>
      </c>
      <c r="K202" s="12" t="n">
        <v>7</v>
      </c>
      <c r="L202" s="13" t="s">
        <v>58</v>
      </c>
      <c r="M202" s="13" t="n">
        <v>9.79</v>
      </c>
      <c r="N202" s="13" t="n">
        <v>5.1</v>
      </c>
      <c r="O202" s="13" t="n">
        <v>-0.06</v>
      </c>
      <c r="P202" s="13" t="n">
        <v>0.11</v>
      </c>
      <c r="Q202" s="13" t="n">
        <v>4.65</v>
      </c>
      <c r="R202" s="13" t="n">
        <v>-0.02</v>
      </c>
      <c r="S202" s="13" t="n">
        <v>0.01</v>
      </c>
    </row>
    <row r="203" customFormat="false" ht="12.8" hidden="false" customHeight="false" outlineLevel="0" collapsed="false">
      <c r="A203" s="1" t="n">
        <v>5.32</v>
      </c>
      <c r="B203" s="1" t="n">
        <v>0.07</v>
      </c>
      <c r="C203" s="1" t="n">
        <v>-0.14</v>
      </c>
      <c r="D203" s="1" t="n">
        <v>4.6</v>
      </c>
      <c r="E203" s="1" t="n">
        <v>0.02</v>
      </c>
      <c r="F203" s="1" t="n">
        <v>0.01</v>
      </c>
      <c r="G203" s="22" t="n">
        <v>9.87646313588561</v>
      </c>
      <c r="H203" s="1" t="n">
        <v>9.89</v>
      </c>
      <c r="I203" s="22" t="n">
        <v>0.0135368641143874</v>
      </c>
      <c r="K203" s="12" t="n">
        <v>7</v>
      </c>
      <c r="L203" s="13" t="s">
        <v>60</v>
      </c>
      <c r="M203" s="13" t="n">
        <v>9.91</v>
      </c>
      <c r="N203" s="13" t="n">
        <v>4.46</v>
      </c>
      <c r="O203" s="13" t="n">
        <v>0.17</v>
      </c>
      <c r="P203" s="13" t="n">
        <v>0.63</v>
      </c>
      <c r="Q203" s="13" t="n">
        <v>4.65</v>
      </c>
      <c r="R203" s="13" t="n">
        <v>-0.01</v>
      </c>
      <c r="S203" s="13" t="n">
        <v>0.01</v>
      </c>
    </row>
    <row r="204" customFormat="false" ht="12.8" hidden="false" customHeight="false" outlineLevel="0" collapsed="false">
      <c r="A204" s="1" t="n">
        <v>5.36</v>
      </c>
      <c r="B204" s="1" t="n">
        <v>0.06</v>
      </c>
      <c r="C204" s="1" t="n">
        <v>0.03</v>
      </c>
      <c r="D204" s="1" t="n">
        <v>4.6</v>
      </c>
      <c r="E204" s="1" t="n">
        <v>0.06</v>
      </c>
      <c r="F204" s="1" t="n">
        <v>0.01</v>
      </c>
      <c r="G204" s="22" t="n">
        <v>10.1179848410781</v>
      </c>
      <c r="H204" s="1" t="n">
        <v>10.13</v>
      </c>
      <c r="I204" s="22" t="n">
        <v>0.0120151589219422</v>
      </c>
      <c r="K204" s="12" t="n">
        <v>7</v>
      </c>
      <c r="L204" s="13" t="s">
        <v>62</v>
      </c>
      <c r="M204" s="13" t="n">
        <v>9.92</v>
      </c>
      <c r="N204" s="13" t="n">
        <v>5</v>
      </c>
      <c r="O204" s="13" t="n">
        <v>-0.06</v>
      </c>
      <c r="P204" s="13" t="n">
        <v>0.36</v>
      </c>
      <c r="Q204" s="13" t="n">
        <v>4.65</v>
      </c>
      <c r="R204" s="13" t="n">
        <v>-0.04</v>
      </c>
      <c r="S204" s="13" t="n">
        <v>0.01</v>
      </c>
    </row>
    <row r="205" customFormat="false" ht="12.8" hidden="false" customHeight="false" outlineLevel="0" collapsed="false">
      <c r="A205" s="1" t="n">
        <v>5.39</v>
      </c>
      <c r="B205" s="1" t="n">
        <v>0.17</v>
      </c>
      <c r="C205" s="1" t="n">
        <v>0.13</v>
      </c>
      <c r="D205" s="1" t="n">
        <v>4.6</v>
      </c>
      <c r="E205" s="1" t="n">
        <v>0.05</v>
      </c>
      <c r="F205" s="1" t="n">
        <v>0.01</v>
      </c>
      <c r="G205" s="22" t="n">
        <v>10.3499386614031</v>
      </c>
      <c r="H205" s="1" t="n">
        <v>10.34</v>
      </c>
      <c r="I205" s="22" t="n">
        <v>-0.00993866140305144</v>
      </c>
      <c r="K205" s="12" t="n">
        <v>7</v>
      </c>
      <c r="L205" s="13" t="s">
        <v>64</v>
      </c>
      <c r="M205" s="13" t="n">
        <v>9.55</v>
      </c>
      <c r="N205" s="13" t="n">
        <v>5.32</v>
      </c>
      <c r="O205" s="13" t="n">
        <v>-0.15</v>
      </c>
      <c r="P205" s="13" t="n">
        <v>-0.31</v>
      </c>
      <c r="Q205" s="13" t="n">
        <v>4.65</v>
      </c>
      <c r="R205" s="13" t="n">
        <v>0.08</v>
      </c>
      <c r="S205" s="13" t="n">
        <v>-0.04</v>
      </c>
    </row>
    <row r="206" customFormat="false" ht="12.8" hidden="false" customHeight="false" outlineLevel="0" collapsed="false">
      <c r="A206" s="1" t="n">
        <v>5.56</v>
      </c>
      <c r="B206" s="1" t="n">
        <v>0.02</v>
      </c>
      <c r="C206" s="1" t="n">
        <v>-0.03</v>
      </c>
      <c r="D206" s="1" t="n">
        <v>4.6</v>
      </c>
      <c r="E206" s="1" t="n">
        <v>0.01</v>
      </c>
      <c r="F206" s="1" t="n">
        <v>0.01</v>
      </c>
      <c r="G206" s="22" t="n">
        <v>10.1696772062169</v>
      </c>
      <c r="H206" s="1" t="n">
        <v>10.18</v>
      </c>
      <c r="I206" s="22" t="n">
        <v>0.0103227937831356</v>
      </c>
      <c r="K206" s="12" t="n">
        <v>7</v>
      </c>
      <c r="L206" s="13" t="s">
        <v>66</v>
      </c>
      <c r="M206" s="13" t="n">
        <v>9.65</v>
      </c>
      <c r="N206" s="13" t="n">
        <v>4.95</v>
      </c>
      <c r="O206" s="13" t="n">
        <v>-0.07</v>
      </c>
      <c r="P206" s="13" t="n">
        <v>0.11</v>
      </c>
      <c r="Q206" s="13" t="n">
        <v>4.65</v>
      </c>
      <c r="R206" s="13" t="n">
        <v>0.04</v>
      </c>
      <c r="S206" s="13" t="n">
        <v>-0.027</v>
      </c>
    </row>
    <row r="207" customFormat="false" ht="12.8" hidden="false" customHeight="false" outlineLevel="0" collapsed="false">
      <c r="A207" s="1" t="n">
        <v>6</v>
      </c>
      <c r="B207" s="1" t="n">
        <v>-0.02</v>
      </c>
      <c r="C207" s="1" t="n">
        <v>-0.43</v>
      </c>
      <c r="D207" s="1" t="n">
        <v>4.6</v>
      </c>
      <c r="E207" s="1" t="n">
        <v>0.09</v>
      </c>
      <c r="F207" s="1" t="n">
        <v>-0.023</v>
      </c>
      <c r="G207" s="22" t="n">
        <v>10.2090572102549</v>
      </c>
      <c r="H207" s="1" t="n">
        <v>10.22</v>
      </c>
      <c r="I207" s="22" t="n">
        <v>0.0109427897450818</v>
      </c>
      <c r="K207" s="12" t="n">
        <v>7</v>
      </c>
      <c r="L207" s="13" t="s">
        <v>67</v>
      </c>
      <c r="M207" s="13" t="n">
        <v>9.88</v>
      </c>
      <c r="N207" s="13" t="n">
        <v>5.19</v>
      </c>
      <c r="O207" s="13" t="n">
        <v>-0.01</v>
      </c>
      <c r="P207" s="13" t="n">
        <v>0.04</v>
      </c>
      <c r="Q207" s="13" t="n">
        <v>4.65</v>
      </c>
      <c r="R207" s="13" t="n">
        <v>0.01</v>
      </c>
      <c r="S207" s="13" t="n">
        <v>0.01</v>
      </c>
    </row>
    <row r="208" customFormat="false" ht="12.8" hidden="false" customHeight="false" outlineLevel="0" collapsed="false">
      <c r="A208" s="1" t="n">
        <v>6.03</v>
      </c>
      <c r="B208" s="1" t="n">
        <v>-0.06</v>
      </c>
      <c r="C208" s="1" t="n">
        <v>-0.5</v>
      </c>
      <c r="D208" s="1" t="n">
        <v>4.6</v>
      </c>
      <c r="E208" s="1" t="n">
        <v>-0.08</v>
      </c>
      <c r="F208" s="1" t="n">
        <v>0.01</v>
      </c>
      <c r="G208" s="22" t="n">
        <v>9.99838525943738</v>
      </c>
      <c r="H208" s="1" t="n">
        <v>10</v>
      </c>
      <c r="I208" s="22" t="n">
        <v>0.00161474056262279</v>
      </c>
      <c r="K208" s="12" t="n">
        <v>7</v>
      </c>
      <c r="L208" s="13" t="s">
        <v>69</v>
      </c>
      <c r="M208" s="13" t="n">
        <v>9.94</v>
      </c>
      <c r="N208" s="13" t="n">
        <v>5.47</v>
      </c>
      <c r="O208" s="13" t="n">
        <v>-0.14</v>
      </c>
      <c r="P208" s="13" t="n">
        <v>-0.04</v>
      </c>
      <c r="Q208" s="13" t="n">
        <v>4.65</v>
      </c>
      <c r="R208" s="13" t="n">
        <v>-0.01</v>
      </c>
      <c r="S208" s="13" t="n">
        <v>0.01</v>
      </c>
    </row>
    <row r="209" customFormat="false" ht="12.8" hidden="false" customHeight="false" outlineLevel="0" collapsed="false">
      <c r="A209" s="1" t="n">
        <v>6.04</v>
      </c>
      <c r="B209" s="1" t="n">
        <v>-0.16</v>
      </c>
      <c r="C209" s="1" t="n">
        <v>-0.67</v>
      </c>
      <c r="D209" s="1" t="n">
        <v>4.6</v>
      </c>
      <c r="E209" s="1" t="n">
        <v>-0.14</v>
      </c>
      <c r="F209" s="1" t="n">
        <v>0.01</v>
      </c>
      <c r="G209" s="22" t="n">
        <v>9.67758585777766</v>
      </c>
      <c r="H209" s="1" t="n">
        <v>9.68</v>
      </c>
      <c r="I209" s="22" t="n">
        <v>0.00241414222233871</v>
      </c>
      <c r="K209" s="12" t="n">
        <v>7</v>
      </c>
      <c r="L209" s="13" t="s">
        <v>75</v>
      </c>
      <c r="M209" s="13" t="n">
        <v>9.89</v>
      </c>
      <c r="N209" s="13" t="n">
        <v>5.46</v>
      </c>
      <c r="O209" s="13" t="n">
        <v>-0.16</v>
      </c>
      <c r="P209" s="13" t="n">
        <v>-0.14</v>
      </c>
      <c r="Q209" s="13" t="n">
        <v>4.65</v>
      </c>
      <c r="R209" s="13" t="n">
        <v>0.06</v>
      </c>
      <c r="S209" s="13" t="n">
        <v>0.01</v>
      </c>
    </row>
    <row r="210" customFormat="false" ht="12.8" hidden="false" customHeight="false" outlineLevel="0" collapsed="false">
      <c r="A210" s="1" t="n">
        <v>6.36</v>
      </c>
      <c r="B210" s="1" t="n">
        <v>-0.29</v>
      </c>
      <c r="C210" s="1" t="n">
        <v>-0.55</v>
      </c>
      <c r="D210" s="1" t="n">
        <v>4.6</v>
      </c>
      <c r="E210" s="1" t="n">
        <v>-0.13</v>
      </c>
      <c r="F210" s="1" t="n">
        <v>-0.08</v>
      </c>
      <c r="G210" s="22" t="n">
        <v>9.90365402529636</v>
      </c>
      <c r="H210" s="1" t="n">
        <v>9.92</v>
      </c>
      <c r="I210" s="22" t="n">
        <v>0.0163459747036363</v>
      </c>
      <c r="K210" s="12" t="n">
        <v>7</v>
      </c>
      <c r="L210" s="13" t="s">
        <v>76</v>
      </c>
      <c r="M210" s="13" t="n">
        <v>9.69</v>
      </c>
      <c r="N210" s="13" t="n">
        <v>5.27</v>
      </c>
      <c r="O210" s="13" t="n">
        <v>-0.08</v>
      </c>
      <c r="P210" s="13" t="n">
        <v>-0.17</v>
      </c>
      <c r="Q210" s="13" t="n">
        <v>4.65</v>
      </c>
      <c r="R210" s="13" t="n">
        <v>0.08</v>
      </c>
      <c r="S210" s="13" t="n">
        <v>-0.067</v>
      </c>
    </row>
    <row r="211" customFormat="false" ht="12.8" hidden="false" customHeight="false" outlineLevel="0" collapsed="false">
      <c r="A211" s="1" t="n">
        <v>5.65</v>
      </c>
      <c r="B211" s="1" t="n">
        <v>0.06</v>
      </c>
      <c r="C211" s="1" t="n">
        <v>-0.2</v>
      </c>
      <c r="D211" s="1" t="n">
        <v>4.6</v>
      </c>
      <c r="E211" s="1" t="n">
        <v>-0.11</v>
      </c>
      <c r="F211" s="1" t="n">
        <v>0.01</v>
      </c>
      <c r="G211" s="22" t="n">
        <v>10.0111213745116</v>
      </c>
      <c r="H211" s="1" t="n">
        <v>10.02</v>
      </c>
      <c r="I211" s="22" t="n">
        <v>0.00887862548838747</v>
      </c>
      <c r="K211" s="12" t="n">
        <v>7</v>
      </c>
      <c r="L211" s="13" t="s">
        <v>78</v>
      </c>
      <c r="M211" s="13" t="n">
        <v>9.93</v>
      </c>
      <c r="N211" s="13" t="n">
        <v>5.39</v>
      </c>
      <c r="O211" s="13" t="n">
        <v>0</v>
      </c>
      <c r="P211" s="13" t="n">
        <v>-0.1</v>
      </c>
      <c r="Q211" s="13" t="n">
        <v>4.65</v>
      </c>
      <c r="R211" s="13" t="n">
        <v>0.07</v>
      </c>
      <c r="S211" s="13" t="n">
        <v>-0.079</v>
      </c>
    </row>
    <row r="212" customFormat="false" ht="12.8" hidden="false" customHeight="false" outlineLevel="0" collapsed="false">
      <c r="A212" s="1" t="n">
        <v>5.5</v>
      </c>
      <c r="B212" s="1" t="n">
        <v>0.04</v>
      </c>
      <c r="C212" s="1" t="n">
        <v>-0.15</v>
      </c>
      <c r="D212" s="1" t="n">
        <v>4.6</v>
      </c>
      <c r="E212" s="1" t="n">
        <v>-0.06</v>
      </c>
      <c r="F212" s="1" t="n">
        <v>0.01</v>
      </c>
      <c r="G212" s="22" t="n">
        <v>9.93953410216751</v>
      </c>
      <c r="H212" s="1" t="n">
        <v>9.95</v>
      </c>
      <c r="I212" s="22" t="n">
        <v>0.0104658978324892</v>
      </c>
      <c r="K212" s="12" t="n">
        <v>7</v>
      </c>
      <c r="L212" s="13" t="s">
        <v>80</v>
      </c>
      <c r="M212" s="13" t="n">
        <v>9.8</v>
      </c>
      <c r="N212" s="13" t="n">
        <v>5.07</v>
      </c>
      <c r="O212" s="13" t="n">
        <v>-0.04</v>
      </c>
      <c r="P212" s="13" t="n">
        <v>0.08</v>
      </c>
      <c r="Q212" s="13" t="n">
        <v>4.65</v>
      </c>
      <c r="R212" s="13" t="n">
        <v>0.03</v>
      </c>
      <c r="S212" s="13" t="n">
        <v>0.01</v>
      </c>
    </row>
    <row r="213" customFormat="false" ht="12.8" hidden="false" customHeight="false" outlineLevel="0" collapsed="false">
      <c r="A213" s="1" t="n">
        <v>5.87</v>
      </c>
      <c r="B213" s="1" t="n">
        <v>-0.17</v>
      </c>
      <c r="C213" s="1" t="n">
        <v>-0.11</v>
      </c>
      <c r="D213" s="1" t="n">
        <v>4.6</v>
      </c>
      <c r="E213" s="1" t="n">
        <v>0</v>
      </c>
      <c r="F213" s="1" t="n">
        <v>0.01</v>
      </c>
      <c r="G213" s="22" t="n">
        <v>10.2005430807978</v>
      </c>
      <c r="H213" s="1" t="n">
        <v>10.2</v>
      </c>
      <c r="I213" s="22" t="n">
        <v>-0.000543080797761775</v>
      </c>
      <c r="K213" s="12" t="n">
        <v>7</v>
      </c>
      <c r="L213" s="13" t="s">
        <v>81</v>
      </c>
      <c r="M213" s="13" t="n">
        <v>10.03</v>
      </c>
      <c r="N213" s="13" t="n">
        <v>4.92</v>
      </c>
      <c r="O213" s="13" t="n">
        <v>0.19</v>
      </c>
      <c r="P213" s="13" t="n">
        <v>0.23</v>
      </c>
      <c r="Q213" s="13" t="n">
        <v>4.65</v>
      </c>
      <c r="R213" s="13" t="n">
        <v>0.04</v>
      </c>
      <c r="S213" s="13" t="n">
        <v>0.01</v>
      </c>
    </row>
    <row r="214" customFormat="false" ht="12.8" hidden="false" customHeight="false" outlineLevel="0" collapsed="false">
      <c r="A214" s="1" t="n">
        <v>6.16</v>
      </c>
      <c r="B214" s="1" t="n">
        <v>-0.11</v>
      </c>
      <c r="C214" s="1" t="n">
        <v>-0.36</v>
      </c>
      <c r="D214" s="1" t="n">
        <v>4.6</v>
      </c>
      <c r="E214" s="1" t="n">
        <v>-0.11</v>
      </c>
      <c r="F214" s="1" t="n">
        <v>0.01</v>
      </c>
      <c r="G214" s="22" t="n">
        <v>10.1918689846761</v>
      </c>
      <c r="H214" s="1" t="n">
        <v>10.19</v>
      </c>
      <c r="I214" s="22" t="n">
        <v>-0.00186898467606866</v>
      </c>
      <c r="K214" s="12" t="n">
        <v>7</v>
      </c>
      <c r="L214" s="13" t="s">
        <v>83</v>
      </c>
      <c r="M214" s="13" t="n">
        <v>9.99</v>
      </c>
      <c r="N214" s="13" t="n">
        <v>5.22</v>
      </c>
      <c r="O214" s="13" t="n">
        <v>0.02</v>
      </c>
      <c r="P214" s="13" t="n">
        <v>0.01</v>
      </c>
      <c r="Q214" s="13" t="n">
        <v>4.65</v>
      </c>
      <c r="R214" s="13" t="n">
        <v>0.08</v>
      </c>
      <c r="S214" s="13" t="n">
        <v>0.01</v>
      </c>
    </row>
    <row r="215" customFormat="false" ht="12.8" hidden="false" customHeight="false" outlineLevel="0" collapsed="false">
      <c r="A215" s="1" t="n">
        <v>6.16</v>
      </c>
      <c r="B215" s="1" t="n">
        <v>-0.06</v>
      </c>
      <c r="C215" s="1" t="n">
        <v>-0.36</v>
      </c>
      <c r="D215" s="1" t="n">
        <v>4.6</v>
      </c>
      <c r="E215" s="1" t="n">
        <v>-0.02</v>
      </c>
      <c r="F215" s="1" t="n">
        <v>0.01</v>
      </c>
      <c r="G215" s="22" t="n">
        <v>10.3295247959657</v>
      </c>
      <c r="H215" s="1" t="n">
        <v>10.33</v>
      </c>
      <c r="I215" s="22" t="n">
        <v>0.000475204034259491</v>
      </c>
      <c r="K215" s="12" t="n">
        <v>7</v>
      </c>
      <c r="L215" s="13" t="s">
        <v>84</v>
      </c>
      <c r="M215" s="13" t="n">
        <v>9.97</v>
      </c>
      <c r="N215" s="13" t="n">
        <v>5.28</v>
      </c>
      <c r="O215" s="13" t="n">
        <v>0.08</v>
      </c>
      <c r="P215" s="13" t="n">
        <v>-0.14</v>
      </c>
      <c r="Q215" s="13" t="n">
        <v>4.65</v>
      </c>
      <c r="R215" s="13" t="n">
        <v>0.08</v>
      </c>
      <c r="S215" s="13" t="n">
        <v>0.01</v>
      </c>
    </row>
    <row r="216" customFormat="false" ht="12.8" hidden="false" customHeight="false" outlineLevel="0" collapsed="false">
      <c r="A216" s="1" t="n">
        <v>5.97</v>
      </c>
      <c r="B216" s="1" t="n">
        <v>0</v>
      </c>
      <c r="C216" s="1" t="n">
        <v>-0.47</v>
      </c>
      <c r="D216" s="1" t="n">
        <v>4.6</v>
      </c>
      <c r="E216" s="1" t="n">
        <v>-0.08</v>
      </c>
      <c r="F216" s="1" t="n">
        <v>0.01</v>
      </c>
      <c r="G216" s="22" t="n">
        <v>10.0284951795953</v>
      </c>
      <c r="H216" s="1" t="n">
        <v>10.03</v>
      </c>
      <c r="I216" s="22" t="n">
        <v>0.00150482040468702</v>
      </c>
      <c r="K216" s="12" t="n">
        <v>7</v>
      </c>
      <c r="L216" s="13" t="s">
        <v>88</v>
      </c>
      <c r="M216" s="13" t="n">
        <v>10.03</v>
      </c>
      <c r="N216" s="13" t="n">
        <v>5.28</v>
      </c>
      <c r="O216" s="13" t="n">
        <v>0.07</v>
      </c>
      <c r="P216" s="13" t="n">
        <v>0.04</v>
      </c>
      <c r="Q216" s="13" t="n">
        <v>4.65</v>
      </c>
      <c r="R216" s="13" t="n">
        <v>-0.03</v>
      </c>
      <c r="S216" s="13" t="n">
        <v>0.01</v>
      </c>
    </row>
    <row r="217" customFormat="false" ht="12.8" hidden="false" customHeight="false" outlineLevel="0" collapsed="false">
      <c r="A217" s="1" t="n">
        <v>6.04</v>
      </c>
      <c r="B217" s="1" t="n">
        <v>-0.16</v>
      </c>
      <c r="C217" s="1" t="n">
        <v>-0.4</v>
      </c>
      <c r="D217" s="1" t="n">
        <v>4.6</v>
      </c>
      <c r="E217" s="1" t="n">
        <v>-0.2</v>
      </c>
      <c r="F217" s="1" t="n">
        <v>0.01</v>
      </c>
      <c r="G217" s="22" t="n">
        <v>9.89291984537927</v>
      </c>
      <c r="H217" s="1" t="n">
        <v>9.89</v>
      </c>
      <c r="I217" s="22" t="n">
        <v>-0.00291984537926915</v>
      </c>
      <c r="K217" s="12" t="n">
        <v>7</v>
      </c>
      <c r="L217" s="13" t="s">
        <v>89</v>
      </c>
      <c r="M217" s="13" t="n">
        <v>10.24</v>
      </c>
      <c r="N217" s="13" t="n">
        <v>5.32</v>
      </c>
      <c r="O217" s="13" t="n">
        <v>0.16</v>
      </c>
      <c r="P217" s="13" t="n">
        <v>0.12</v>
      </c>
      <c r="Q217" s="13" t="n">
        <v>4.65</v>
      </c>
      <c r="R217" s="13" t="n">
        <v>-0.02</v>
      </c>
      <c r="S217" s="13" t="n">
        <v>0.01</v>
      </c>
    </row>
    <row r="218" customFormat="false" ht="12.8" hidden="false" customHeight="false" outlineLevel="0" collapsed="false">
      <c r="A218" s="1" t="n">
        <v>5.99</v>
      </c>
      <c r="B218" s="1" t="n">
        <v>0.04</v>
      </c>
      <c r="C218" s="1" t="n">
        <v>-0.3</v>
      </c>
      <c r="D218" s="1" t="n">
        <v>4.6</v>
      </c>
      <c r="E218" s="1" t="n">
        <v>0.06</v>
      </c>
      <c r="F218" s="1" t="n">
        <v>-0.045</v>
      </c>
      <c r="G218" s="22" t="n">
        <v>10.3379085060076</v>
      </c>
      <c r="H218" s="1" t="n">
        <v>10.35</v>
      </c>
      <c r="I218" s="22" t="n">
        <v>0.0120914939924273</v>
      </c>
      <c r="K218" s="12" t="n">
        <v>7</v>
      </c>
      <c r="L218" s="13" t="s">
        <v>90</v>
      </c>
      <c r="M218" s="13" t="n">
        <v>10.16</v>
      </c>
      <c r="N218" s="13" t="n">
        <v>5.52</v>
      </c>
      <c r="O218" s="13" t="n">
        <v>0.02</v>
      </c>
      <c r="P218" s="13" t="n">
        <v>-0.03</v>
      </c>
      <c r="Q218" s="13" t="n">
        <v>4.65</v>
      </c>
      <c r="R218" s="13" t="n">
        <v>-0.02</v>
      </c>
      <c r="S218" s="13" t="n">
        <v>0.01</v>
      </c>
    </row>
    <row r="219" customFormat="false" ht="12.8" hidden="false" customHeight="false" outlineLevel="0" collapsed="false">
      <c r="A219" s="1" t="n">
        <v>7.07</v>
      </c>
      <c r="B219" s="1" t="n">
        <v>-0.2</v>
      </c>
      <c r="C219" s="1" t="n">
        <v>-0.71</v>
      </c>
      <c r="D219" s="1" t="n">
        <v>4.6</v>
      </c>
      <c r="E219" s="1" t="n">
        <v>-0.16</v>
      </c>
      <c r="F219" s="1" t="n">
        <v>-0.187</v>
      </c>
      <c r="G219" s="22" t="n">
        <v>10.4012053667686</v>
      </c>
      <c r="H219" s="1" t="n">
        <v>10.42</v>
      </c>
      <c r="I219" s="22" t="n">
        <v>0.0187946332313729</v>
      </c>
      <c r="K219" s="12" t="n">
        <v>7</v>
      </c>
      <c r="L219" s="13" t="s">
        <v>91</v>
      </c>
      <c r="M219" s="13" t="n">
        <v>10.02</v>
      </c>
      <c r="N219" s="13" t="n">
        <v>5.88</v>
      </c>
      <c r="O219" s="13" t="n">
        <v>-0.02</v>
      </c>
      <c r="P219" s="13" t="n">
        <v>-0.43</v>
      </c>
      <c r="Q219" s="13" t="n">
        <v>4.65</v>
      </c>
      <c r="R219" s="13" t="n">
        <v>-0.06</v>
      </c>
      <c r="S219" s="13" t="n">
        <v>0.001</v>
      </c>
    </row>
    <row r="220" customFormat="false" ht="12.8" hidden="false" customHeight="false" outlineLevel="0" collapsed="false">
      <c r="A220" s="1" t="n">
        <v>6.71</v>
      </c>
      <c r="B220" s="1" t="n">
        <v>-0.24</v>
      </c>
      <c r="C220" s="1" t="n">
        <v>-0.79</v>
      </c>
      <c r="D220" s="1" t="n">
        <v>4.6</v>
      </c>
      <c r="E220" s="1" t="n">
        <v>-0.1</v>
      </c>
      <c r="F220" s="1" t="n">
        <v>0</v>
      </c>
      <c r="G220" s="22" t="n">
        <v>10.1781095513284</v>
      </c>
      <c r="H220" s="1" t="n">
        <v>10.17</v>
      </c>
      <c r="I220" s="22" t="n">
        <v>-0.00810955132844526</v>
      </c>
      <c r="K220" s="12" t="n">
        <v>7</v>
      </c>
      <c r="L220" s="13" t="s">
        <v>92</v>
      </c>
      <c r="M220" s="13" t="n">
        <v>10.19</v>
      </c>
      <c r="N220" s="13" t="n">
        <v>6.06</v>
      </c>
      <c r="O220" s="13" t="n">
        <v>-0.08</v>
      </c>
      <c r="P220" s="13" t="n">
        <v>-0.52</v>
      </c>
      <c r="Q220" s="13" t="n">
        <v>4.65</v>
      </c>
      <c r="R220" s="13" t="n">
        <v>0.08</v>
      </c>
      <c r="S220" s="13" t="n">
        <v>-0.001</v>
      </c>
    </row>
    <row r="221" customFormat="false" ht="12.8" hidden="false" customHeight="false" outlineLevel="0" collapsed="false">
      <c r="A221" s="1" t="n">
        <v>6.46</v>
      </c>
      <c r="B221" s="1" t="n">
        <v>-0.1</v>
      </c>
      <c r="C221" s="1" t="n">
        <v>-0.61</v>
      </c>
      <c r="D221" s="1" t="n">
        <v>4.6</v>
      </c>
      <c r="E221" s="1" t="n">
        <v>-0.05</v>
      </c>
      <c r="F221" s="1" t="n">
        <v>0.002</v>
      </c>
      <c r="G221" s="22" t="n">
        <v>10.3000361481241</v>
      </c>
      <c r="H221" s="1" t="n">
        <v>10.3</v>
      </c>
      <c r="I221" s="22" t="n">
        <v>-3.61481241100137E-005</v>
      </c>
      <c r="K221" s="12" t="n">
        <v>7</v>
      </c>
      <c r="L221" s="13" t="s">
        <v>93</v>
      </c>
      <c r="M221" s="13" t="n">
        <v>9.93</v>
      </c>
      <c r="N221" s="13" t="n">
        <v>6.09</v>
      </c>
      <c r="O221" s="13" t="n">
        <v>-0.16</v>
      </c>
      <c r="P221" s="13" t="n">
        <v>-0.67</v>
      </c>
      <c r="Q221" s="13" t="n">
        <v>4.65</v>
      </c>
      <c r="R221" s="13" t="n">
        <v>0</v>
      </c>
      <c r="S221" s="13" t="n">
        <v>0.01</v>
      </c>
    </row>
    <row r="222" customFormat="false" ht="12.8" hidden="false" customHeight="false" outlineLevel="0" collapsed="false">
      <c r="A222" s="1" t="n">
        <v>6.54</v>
      </c>
      <c r="B222" s="1" t="n">
        <v>-0.22</v>
      </c>
      <c r="C222" s="1" t="n">
        <v>-0.6</v>
      </c>
      <c r="D222" s="1" t="n">
        <v>4.6</v>
      </c>
      <c r="E222" s="1" t="n">
        <v>-0.08</v>
      </c>
      <c r="F222" s="1" t="n">
        <v>0.01</v>
      </c>
      <c r="G222" s="22" t="n">
        <v>10.2499737168823</v>
      </c>
      <c r="H222" s="1" t="n">
        <v>10.25</v>
      </c>
      <c r="I222" s="22" t="n">
        <v>2.6283117659176E-005</v>
      </c>
      <c r="K222" s="12" t="n">
        <v>7</v>
      </c>
      <c r="L222" s="13" t="s">
        <v>94</v>
      </c>
      <c r="M222" s="13" t="n">
        <v>9.94</v>
      </c>
      <c r="N222" s="13" t="n">
        <v>6.24</v>
      </c>
      <c r="O222" s="13" t="n">
        <v>-0.27</v>
      </c>
      <c r="P222" s="13" t="n">
        <v>-0.52</v>
      </c>
      <c r="Q222" s="13" t="n">
        <v>4.65</v>
      </c>
      <c r="R222" s="13" t="n">
        <v>-0.06</v>
      </c>
      <c r="S222" s="13" t="n">
        <v>-0.106</v>
      </c>
    </row>
    <row r="223" customFormat="false" ht="12.8" hidden="false" customHeight="false" outlineLevel="0" collapsed="false">
      <c r="A223" s="1" t="n">
        <v>6.24</v>
      </c>
      <c r="B223" s="1" t="n">
        <v>-0.12</v>
      </c>
      <c r="C223" s="1" t="n">
        <v>-0.76</v>
      </c>
      <c r="D223" s="1" t="n">
        <v>4.6</v>
      </c>
      <c r="E223" s="1" t="n">
        <v>-0.08</v>
      </c>
      <c r="F223" s="1" t="n">
        <v>-0.028</v>
      </c>
      <c r="G223" s="22" t="n">
        <v>9.84499621183555</v>
      </c>
      <c r="H223" s="1" t="n">
        <v>9.85</v>
      </c>
      <c r="I223" s="22" t="n">
        <v>0.00500378816444602</v>
      </c>
      <c r="K223" s="12" t="n">
        <v>7</v>
      </c>
      <c r="L223" s="13" t="s">
        <v>95</v>
      </c>
      <c r="M223" s="13" t="n">
        <v>10.17</v>
      </c>
      <c r="N223" s="13" t="n">
        <v>5.66</v>
      </c>
      <c r="O223" s="13" t="n">
        <v>0.06</v>
      </c>
      <c r="P223" s="13" t="n">
        <v>-0.23</v>
      </c>
      <c r="Q223" s="13" t="n">
        <v>4.65</v>
      </c>
      <c r="R223" s="13" t="n">
        <v>0.01</v>
      </c>
      <c r="S223" s="13" t="n">
        <v>0.01</v>
      </c>
    </row>
    <row r="224" customFormat="false" ht="12.8" hidden="false" customHeight="false" outlineLevel="0" collapsed="false">
      <c r="A224" s="1" t="n">
        <v>6.7</v>
      </c>
      <c r="B224" s="1" t="n">
        <v>-0.09</v>
      </c>
      <c r="C224" s="1" t="n">
        <v>-0.9</v>
      </c>
      <c r="D224" s="1" t="n">
        <v>4.6</v>
      </c>
      <c r="E224" s="1" t="n">
        <v>-0.13</v>
      </c>
      <c r="F224" s="1" t="n">
        <v>-0.052</v>
      </c>
      <c r="G224" s="22" t="n">
        <v>10.12135202497</v>
      </c>
      <c r="H224" s="1" t="n">
        <v>10.13</v>
      </c>
      <c r="I224" s="22" t="n">
        <v>0.00864797503004233</v>
      </c>
      <c r="K224" s="12" t="n">
        <v>7</v>
      </c>
      <c r="L224" s="13" t="s">
        <v>97</v>
      </c>
      <c r="M224" s="13" t="n">
        <v>9.97</v>
      </c>
      <c r="N224" s="13" t="n">
        <v>5.41</v>
      </c>
      <c r="O224" s="13" t="n">
        <v>0.04</v>
      </c>
      <c r="P224" s="13" t="n">
        <v>-0.14</v>
      </c>
      <c r="Q224" s="13" t="n">
        <v>4.65</v>
      </c>
      <c r="R224" s="13" t="n">
        <v>0</v>
      </c>
      <c r="S224" s="13" t="n">
        <v>0.01</v>
      </c>
    </row>
    <row r="225" customFormat="false" ht="12.8" hidden="false" customHeight="false" outlineLevel="0" collapsed="false">
      <c r="A225" s="1" t="n">
        <v>6.59</v>
      </c>
      <c r="B225" s="1" t="n">
        <v>0.17</v>
      </c>
      <c r="C225" s="1" t="n">
        <v>-1.58</v>
      </c>
      <c r="D225" s="1" t="n">
        <v>4.6</v>
      </c>
      <c r="E225" s="1" t="n">
        <v>-0.27</v>
      </c>
      <c r="F225" s="1" t="n">
        <v>0.01</v>
      </c>
      <c r="G225" s="22" t="n">
        <v>9.51220963889318</v>
      </c>
      <c r="H225" s="1" t="n">
        <v>9.52</v>
      </c>
      <c r="I225" s="22" t="n">
        <v>0.00779036110681552</v>
      </c>
      <c r="K225" s="12" t="n">
        <v>7</v>
      </c>
      <c r="L225" s="13" t="s">
        <v>98</v>
      </c>
      <c r="M225" s="13" t="n">
        <v>10.36</v>
      </c>
      <c r="N225" s="13" t="n">
        <v>5.83</v>
      </c>
      <c r="O225" s="13" t="n">
        <v>-0.17</v>
      </c>
      <c r="P225" s="13" t="n">
        <v>-0.1</v>
      </c>
      <c r="Q225" s="13" t="n">
        <v>4.65</v>
      </c>
      <c r="R225" s="13" t="n">
        <v>0.14</v>
      </c>
      <c r="S225" s="13" t="n">
        <v>0.01</v>
      </c>
    </row>
    <row r="226" customFormat="false" ht="12.8" hidden="false" customHeight="false" outlineLevel="0" collapsed="false">
      <c r="A226" s="1" t="n">
        <v>6.21</v>
      </c>
      <c r="B226" s="1" t="n">
        <v>-0.33</v>
      </c>
      <c r="C226" s="1" t="n">
        <v>-0.22</v>
      </c>
      <c r="D226" s="1" t="n">
        <v>4.65</v>
      </c>
      <c r="E226" s="1" t="n">
        <v>-0.02</v>
      </c>
      <c r="F226" s="1" t="n">
        <v>0.01</v>
      </c>
      <c r="G226" s="22" t="n">
        <v>10.3042394293445</v>
      </c>
      <c r="H226" s="1" t="n">
        <v>10.31</v>
      </c>
      <c r="I226" s="22" t="n">
        <v>0.00576057065549129</v>
      </c>
      <c r="K226" s="12" t="n">
        <v>7</v>
      </c>
      <c r="L226" s="13" t="s">
        <v>99</v>
      </c>
      <c r="M226" s="13" t="n">
        <v>10.47</v>
      </c>
      <c r="N226" s="13" t="n">
        <v>6.2</v>
      </c>
      <c r="O226" s="13" t="n">
        <v>-0.11</v>
      </c>
      <c r="P226" s="13" t="n">
        <v>-0.36</v>
      </c>
      <c r="Q226" s="13" t="n">
        <v>4.65</v>
      </c>
      <c r="R226" s="13" t="n">
        <v>0.11</v>
      </c>
      <c r="S226" s="13" t="n">
        <v>-0.025</v>
      </c>
    </row>
    <row r="227" customFormat="false" ht="12.8" hidden="false" customHeight="false" outlineLevel="0" collapsed="false">
      <c r="A227" s="1" t="n">
        <v>6.35</v>
      </c>
      <c r="B227" s="1" t="n">
        <v>-0.37</v>
      </c>
      <c r="C227" s="1" t="n">
        <v>-0.79</v>
      </c>
      <c r="D227" s="1" t="n">
        <v>4.65</v>
      </c>
      <c r="E227" s="1" t="n">
        <v>-0.01</v>
      </c>
      <c r="F227" s="1" t="n">
        <v>0.007</v>
      </c>
      <c r="G227" s="22" t="n">
        <v>9.83366908865632</v>
      </c>
      <c r="H227" s="1" t="n">
        <v>9.85</v>
      </c>
      <c r="I227" s="22" t="n">
        <v>0.0163309113436796</v>
      </c>
      <c r="K227" s="12" t="n">
        <v>7</v>
      </c>
      <c r="L227" s="13" t="s">
        <v>100</v>
      </c>
      <c r="M227" s="13" t="n">
        <v>10.21</v>
      </c>
      <c r="N227" s="13" t="n">
        <v>5.99</v>
      </c>
      <c r="O227" s="13" t="n">
        <v>-0.05</v>
      </c>
      <c r="P227" s="13" t="n">
        <v>-0.35</v>
      </c>
      <c r="Q227" s="13" t="n">
        <v>4.65</v>
      </c>
      <c r="R227" s="13" t="n">
        <v>-0.04</v>
      </c>
      <c r="S227" s="13" t="n">
        <v>0.01</v>
      </c>
    </row>
    <row r="228" customFormat="false" ht="12.8" hidden="false" customHeight="false" outlineLevel="0" collapsed="false">
      <c r="A228" s="1" t="n">
        <v>5.99</v>
      </c>
      <c r="B228" s="1" t="n">
        <v>-0.35</v>
      </c>
      <c r="C228" s="1" t="n">
        <v>-0.62</v>
      </c>
      <c r="D228" s="1" t="n">
        <v>4.65</v>
      </c>
      <c r="E228" s="1" t="n">
        <v>-0.07</v>
      </c>
      <c r="F228" s="1" t="n">
        <v>0.01</v>
      </c>
      <c r="G228" s="22" t="n">
        <v>9.60866000280361</v>
      </c>
      <c r="H228" s="1" t="n">
        <v>9.62</v>
      </c>
      <c r="I228" s="22" t="n">
        <v>0.0113399971963908</v>
      </c>
      <c r="K228" s="12" t="n">
        <v>7</v>
      </c>
      <c r="L228" s="13" t="s">
        <v>101</v>
      </c>
      <c r="M228" s="13" t="n">
        <v>10.18</v>
      </c>
      <c r="N228" s="13" t="n">
        <v>5.95</v>
      </c>
      <c r="O228" s="13" t="n">
        <v>-0.01</v>
      </c>
      <c r="P228" s="13" t="n">
        <v>-0.47</v>
      </c>
      <c r="Q228" s="13" t="n">
        <v>4.65</v>
      </c>
      <c r="R228" s="13" t="n">
        <v>0.05</v>
      </c>
      <c r="S228" s="13" t="n">
        <v>0.01</v>
      </c>
    </row>
    <row r="229" customFormat="false" ht="12.8" hidden="false" customHeight="false" outlineLevel="0" collapsed="false">
      <c r="A229" s="1" t="n">
        <v>5.91</v>
      </c>
      <c r="B229" s="1" t="n">
        <v>-0.16</v>
      </c>
      <c r="C229" s="1" t="n">
        <v>-0.33</v>
      </c>
      <c r="D229" s="1" t="n">
        <v>4.65</v>
      </c>
      <c r="E229" s="1" t="n">
        <v>0.03</v>
      </c>
      <c r="F229" s="1" t="n">
        <v>0.01</v>
      </c>
      <c r="G229" s="22" t="n">
        <v>10.1097192585407</v>
      </c>
      <c r="H229" s="1" t="n">
        <v>10.11</v>
      </c>
      <c r="I229" s="22" t="n">
        <v>0.000280741459283362</v>
      </c>
      <c r="K229" s="12" t="n">
        <v>7</v>
      </c>
      <c r="L229" s="13" t="s">
        <v>102</v>
      </c>
      <c r="M229" s="13" t="n">
        <v>10.13</v>
      </c>
      <c r="N229" s="13" t="n">
        <v>6.03</v>
      </c>
      <c r="O229" s="13" t="n">
        <v>-0.17</v>
      </c>
      <c r="P229" s="13" t="n">
        <v>-0.39</v>
      </c>
      <c r="Q229" s="13" t="n">
        <v>4.65</v>
      </c>
      <c r="R229" s="13" t="n">
        <v>-0.01</v>
      </c>
      <c r="S229" s="13" t="n">
        <v>0.01</v>
      </c>
    </row>
    <row r="230" customFormat="false" ht="12.8" hidden="false" customHeight="false" outlineLevel="0" collapsed="false">
      <c r="A230" s="1" t="n">
        <v>6.72</v>
      </c>
      <c r="B230" s="1" t="n">
        <v>-0.63</v>
      </c>
      <c r="C230" s="1" t="n">
        <v>-0.72</v>
      </c>
      <c r="D230" s="1" t="n">
        <v>4.65</v>
      </c>
      <c r="E230" s="1" t="n">
        <v>-0.01</v>
      </c>
      <c r="F230" s="1" t="n">
        <v>0</v>
      </c>
      <c r="G230" s="22" t="n">
        <v>10.009081110438</v>
      </c>
      <c r="H230" s="1" t="n">
        <v>10.01</v>
      </c>
      <c r="I230" s="22" t="n">
        <v>0.000918889561996039</v>
      </c>
      <c r="K230" s="12" t="n">
        <v>7</v>
      </c>
      <c r="L230" s="13" t="s">
        <v>103</v>
      </c>
      <c r="M230" s="13" t="n">
        <v>10.31</v>
      </c>
      <c r="N230" s="13" t="n">
        <v>5.9</v>
      </c>
      <c r="O230" s="13" t="n">
        <v>0.04</v>
      </c>
      <c r="P230" s="13" t="n">
        <v>-0.29</v>
      </c>
      <c r="Q230" s="13" t="n">
        <v>4.65</v>
      </c>
      <c r="R230" s="13" t="n">
        <v>0</v>
      </c>
      <c r="S230" s="13" t="n">
        <v>0.01</v>
      </c>
    </row>
    <row r="231" customFormat="false" ht="12.8" hidden="false" customHeight="false" outlineLevel="0" collapsed="false">
      <c r="A231" s="1" t="n">
        <v>6.12</v>
      </c>
      <c r="B231" s="1" t="n">
        <v>-0.31</v>
      </c>
      <c r="C231" s="1" t="n">
        <v>-0.49</v>
      </c>
      <c r="D231" s="1" t="n">
        <v>4.65</v>
      </c>
      <c r="E231" s="1" t="n">
        <v>-0.06</v>
      </c>
      <c r="F231" s="1" t="n">
        <v>-0.148</v>
      </c>
      <c r="G231" s="22" t="n">
        <v>9.75047040819257</v>
      </c>
      <c r="H231" s="1" t="n">
        <v>9.75</v>
      </c>
      <c r="I231" s="22" t="n">
        <v>-0.000470408192569494</v>
      </c>
      <c r="K231" s="12" t="n">
        <v>7</v>
      </c>
      <c r="L231" s="13" t="s">
        <v>104</v>
      </c>
      <c r="M231" s="13" t="n">
        <v>10.78</v>
      </c>
      <c r="N231" s="13" t="n">
        <v>6.93</v>
      </c>
      <c r="O231" s="13" t="n">
        <v>-0.19</v>
      </c>
      <c r="P231" s="13" t="n">
        <v>-0.68</v>
      </c>
      <c r="Q231" s="13" t="n">
        <v>4.65</v>
      </c>
      <c r="R231" s="13" t="n">
        <v>0.06</v>
      </c>
      <c r="S231" s="13" t="n">
        <v>0.01</v>
      </c>
    </row>
    <row r="232" customFormat="false" ht="12.8" hidden="false" customHeight="false" outlineLevel="0" collapsed="false">
      <c r="A232" s="1" t="n">
        <v>5.43</v>
      </c>
      <c r="B232" s="1" t="n">
        <v>-0.2</v>
      </c>
      <c r="C232" s="1" t="n">
        <v>-0.28</v>
      </c>
      <c r="D232" s="1" t="n">
        <v>4.65</v>
      </c>
      <c r="E232" s="1" t="n">
        <v>0.01</v>
      </c>
      <c r="F232" s="1" t="n">
        <v>0.01</v>
      </c>
      <c r="G232" s="22" t="n">
        <v>9.61794074625015</v>
      </c>
      <c r="H232" s="1" t="n">
        <v>9.62</v>
      </c>
      <c r="I232" s="22" t="n">
        <v>0.00205925374984695</v>
      </c>
      <c r="K232" s="12" t="n">
        <v>7</v>
      </c>
      <c r="L232" s="13" t="s">
        <v>105</v>
      </c>
      <c r="M232" s="13" t="n">
        <v>10.41</v>
      </c>
      <c r="N232" s="13" t="n">
        <v>6.7</v>
      </c>
      <c r="O232" s="13" t="n">
        <v>-0.27</v>
      </c>
      <c r="P232" s="13" t="n">
        <v>-0.76</v>
      </c>
      <c r="Q232" s="13" t="n">
        <v>4.65</v>
      </c>
      <c r="R232" s="13" t="n">
        <v>0.07</v>
      </c>
      <c r="S232" s="13" t="n">
        <v>0.01</v>
      </c>
    </row>
    <row r="233" customFormat="false" ht="12.8" hidden="false" customHeight="false" outlineLevel="0" collapsed="false">
      <c r="A233" s="1" t="n">
        <v>5.07</v>
      </c>
      <c r="B233" s="1" t="n">
        <v>-0.04</v>
      </c>
      <c r="C233" s="1" t="n">
        <v>0.02</v>
      </c>
      <c r="D233" s="1" t="n">
        <v>4.65</v>
      </c>
      <c r="E233" s="1" t="n">
        <v>-0.04</v>
      </c>
      <c r="F233" s="1" t="n">
        <v>0.01</v>
      </c>
      <c r="G233" s="22" t="n">
        <v>9.67137639827528</v>
      </c>
      <c r="H233" s="1" t="n">
        <v>9.67</v>
      </c>
      <c r="I233" s="22" t="n">
        <v>-0.00137639827527991</v>
      </c>
      <c r="K233" s="12" t="n">
        <v>7</v>
      </c>
      <c r="L233" s="13" t="s">
        <v>106</v>
      </c>
      <c r="M233" s="13" t="n">
        <v>10.12</v>
      </c>
      <c r="N233" s="13" t="n">
        <v>6.34</v>
      </c>
      <c r="O233" s="13" t="n">
        <v>-0.1</v>
      </c>
      <c r="P233" s="13" t="n">
        <v>-0.6</v>
      </c>
      <c r="Q233" s="13" t="n">
        <v>4.65</v>
      </c>
      <c r="R233" s="13" t="n">
        <v>-0.03</v>
      </c>
      <c r="S233" s="13" t="n">
        <v>-0.137</v>
      </c>
    </row>
    <row r="234" customFormat="false" ht="12.8" hidden="false" customHeight="false" outlineLevel="0" collapsed="false">
      <c r="A234" s="1" t="n">
        <v>5.38</v>
      </c>
      <c r="B234" s="1" t="n">
        <v>-0.08</v>
      </c>
      <c r="C234" s="1" t="n">
        <v>-0.09</v>
      </c>
      <c r="D234" s="1" t="n">
        <v>4.65</v>
      </c>
      <c r="E234" s="1" t="n">
        <v>-0.06</v>
      </c>
      <c r="F234" s="1" t="n">
        <v>0.01</v>
      </c>
      <c r="G234" s="22" t="n">
        <v>9.81225595730865</v>
      </c>
      <c r="H234" s="1" t="n">
        <v>9.82</v>
      </c>
      <c r="I234" s="22" t="n">
        <v>0.00774404269134621</v>
      </c>
      <c r="K234" s="12" t="n">
        <v>7</v>
      </c>
      <c r="L234" s="13" t="s">
        <v>107</v>
      </c>
      <c r="M234" s="13" t="n">
        <v>10.25</v>
      </c>
      <c r="N234" s="13" t="n">
        <v>6.41</v>
      </c>
      <c r="O234" s="13" t="n">
        <v>-0.22</v>
      </c>
      <c r="P234" s="13" t="n">
        <v>-0.57</v>
      </c>
      <c r="Q234" s="13" t="n">
        <v>4.65</v>
      </c>
      <c r="R234" s="13" t="n">
        <v>0.02</v>
      </c>
      <c r="S234" s="13" t="n">
        <v>-0.048</v>
      </c>
    </row>
    <row r="235" customFormat="false" ht="12.8" hidden="false" customHeight="false" outlineLevel="0" collapsed="false">
      <c r="A235" s="1" t="n">
        <v>5.2</v>
      </c>
      <c r="B235" s="1" t="n">
        <v>-0.02</v>
      </c>
      <c r="C235" s="1" t="n">
        <v>-0.08</v>
      </c>
      <c r="D235" s="1" t="n">
        <v>4.65</v>
      </c>
      <c r="E235" s="1" t="n">
        <v>0.01</v>
      </c>
      <c r="F235" s="1" t="n">
        <v>0.01</v>
      </c>
      <c r="G235" s="22" t="n">
        <v>9.7694839101814</v>
      </c>
      <c r="H235" s="1" t="n">
        <v>9.77</v>
      </c>
      <c r="I235" s="22" t="n">
        <v>0.000516089818596299</v>
      </c>
      <c r="K235" s="12" t="n">
        <v>7</v>
      </c>
      <c r="L235" s="13" t="s">
        <v>108</v>
      </c>
      <c r="M235" s="13" t="n">
        <v>10.09</v>
      </c>
      <c r="N235" s="13" t="n">
        <v>6.21</v>
      </c>
      <c r="O235" s="13" t="n">
        <v>-0.13</v>
      </c>
      <c r="P235" s="13" t="n">
        <v>-0.75</v>
      </c>
      <c r="Q235" s="13" t="n">
        <v>4.65</v>
      </c>
      <c r="R235" s="13" t="n">
        <v>0.15</v>
      </c>
      <c r="S235" s="13" t="n">
        <v>-0.048</v>
      </c>
    </row>
    <row r="236" customFormat="false" ht="12.8" hidden="false" customHeight="false" outlineLevel="0" collapsed="false">
      <c r="A236" s="1" t="n">
        <v>5.02</v>
      </c>
      <c r="B236" s="1" t="n">
        <v>-0.01</v>
      </c>
      <c r="C236" s="1" t="n">
        <v>0.11</v>
      </c>
      <c r="D236" s="1" t="n">
        <v>4.65</v>
      </c>
      <c r="E236" s="1" t="n">
        <v>-0.02</v>
      </c>
      <c r="F236" s="1" t="n">
        <v>0.01</v>
      </c>
      <c r="G236" s="22" t="n">
        <v>9.76181262207037</v>
      </c>
      <c r="H236" s="1" t="n">
        <v>9.76</v>
      </c>
      <c r="I236" s="22" t="n">
        <v>-0.00181262207036603</v>
      </c>
      <c r="K236" s="12" t="n">
        <v>7</v>
      </c>
      <c r="L236" s="13" t="s">
        <v>109</v>
      </c>
      <c r="M236" s="13" t="n">
        <v>10.31</v>
      </c>
      <c r="N236" s="13" t="n">
        <v>6.65</v>
      </c>
      <c r="O236" s="13" t="n">
        <v>-0.12</v>
      </c>
      <c r="P236" s="13" t="n">
        <v>-0.9</v>
      </c>
      <c r="Q236" s="13" t="n">
        <v>4.65</v>
      </c>
      <c r="R236" s="13" t="n">
        <v>0.01</v>
      </c>
      <c r="S236" s="13" t="n">
        <v>0.01</v>
      </c>
    </row>
    <row r="237" customFormat="false" ht="12.8" hidden="false" customHeight="false" outlineLevel="0" collapsed="false">
      <c r="A237" s="1" t="n">
        <v>5.1</v>
      </c>
      <c r="B237" s="1" t="n">
        <v>-0.06</v>
      </c>
      <c r="C237" s="1" t="n">
        <v>0.11</v>
      </c>
      <c r="D237" s="1" t="n">
        <v>4.65</v>
      </c>
      <c r="E237" s="1" t="n">
        <v>-0.02</v>
      </c>
      <c r="F237" s="1" t="n">
        <v>0.01</v>
      </c>
      <c r="G237" s="22" t="n">
        <v>9.7922518619819</v>
      </c>
      <c r="H237" s="1" t="n">
        <v>9.79</v>
      </c>
      <c r="I237" s="22" t="n">
        <v>-0.00225186198190031</v>
      </c>
      <c r="K237" s="12" t="n">
        <v>7</v>
      </c>
      <c r="L237" s="13" t="s">
        <v>110</v>
      </c>
      <c r="M237" s="13" t="n">
        <v>9.44</v>
      </c>
      <c r="N237" s="13" t="n">
        <v>6.41</v>
      </c>
      <c r="O237" s="13" t="n">
        <v>0.11</v>
      </c>
      <c r="P237" s="13" t="n">
        <v>-1.48</v>
      </c>
      <c r="Q237" s="13" t="n">
        <v>4.65</v>
      </c>
      <c r="R237" s="13" t="n">
        <v>-0.25</v>
      </c>
      <c r="S237" s="13" t="n">
        <v>-0.002</v>
      </c>
    </row>
    <row r="238" customFormat="false" ht="12.8" hidden="false" customHeight="false" outlineLevel="0" collapsed="false">
      <c r="A238" s="1" t="n">
        <v>4.46</v>
      </c>
      <c r="B238" s="1" t="n">
        <v>0.17</v>
      </c>
      <c r="C238" s="1" t="n">
        <v>0.63</v>
      </c>
      <c r="D238" s="1" t="n">
        <v>4.65</v>
      </c>
      <c r="E238" s="1" t="n">
        <v>-0.01</v>
      </c>
      <c r="F238" s="1" t="n">
        <v>0.01</v>
      </c>
      <c r="G238" s="22" t="n">
        <v>9.91548122402498</v>
      </c>
      <c r="H238" s="1" t="n">
        <v>9.91</v>
      </c>
      <c r="I238" s="22" t="n">
        <v>-0.00548122402497775</v>
      </c>
      <c r="K238" s="12" t="n">
        <v>8</v>
      </c>
      <c r="L238" s="13" t="s">
        <v>42</v>
      </c>
      <c r="M238" s="13" t="n">
        <v>10.28</v>
      </c>
      <c r="N238" s="13" t="n">
        <v>6.21</v>
      </c>
      <c r="O238" s="13" t="n">
        <v>-0.33</v>
      </c>
      <c r="P238" s="13" t="n">
        <v>-0.19</v>
      </c>
      <c r="Q238" s="13" t="n">
        <v>4.55</v>
      </c>
      <c r="R238" s="13" t="n">
        <v>0.03</v>
      </c>
      <c r="S238" s="13" t="n">
        <v>0.01</v>
      </c>
    </row>
    <row r="239" customFormat="false" ht="12.8" hidden="false" customHeight="false" outlineLevel="0" collapsed="false">
      <c r="A239" s="1" t="n">
        <v>5</v>
      </c>
      <c r="B239" s="1" t="n">
        <v>-0.06</v>
      </c>
      <c r="C239" s="1" t="n">
        <v>0.36</v>
      </c>
      <c r="D239" s="1" t="n">
        <v>4.65</v>
      </c>
      <c r="E239" s="1" t="n">
        <v>-0.04</v>
      </c>
      <c r="F239" s="1" t="n">
        <v>0.01</v>
      </c>
      <c r="G239" s="22" t="n">
        <v>9.92562663259854</v>
      </c>
      <c r="H239" s="1" t="n">
        <v>9.92</v>
      </c>
      <c r="I239" s="22" t="n">
        <v>-0.0056266325985348</v>
      </c>
      <c r="K239" s="12" t="n">
        <v>8</v>
      </c>
      <c r="L239" s="13" t="s">
        <v>45</v>
      </c>
      <c r="M239" s="13" t="n">
        <v>9.85</v>
      </c>
      <c r="N239" s="13" t="n">
        <v>6.38</v>
      </c>
      <c r="O239" s="13" t="n">
        <v>-0.41</v>
      </c>
      <c r="P239" s="13" t="n">
        <v>-0.77</v>
      </c>
      <c r="Q239" s="13" t="n">
        <v>4.55</v>
      </c>
      <c r="R239" s="13" t="n">
        <v>0.11</v>
      </c>
      <c r="S239" s="13" t="n">
        <v>0.01</v>
      </c>
    </row>
    <row r="240" customFormat="false" ht="12.8" hidden="false" customHeight="false" outlineLevel="0" collapsed="false">
      <c r="A240" s="1" t="n">
        <v>5.32</v>
      </c>
      <c r="B240" s="1" t="n">
        <v>-0.15</v>
      </c>
      <c r="C240" s="1" t="n">
        <v>-0.31</v>
      </c>
      <c r="D240" s="1" t="n">
        <v>4.65</v>
      </c>
      <c r="E240" s="1" t="n">
        <v>0.08</v>
      </c>
      <c r="F240" s="1" t="n">
        <v>-0.04</v>
      </c>
      <c r="G240" s="22" t="n">
        <v>9.54105946447393</v>
      </c>
      <c r="H240" s="1" t="n">
        <v>9.55</v>
      </c>
      <c r="I240" s="22" t="n">
        <v>0.00894053552607055</v>
      </c>
      <c r="K240" s="12" t="n">
        <v>8</v>
      </c>
      <c r="L240" s="13" t="s">
        <v>46</v>
      </c>
      <c r="M240" s="13" t="n">
        <v>9.51</v>
      </c>
      <c r="N240" s="13" t="n">
        <v>6.02</v>
      </c>
      <c r="O240" s="13" t="n">
        <v>-0.37</v>
      </c>
      <c r="P240" s="13" t="n">
        <v>-0.64</v>
      </c>
      <c r="Q240" s="13" t="n">
        <v>4.55</v>
      </c>
      <c r="R240" s="13" t="n">
        <v>-0.06</v>
      </c>
      <c r="S240" s="13" t="n">
        <v>0</v>
      </c>
    </row>
    <row r="241" customFormat="false" ht="12.8" hidden="false" customHeight="false" outlineLevel="0" collapsed="false">
      <c r="A241" s="1" t="n">
        <v>4.95</v>
      </c>
      <c r="B241" s="1" t="n">
        <v>-0.07</v>
      </c>
      <c r="C241" s="1" t="n">
        <v>0.11</v>
      </c>
      <c r="D241" s="1" t="n">
        <v>4.65</v>
      </c>
      <c r="E241" s="1" t="n">
        <v>0.04</v>
      </c>
      <c r="F241" s="1" t="n">
        <v>-0.027</v>
      </c>
      <c r="G241" s="22" t="n">
        <v>9.6497744677743</v>
      </c>
      <c r="H241" s="1" t="n">
        <v>9.65</v>
      </c>
      <c r="I241" s="22" t="n">
        <v>0.000225532225703873</v>
      </c>
      <c r="K241" s="12" t="n">
        <v>8</v>
      </c>
      <c r="L241" s="13" t="s">
        <v>48</v>
      </c>
      <c r="M241" s="13" t="n">
        <v>10.1</v>
      </c>
      <c r="N241" s="13" t="n">
        <v>5.99</v>
      </c>
      <c r="O241" s="13" t="n">
        <v>-0.16</v>
      </c>
      <c r="P241" s="13" t="n">
        <v>-0.35</v>
      </c>
      <c r="Q241" s="13" t="n">
        <v>4.55</v>
      </c>
      <c r="R241" s="13" t="n">
        <v>0.06</v>
      </c>
      <c r="S241" s="13" t="n">
        <v>0.01</v>
      </c>
    </row>
    <row r="242" customFormat="false" ht="12.8" hidden="false" customHeight="false" outlineLevel="0" collapsed="false">
      <c r="A242" s="1" t="n">
        <v>5.19</v>
      </c>
      <c r="B242" s="1" t="n">
        <v>-0.01</v>
      </c>
      <c r="C242" s="1" t="n">
        <v>0.04</v>
      </c>
      <c r="D242" s="1" t="n">
        <v>4.65</v>
      </c>
      <c r="E242" s="1" t="n">
        <v>0.01</v>
      </c>
      <c r="F242" s="1" t="n">
        <v>0.01</v>
      </c>
      <c r="G242" s="22" t="n">
        <v>9.89109312519152</v>
      </c>
      <c r="H242" s="1" t="n">
        <v>9.88</v>
      </c>
      <c r="I242" s="22" t="n">
        <v>-0.0110931251915236</v>
      </c>
      <c r="K242" s="12" t="n">
        <v>8</v>
      </c>
      <c r="L242" s="13" t="s">
        <v>49</v>
      </c>
      <c r="M242" s="13" t="n">
        <v>10.01</v>
      </c>
      <c r="N242" s="13" t="n">
        <v>6.81</v>
      </c>
      <c r="O242" s="13" t="n">
        <v>-0.66</v>
      </c>
      <c r="P242" s="13" t="n">
        <v>-0.69</v>
      </c>
      <c r="Q242" s="13" t="n">
        <v>4.55</v>
      </c>
      <c r="R242" s="13" t="n">
        <v>0.04</v>
      </c>
      <c r="S242" s="13" t="n">
        <v>-0.03</v>
      </c>
    </row>
    <row r="243" customFormat="false" ht="12.8" hidden="false" customHeight="false" outlineLevel="0" collapsed="false">
      <c r="A243" s="1" t="n">
        <v>5.47</v>
      </c>
      <c r="B243" s="1" t="n">
        <v>-0.14</v>
      </c>
      <c r="C243" s="1" t="n">
        <v>-0.04</v>
      </c>
      <c r="D243" s="1" t="n">
        <v>4.65</v>
      </c>
      <c r="E243" s="1" t="n">
        <v>-0.01</v>
      </c>
      <c r="F243" s="1" t="n">
        <v>0.01</v>
      </c>
      <c r="G243" s="22" t="n">
        <v>9.94210537096467</v>
      </c>
      <c r="H243" s="1" t="n">
        <v>9.94</v>
      </c>
      <c r="I243" s="22" t="n">
        <v>-0.00210537096467078</v>
      </c>
      <c r="K243" s="12" t="n">
        <v>8</v>
      </c>
      <c r="L243" s="13" t="s">
        <v>50</v>
      </c>
      <c r="M243" s="13" t="n">
        <v>9.75</v>
      </c>
      <c r="N243" s="13" t="n">
        <v>6.15</v>
      </c>
      <c r="O243" s="13" t="n">
        <v>-0.33</v>
      </c>
      <c r="P243" s="13" t="n">
        <v>-0.5</v>
      </c>
      <c r="Q243" s="13" t="n">
        <v>4.55</v>
      </c>
      <c r="R243" s="13" t="n">
        <v>-0.04</v>
      </c>
      <c r="S243" s="13" t="n">
        <v>-0.04</v>
      </c>
    </row>
    <row r="244" customFormat="false" ht="12.8" hidden="false" customHeight="false" outlineLevel="0" collapsed="false">
      <c r="A244" s="1" t="n">
        <v>5.46</v>
      </c>
      <c r="B244" s="1" t="n">
        <v>-0.16</v>
      </c>
      <c r="C244" s="1" t="n">
        <v>-0.14</v>
      </c>
      <c r="D244" s="1" t="n">
        <v>4.65</v>
      </c>
      <c r="E244" s="1" t="n">
        <v>0.06</v>
      </c>
      <c r="F244" s="1" t="n">
        <v>0.01</v>
      </c>
      <c r="G244" s="22" t="n">
        <v>9.87877337268975</v>
      </c>
      <c r="H244" s="1" t="n">
        <v>9.89</v>
      </c>
      <c r="I244" s="22" t="n">
        <v>0.0112266273102506</v>
      </c>
      <c r="K244" s="12" t="n">
        <v>8</v>
      </c>
      <c r="L244" s="13" t="s">
        <v>51</v>
      </c>
      <c r="M244" s="13" t="n">
        <v>9.5</v>
      </c>
      <c r="N244" s="13" t="n">
        <v>5.48</v>
      </c>
      <c r="O244" s="13" t="n">
        <v>-0.21</v>
      </c>
      <c r="P244" s="13" t="n">
        <v>-0.32</v>
      </c>
      <c r="Q244" s="13" t="n">
        <v>4.55</v>
      </c>
      <c r="R244" s="13" t="n">
        <v>0.02</v>
      </c>
      <c r="S244" s="13" t="n">
        <v>-0.01</v>
      </c>
    </row>
    <row r="245" customFormat="false" ht="12.8" hidden="false" customHeight="false" outlineLevel="0" collapsed="false">
      <c r="A245" s="1" t="n">
        <v>5.27</v>
      </c>
      <c r="B245" s="1" t="n">
        <v>-0.08</v>
      </c>
      <c r="C245" s="1" t="n">
        <v>-0.17</v>
      </c>
      <c r="D245" s="1" t="n">
        <v>4.65</v>
      </c>
      <c r="E245" s="1" t="n">
        <v>0.08</v>
      </c>
      <c r="F245" s="1" t="n">
        <v>-0.067</v>
      </c>
      <c r="G245" s="22" t="n">
        <v>9.67361616328318</v>
      </c>
      <c r="H245" s="1" t="n">
        <v>9.69</v>
      </c>
      <c r="I245" s="22" t="n">
        <v>0.0163838367168179</v>
      </c>
      <c r="K245" s="12" t="n">
        <v>8</v>
      </c>
      <c r="L245" s="13" t="s">
        <v>52</v>
      </c>
      <c r="M245" s="13" t="n">
        <v>9.52</v>
      </c>
      <c r="N245" s="13" t="n">
        <v>5.06</v>
      </c>
      <c r="O245" s="13" t="n">
        <v>-0.05</v>
      </c>
      <c r="P245" s="13" t="n">
        <v>0</v>
      </c>
      <c r="Q245" s="13" t="n">
        <v>4.55</v>
      </c>
      <c r="R245" s="13" t="n">
        <v>-0.05</v>
      </c>
      <c r="S245" s="13" t="n">
        <v>0.01</v>
      </c>
    </row>
    <row r="246" customFormat="false" ht="12.8" hidden="false" customHeight="false" outlineLevel="0" collapsed="false">
      <c r="A246" s="1" t="n">
        <v>5.39</v>
      </c>
      <c r="B246" s="1" t="n">
        <v>0</v>
      </c>
      <c r="C246" s="1" t="n">
        <v>-0.1</v>
      </c>
      <c r="D246" s="1" t="n">
        <v>4.65</v>
      </c>
      <c r="E246" s="1" t="n">
        <v>0.07</v>
      </c>
      <c r="F246" s="1" t="n">
        <v>-0.079</v>
      </c>
      <c r="G246" s="22" t="n">
        <v>9.92272309030903</v>
      </c>
      <c r="H246" s="1" t="n">
        <v>9.93</v>
      </c>
      <c r="I246" s="22" t="n">
        <v>0.00727690969097061</v>
      </c>
      <c r="K246" s="12" t="n">
        <v>8</v>
      </c>
      <c r="L246" s="13" t="s">
        <v>53</v>
      </c>
      <c r="M246" s="13" t="n">
        <v>9.82</v>
      </c>
      <c r="N246" s="13" t="n">
        <v>5.43</v>
      </c>
      <c r="O246" s="13" t="n">
        <v>-0.09</v>
      </c>
      <c r="P246" s="13" t="n">
        <v>-0.09</v>
      </c>
      <c r="Q246" s="13" t="n">
        <v>4.55</v>
      </c>
      <c r="R246" s="13" t="n">
        <v>0.03</v>
      </c>
      <c r="S246" s="13" t="n">
        <v>0.01</v>
      </c>
    </row>
    <row r="247" customFormat="false" ht="12.8" hidden="false" customHeight="false" outlineLevel="0" collapsed="false">
      <c r="A247" s="1" t="n">
        <v>5.07</v>
      </c>
      <c r="B247" s="1" t="n">
        <v>-0.04</v>
      </c>
      <c r="C247" s="1" t="n">
        <v>0.08</v>
      </c>
      <c r="D247" s="1" t="n">
        <v>4.65</v>
      </c>
      <c r="E247" s="1" t="n">
        <v>0.03</v>
      </c>
      <c r="F247" s="1" t="n">
        <v>0.01</v>
      </c>
      <c r="G247" s="22" t="n">
        <v>9.80034111377419</v>
      </c>
      <c r="H247" s="1" t="n">
        <v>9.8</v>
      </c>
      <c r="I247" s="22" t="n">
        <v>-0.00034111377419066</v>
      </c>
      <c r="K247" s="12" t="n">
        <v>8</v>
      </c>
      <c r="L247" s="13" t="s">
        <v>54</v>
      </c>
      <c r="M247" s="13" t="n">
        <v>9.68</v>
      </c>
      <c r="N247" s="13" t="n">
        <v>5.24</v>
      </c>
      <c r="O247" s="13" t="n">
        <v>-0.02</v>
      </c>
      <c r="P247" s="13" t="n">
        <v>-0.09</v>
      </c>
      <c r="Q247" s="13" t="n">
        <v>4.55</v>
      </c>
      <c r="R247" s="13" t="n">
        <v>-0.01</v>
      </c>
      <c r="S247" s="13" t="n">
        <v>0.01</v>
      </c>
    </row>
    <row r="248" customFormat="false" ht="12.8" hidden="false" customHeight="false" outlineLevel="0" collapsed="false">
      <c r="A248" s="1" t="n">
        <v>4.92</v>
      </c>
      <c r="B248" s="1" t="n">
        <v>0.19</v>
      </c>
      <c r="C248" s="1" t="n">
        <v>0.23</v>
      </c>
      <c r="D248" s="1" t="n">
        <v>4.65</v>
      </c>
      <c r="E248" s="1" t="n">
        <v>0.04</v>
      </c>
      <c r="F248" s="1" t="n">
        <v>0.01</v>
      </c>
      <c r="G248" s="22" t="n">
        <v>10.0414735014867</v>
      </c>
      <c r="H248" s="1" t="n">
        <v>10.03</v>
      </c>
      <c r="I248" s="22" t="n">
        <v>-0.0114735014867211</v>
      </c>
      <c r="K248" s="12" t="n">
        <v>8</v>
      </c>
      <c r="L248" s="13" t="s">
        <v>56</v>
      </c>
      <c r="M248" s="13" t="n">
        <v>9.67</v>
      </c>
      <c r="N248" s="13" t="n">
        <v>5.03</v>
      </c>
      <c r="O248" s="13" t="n">
        <v>-0.02</v>
      </c>
      <c r="P248" s="13" t="n">
        <v>0.1</v>
      </c>
      <c r="Q248" s="13" t="n">
        <v>4.55</v>
      </c>
      <c r="R248" s="13" t="n">
        <v>0</v>
      </c>
      <c r="S248" s="13" t="n">
        <v>0.01</v>
      </c>
    </row>
    <row r="249" customFormat="false" ht="12.8" hidden="false" customHeight="false" outlineLevel="0" collapsed="false">
      <c r="A249" s="1" t="n">
        <v>5.22</v>
      </c>
      <c r="B249" s="1" t="n">
        <v>0.02</v>
      </c>
      <c r="C249" s="1" t="n">
        <v>0.01</v>
      </c>
      <c r="D249" s="1" t="n">
        <v>4.65</v>
      </c>
      <c r="E249" s="1" t="n">
        <v>0.08</v>
      </c>
      <c r="F249" s="1" t="n">
        <v>0.01</v>
      </c>
      <c r="G249" s="22" t="n">
        <v>9.98903023109492</v>
      </c>
      <c r="H249" s="1" t="n">
        <v>9.99</v>
      </c>
      <c r="I249" s="22" t="n">
        <v>0.000969768905076052</v>
      </c>
      <c r="K249" s="12" t="n">
        <v>8</v>
      </c>
      <c r="L249" s="13" t="s">
        <v>58</v>
      </c>
      <c r="M249" s="13" t="n">
        <v>9.73</v>
      </c>
      <c r="N249" s="13" t="n">
        <v>5.1</v>
      </c>
      <c r="O249" s="13" t="n">
        <v>-0.06</v>
      </c>
      <c r="P249" s="13" t="n">
        <v>0.1</v>
      </c>
      <c r="Q249" s="13" t="n">
        <v>4.55</v>
      </c>
      <c r="R249" s="13" t="n">
        <v>0.02</v>
      </c>
      <c r="S249" s="13" t="n">
        <v>0.01</v>
      </c>
    </row>
    <row r="250" customFormat="false" ht="12.8" hidden="false" customHeight="false" outlineLevel="0" collapsed="false">
      <c r="A250" s="1" t="n">
        <v>5.28</v>
      </c>
      <c r="B250" s="1" t="n">
        <v>0.08</v>
      </c>
      <c r="C250" s="1" t="n">
        <v>-0.14</v>
      </c>
      <c r="D250" s="1" t="n">
        <v>4.65</v>
      </c>
      <c r="E250" s="1" t="n">
        <v>0.08</v>
      </c>
      <c r="F250" s="1" t="n">
        <v>0.01</v>
      </c>
      <c r="G250" s="22" t="n">
        <v>9.95739002798663</v>
      </c>
      <c r="H250" s="1" t="n">
        <v>9.97</v>
      </c>
      <c r="I250" s="22" t="n">
        <v>0.0126099720133688</v>
      </c>
      <c r="K250" s="12" t="n">
        <v>8</v>
      </c>
      <c r="L250" s="13" t="s">
        <v>60</v>
      </c>
      <c r="M250" s="13" t="n">
        <v>9.85</v>
      </c>
      <c r="N250" s="13" t="n">
        <v>4.49</v>
      </c>
      <c r="O250" s="13" t="n">
        <v>0.16</v>
      </c>
      <c r="P250" s="13" t="n">
        <v>0.62</v>
      </c>
      <c r="Q250" s="13" t="n">
        <v>4.55</v>
      </c>
      <c r="R250" s="13" t="n">
        <v>0.02</v>
      </c>
      <c r="S250" s="13" t="n">
        <v>0.01</v>
      </c>
    </row>
    <row r="251" customFormat="false" ht="12.8" hidden="false" customHeight="false" outlineLevel="0" collapsed="false">
      <c r="A251" s="1" t="n">
        <v>5.28</v>
      </c>
      <c r="B251" s="1" t="n">
        <v>0.07</v>
      </c>
      <c r="C251" s="1" t="n">
        <v>0.04</v>
      </c>
      <c r="D251" s="1" t="n">
        <v>4.65</v>
      </c>
      <c r="E251" s="1" t="n">
        <v>-0.03</v>
      </c>
      <c r="F251" s="1" t="n">
        <v>0.01</v>
      </c>
      <c r="G251" s="22" t="n">
        <v>10.0228005212725</v>
      </c>
      <c r="H251" s="1" t="n">
        <v>10.03</v>
      </c>
      <c r="I251" s="22" t="n">
        <v>0.00719947872746118</v>
      </c>
      <c r="K251" s="12" t="n">
        <v>8</v>
      </c>
      <c r="L251" s="13" t="s">
        <v>62</v>
      </c>
      <c r="M251" s="13" t="n">
        <v>9.92</v>
      </c>
      <c r="N251" s="13" t="n">
        <v>5.08</v>
      </c>
      <c r="O251" s="13" t="n">
        <v>-0.07</v>
      </c>
      <c r="P251" s="13" t="n">
        <v>0.34</v>
      </c>
      <c r="Q251" s="13" t="n">
        <v>4.55</v>
      </c>
      <c r="R251" s="13" t="n">
        <v>0.05</v>
      </c>
      <c r="S251" s="13" t="n">
        <v>0.01</v>
      </c>
    </row>
    <row r="252" customFormat="false" ht="12.8" hidden="false" customHeight="false" outlineLevel="0" collapsed="false">
      <c r="A252" s="1" t="n">
        <v>5.32</v>
      </c>
      <c r="B252" s="1" t="n">
        <v>0.16</v>
      </c>
      <c r="C252" s="1" t="n">
        <v>0.12</v>
      </c>
      <c r="D252" s="1" t="n">
        <v>4.65</v>
      </c>
      <c r="E252" s="1" t="n">
        <v>-0.02</v>
      </c>
      <c r="F252" s="1" t="n">
        <v>0.01</v>
      </c>
      <c r="G252" s="22" t="n">
        <v>10.2439847507958</v>
      </c>
      <c r="H252" s="1" t="n">
        <v>10.24</v>
      </c>
      <c r="I252" s="22" t="n">
        <v>-0.00398475079578375</v>
      </c>
      <c r="K252" s="12" t="n">
        <v>8</v>
      </c>
      <c r="L252" s="13" t="s">
        <v>64</v>
      </c>
      <c r="M252" s="13" t="n">
        <v>9.21</v>
      </c>
      <c r="N252" s="13" t="n">
        <v>5.28</v>
      </c>
      <c r="O252" s="13" t="n">
        <v>-0.15</v>
      </c>
      <c r="P252" s="13" t="n">
        <v>-0.28</v>
      </c>
      <c r="Q252" s="13" t="n">
        <v>4.55</v>
      </c>
      <c r="R252" s="13" t="n">
        <v>0.03</v>
      </c>
      <c r="S252" s="13" t="n">
        <v>-0.21</v>
      </c>
    </row>
    <row r="253" customFormat="false" ht="12.8" hidden="false" customHeight="false" outlineLevel="0" collapsed="false">
      <c r="A253" s="1" t="n">
        <v>5.52</v>
      </c>
      <c r="B253" s="1" t="n">
        <v>0.02</v>
      </c>
      <c r="C253" s="1" t="n">
        <v>-0.03</v>
      </c>
      <c r="D253" s="1" t="n">
        <v>4.65</v>
      </c>
      <c r="E253" s="1" t="n">
        <v>-0.02</v>
      </c>
      <c r="F253" s="1" t="n">
        <v>0.01</v>
      </c>
      <c r="G253" s="22" t="n">
        <v>10.1529915474884</v>
      </c>
      <c r="H253" s="1" t="n">
        <v>10.16</v>
      </c>
      <c r="I253" s="22" t="n">
        <v>0.00700845251160231</v>
      </c>
      <c r="K253" s="12" t="n">
        <v>8</v>
      </c>
      <c r="L253" s="13" t="s">
        <v>66</v>
      </c>
      <c r="M253" s="13" t="n">
        <v>9.59</v>
      </c>
      <c r="N253" s="13" t="n">
        <v>4.97</v>
      </c>
      <c r="O253" s="13" t="n">
        <v>-0.08</v>
      </c>
      <c r="P253" s="13" t="n">
        <v>0.11</v>
      </c>
      <c r="Q253" s="13" t="n">
        <v>4.55</v>
      </c>
      <c r="R253" s="13" t="n">
        <v>0.03</v>
      </c>
      <c r="S253" s="13" t="n">
        <v>0.01</v>
      </c>
    </row>
    <row r="254" customFormat="false" ht="12.8" hidden="false" customHeight="false" outlineLevel="0" collapsed="false">
      <c r="A254" s="1" t="n">
        <v>5.88</v>
      </c>
      <c r="B254" s="1" t="n">
        <v>-0.02</v>
      </c>
      <c r="C254" s="1" t="n">
        <v>-0.43</v>
      </c>
      <c r="D254" s="1" t="n">
        <v>4.65</v>
      </c>
      <c r="E254" s="1" t="n">
        <v>-0.06</v>
      </c>
      <c r="F254" s="1" t="n">
        <v>0.001</v>
      </c>
      <c r="G254" s="22" t="n">
        <v>10.0209847453415</v>
      </c>
      <c r="H254" s="1" t="n">
        <v>10.02</v>
      </c>
      <c r="I254" s="22" t="n">
        <v>-0.00098474534154569</v>
      </c>
      <c r="K254" s="12" t="n">
        <v>8</v>
      </c>
      <c r="L254" s="13" t="s">
        <v>67</v>
      </c>
      <c r="M254" s="13" t="n">
        <v>9.7</v>
      </c>
      <c r="N254" s="13" t="n">
        <v>5.12</v>
      </c>
      <c r="O254" s="13" t="n">
        <v>0</v>
      </c>
      <c r="P254" s="13" t="n">
        <v>0.06</v>
      </c>
      <c r="Q254" s="13" t="n">
        <v>4.55</v>
      </c>
      <c r="R254" s="13" t="n">
        <v>0.01</v>
      </c>
      <c r="S254" s="13" t="n">
        <v>-0.04</v>
      </c>
    </row>
    <row r="255" customFormat="false" ht="12.8" hidden="false" customHeight="false" outlineLevel="0" collapsed="false">
      <c r="A255" s="1" t="n">
        <v>6.06</v>
      </c>
      <c r="B255" s="1" t="n">
        <v>-0.08</v>
      </c>
      <c r="C255" s="1" t="n">
        <v>-0.52</v>
      </c>
      <c r="D255" s="1" t="n">
        <v>4.65</v>
      </c>
      <c r="E255" s="1" t="n">
        <v>0.08</v>
      </c>
      <c r="F255" s="1" t="n">
        <v>-0.001</v>
      </c>
      <c r="G255" s="22" t="n">
        <v>10.1848950642829</v>
      </c>
      <c r="H255" s="1" t="n">
        <v>10.19</v>
      </c>
      <c r="I255" s="22" t="n">
        <v>0.00510493571710668</v>
      </c>
      <c r="K255" s="12" t="n">
        <v>8</v>
      </c>
      <c r="L255" s="13" t="s">
        <v>69</v>
      </c>
      <c r="M255" s="13" t="n">
        <v>9.71</v>
      </c>
      <c r="N255" s="13" t="n">
        <v>5.43</v>
      </c>
      <c r="O255" s="13" t="n">
        <v>-0.14</v>
      </c>
      <c r="P255" s="13" t="n">
        <v>-0.05</v>
      </c>
      <c r="Q255" s="13" t="n">
        <v>4.55</v>
      </c>
      <c r="R255" s="13" t="n">
        <v>-0.1</v>
      </c>
      <c r="S255" s="13" t="n">
        <v>0.01</v>
      </c>
    </row>
    <row r="256" customFormat="false" ht="12.8" hidden="false" customHeight="false" outlineLevel="0" collapsed="false">
      <c r="A256" s="1" t="n">
        <v>6.09</v>
      </c>
      <c r="B256" s="1" t="n">
        <v>-0.16</v>
      </c>
      <c r="C256" s="1" t="n">
        <v>-0.67</v>
      </c>
      <c r="D256" s="1" t="n">
        <v>4.65</v>
      </c>
      <c r="E256" s="1" t="n">
        <v>0</v>
      </c>
      <c r="F256" s="1" t="n">
        <v>0.01</v>
      </c>
      <c r="G256" s="22" t="n">
        <v>9.91692512421019</v>
      </c>
      <c r="H256" s="1" t="n">
        <v>9.93</v>
      </c>
      <c r="I256" s="22" t="n">
        <v>0.0130748757898065</v>
      </c>
      <c r="K256" s="12" t="n">
        <v>8</v>
      </c>
      <c r="L256" s="13" t="s">
        <v>75</v>
      </c>
      <c r="M256" s="13" t="n">
        <v>9.55</v>
      </c>
      <c r="N256" s="13" t="n">
        <v>5.4</v>
      </c>
      <c r="O256" s="13" t="n">
        <v>-0.16</v>
      </c>
      <c r="P256" s="13" t="n">
        <v>-0.13</v>
      </c>
      <c r="Q256" s="13" t="n">
        <v>4.55</v>
      </c>
      <c r="R256" s="13" t="n">
        <v>-0.09</v>
      </c>
      <c r="S256" s="13" t="n">
        <v>-0.01</v>
      </c>
    </row>
    <row r="257" customFormat="false" ht="12.8" hidden="false" customHeight="false" outlineLevel="0" collapsed="false">
      <c r="A257" s="1" t="n">
        <v>6.24</v>
      </c>
      <c r="B257" s="1" t="n">
        <v>-0.27</v>
      </c>
      <c r="C257" s="1" t="n">
        <v>-0.52</v>
      </c>
      <c r="D257" s="1" t="n">
        <v>4.65</v>
      </c>
      <c r="E257" s="1" t="n">
        <v>-0.06</v>
      </c>
      <c r="F257" s="1" t="n">
        <v>-0.106</v>
      </c>
      <c r="G257" s="22" t="n">
        <v>9.92617906707879</v>
      </c>
      <c r="H257" s="1" t="n">
        <v>9.94</v>
      </c>
      <c r="I257" s="22" t="n">
        <v>0.0138209329212078</v>
      </c>
      <c r="K257" s="12" t="n">
        <v>8</v>
      </c>
      <c r="L257" s="13" t="s">
        <v>76</v>
      </c>
      <c r="M257" s="13" t="n">
        <v>9.63</v>
      </c>
      <c r="N257" s="13" t="n">
        <v>5.28</v>
      </c>
      <c r="O257" s="13" t="n">
        <v>-0.09</v>
      </c>
      <c r="P257" s="13" t="n">
        <v>-0.17</v>
      </c>
      <c r="Q257" s="13" t="n">
        <v>4.55</v>
      </c>
      <c r="R257" s="13" t="n">
        <v>0.05</v>
      </c>
      <c r="S257" s="13" t="n">
        <v>0.01</v>
      </c>
    </row>
    <row r="258" customFormat="false" ht="12.8" hidden="false" customHeight="false" outlineLevel="0" collapsed="false">
      <c r="A258" s="1" t="n">
        <v>5.66</v>
      </c>
      <c r="B258" s="1" t="n">
        <v>0.06</v>
      </c>
      <c r="C258" s="1" t="n">
        <v>-0.23</v>
      </c>
      <c r="D258" s="1" t="n">
        <v>4.65</v>
      </c>
      <c r="E258" s="1" t="n">
        <v>0.01</v>
      </c>
      <c r="F258" s="1" t="n">
        <v>0.01</v>
      </c>
      <c r="G258" s="22" t="n">
        <v>10.160331914737</v>
      </c>
      <c r="H258" s="1" t="n">
        <v>10.17</v>
      </c>
      <c r="I258" s="22" t="n">
        <v>0.00966808526295537</v>
      </c>
      <c r="K258" s="12" t="n">
        <v>8</v>
      </c>
      <c r="L258" s="13" t="s">
        <v>78</v>
      </c>
      <c r="M258" s="13" t="n">
        <v>9.8</v>
      </c>
      <c r="N258" s="13" t="n">
        <v>5.4</v>
      </c>
      <c r="O258" s="13" t="n">
        <v>-0.01</v>
      </c>
      <c r="P258" s="13" t="n">
        <v>-0.12</v>
      </c>
      <c r="Q258" s="13" t="n">
        <v>4.55</v>
      </c>
      <c r="R258" s="13" t="n">
        <v>0.03</v>
      </c>
      <c r="S258" s="13" t="n">
        <v>-0.05</v>
      </c>
    </row>
    <row r="259" customFormat="false" ht="12.8" hidden="false" customHeight="false" outlineLevel="0" collapsed="false">
      <c r="A259" s="1" t="n">
        <v>5.41</v>
      </c>
      <c r="B259" s="1" t="n">
        <v>0.04</v>
      </c>
      <c r="C259" s="1" t="n">
        <v>-0.14</v>
      </c>
      <c r="D259" s="1" t="n">
        <v>4.65</v>
      </c>
      <c r="E259" s="1" t="n">
        <v>0</v>
      </c>
      <c r="F259" s="1" t="n">
        <v>0.01</v>
      </c>
      <c r="G259" s="22" t="n">
        <v>9.9702801956685</v>
      </c>
      <c r="H259" s="1" t="n">
        <v>9.97</v>
      </c>
      <c r="I259" s="22" t="n">
        <v>-0.000280195668496575</v>
      </c>
      <c r="K259" s="12" t="n">
        <v>8</v>
      </c>
      <c r="L259" s="13" t="s">
        <v>80</v>
      </c>
      <c r="M259" s="13" t="n">
        <v>9.61</v>
      </c>
      <c r="N259" s="13" t="n">
        <v>5.1</v>
      </c>
      <c r="O259" s="13" t="n">
        <v>-0.05</v>
      </c>
      <c r="P259" s="13" t="n">
        <v>0.07</v>
      </c>
      <c r="Q259" s="13" t="n">
        <v>4.55</v>
      </c>
      <c r="R259" s="13" t="n">
        <v>-0.02</v>
      </c>
      <c r="S259" s="13" t="n">
        <v>-0.03</v>
      </c>
    </row>
    <row r="260" customFormat="false" ht="12.8" hidden="false" customHeight="false" outlineLevel="0" collapsed="false">
      <c r="A260" s="1" t="n">
        <v>5.83</v>
      </c>
      <c r="B260" s="1" t="n">
        <v>-0.17</v>
      </c>
      <c r="C260" s="1" t="n">
        <v>-0.1</v>
      </c>
      <c r="D260" s="1" t="n">
        <v>4.65</v>
      </c>
      <c r="E260" s="1" t="n">
        <v>0.14</v>
      </c>
      <c r="F260" s="1" t="n">
        <v>0.01</v>
      </c>
      <c r="G260" s="22" t="n">
        <v>10.3594657060019</v>
      </c>
      <c r="H260" s="1" t="n">
        <v>10.36</v>
      </c>
      <c r="I260" s="22" t="n">
        <v>0.000534293998075697</v>
      </c>
      <c r="K260" s="12" t="n">
        <v>8</v>
      </c>
      <c r="L260" s="13" t="s">
        <v>81</v>
      </c>
      <c r="M260" s="13" t="n">
        <v>9.93</v>
      </c>
      <c r="N260" s="13" t="n">
        <v>4.94</v>
      </c>
      <c r="O260" s="13" t="n">
        <v>0.18</v>
      </c>
      <c r="P260" s="13" t="n">
        <v>0.21</v>
      </c>
      <c r="Q260" s="13" t="n">
        <v>4.55</v>
      </c>
      <c r="R260" s="13" t="n">
        <v>0.03</v>
      </c>
      <c r="S260" s="13" t="n">
        <v>0.01</v>
      </c>
    </row>
    <row r="261" customFormat="false" ht="12.8" hidden="false" customHeight="false" outlineLevel="0" collapsed="false">
      <c r="A261" s="1" t="n">
        <v>6.2</v>
      </c>
      <c r="B261" s="1" t="n">
        <v>-0.11</v>
      </c>
      <c r="C261" s="1" t="n">
        <v>-0.36</v>
      </c>
      <c r="D261" s="1" t="n">
        <v>4.65</v>
      </c>
      <c r="E261" s="1" t="n">
        <v>0.11</v>
      </c>
      <c r="F261" s="1" t="n">
        <v>-0.025</v>
      </c>
      <c r="G261" s="22" t="n">
        <v>10.4612310951312</v>
      </c>
      <c r="H261" s="1" t="n">
        <v>10.47</v>
      </c>
      <c r="I261" s="22" t="n">
        <v>0.00876890486881088</v>
      </c>
      <c r="K261" s="12" t="n">
        <v>8</v>
      </c>
      <c r="L261" s="13" t="s">
        <v>83</v>
      </c>
      <c r="M261" s="13" t="n">
        <v>9.77</v>
      </c>
      <c r="N261" s="13" t="n">
        <v>5.22</v>
      </c>
      <c r="O261" s="13" t="n">
        <v>0.02</v>
      </c>
      <c r="P261" s="13" t="n">
        <v>-0.01</v>
      </c>
      <c r="Q261" s="13" t="n">
        <v>4.55</v>
      </c>
      <c r="R261" s="13" t="n">
        <v>-0.02</v>
      </c>
      <c r="S261" s="13" t="n">
        <v>0.01</v>
      </c>
    </row>
    <row r="262" customFormat="false" ht="12.8" hidden="false" customHeight="false" outlineLevel="0" collapsed="false">
      <c r="A262" s="1" t="n">
        <v>5.99</v>
      </c>
      <c r="B262" s="1" t="n">
        <v>-0.05</v>
      </c>
      <c r="C262" s="1" t="n">
        <v>-0.35</v>
      </c>
      <c r="D262" s="1" t="n">
        <v>4.65</v>
      </c>
      <c r="E262" s="1" t="n">
        <v>-0.04</v>
      </c>
      <c r="F262" s="1" t="n">
        <v>0.01</v>
      </c>
      <c r="G262" s="22" t="n">
        <v>10.2119201795711</v>
      </c>
      <c r="H262" s="1" t="n">
        <v>10.21</v>
      </c>
      <c r="I262" s="22" t="n">
        <v>-0.00192017957106039</v>
      </c>
      <c r="K262" s="12" t="n">
        <v>8</v>
      </c>
      <c r="L262" s="13" t="s">
        <v>84</v>
      </c>
      <c r="M262" s="13" t="n">
        <v>9.88</v>
      </c>
      <c r="N262" s="13" t="n">
        <v>5.35</v>
      </c>
      <c r="O262" s="13" t="n">
        <v>0.09</v>
      </c>
      <c r="P262" s="13" t="n">
        <v>-0.17</v>
      </c>
      <c r="Q262" s="13" t="n">
        <v>4.55</v>
      </c>
      <c r="R262" s="13" t="n">
        <v>0.05</v>
      </c>
      <c r="S262" s="13" t="n">
        <v>0.01</v>
      </c>
    </row>
    <row r="263" customFormat="false" ht="12.8" hidden="false" customHeight="false" outlineLevel="0" collapsed="false">
      <c r="A263" s="1" t="n">
        <v>5.95</v>
      </c>
      <c r="B263" s="1" t="n">
        <v>-0.01</v>
      </c>
      <c r="C263" s="1" t="n">
        <v>-0.47</v>
      </c>
      <c r="D263" s="1" t="n">
        <v>4.65</v>
      </c>
      <c r="E263" s="1" t="n">
        <v>0.05</v>
      </c>
      <c r="F263" s="1" t="n">
        <v>0.01</v>
      </c>
      <c r="G263" s="22" t="n">
        <v>10.1776584536714</v>
      </c>
      <c r="H263" s="1" t="n">
        <v>10.18</v>
      </c>
      <c r="I263" s="22" t="n">
        <v>0.00234154632861561</v>
      </c>
      <c r="K263" s="12" t="n">
        <v>8</v>
      </c>
      <c r="L263" s="13" t="s">
        <v>88</v>
      </c>
      <c r="M263" s="13" t="n">
        <v>9.89</v>
      </c>
      <c r="N263" s="13" t="n">
        <v>5.25</v>
      </c>
      <c r="O263" s="13" t="n">
        <v>0.08</v>
      </c>
      <c r="P263" s="13" t="n">
        <v>0.05</v>
      </c>
      <c r="Q263" s="13" t="n">
        <v>4.55</v>
      </c>
      <c r="R263" s="13" t="n">
        <v>-0.04</v>
      </c>
      <c r="S263" s="13" t="n">
        <v>0.01</v>
      </c>
    </row>
    <row r="264" customFormat="false" ht="12.8" hidden="false" customHeight="false" outlineLevel="0" collapsed="false">
      <c r="A264" s="1" t="n">
        <v>6.03</v>
      </c>
      <c r="B264" s="1" t="n">
        <v>-0.17</v>
      </c>
      <c r="C264" s="1" t="n">
        <v>-0.39</v>
      </c>
      <c r="D264" s="1" t="n">
        <v>4.65</v>
      </c>
      <c r="E264" s="1" t="n">
        <v>-0.01</v>
      </c>
      <c r="F264" s="1" t="n">
        <v>0.01</v>
      </c>
      <c r="G264" s="22" t="n">
        <v>10.1206842797284</v>
      </c>
      <c r="H264" s="1" t="n">
        <v>10.13</v>
      </c>
      <c r="I264" s="22" t="n">
        <v>0.00931572027161209</v>
      </c>
      <c r="K264" s="12" t="n">
        <v>8</v>
      </c>
      <c r="L264" s="13" t="s">
        <v>89</v>
      </c>
      <c r="M264" s="13" t="n">
        <v>10.13</v>
      </c>
      <c r="N264" s="13" t="n">
        <v>5.34</v>
      </c>
      <c r="O264" s="13" t="n">
        <v>0.16</v>
      </c>
      <c r="P264" s="13" t="n">
        <v>0.11</v>
      </c>
      <c r="Q264" s="13" t="n">
        <v>4.55</v>
      </c>
      <c r="R264" s="13" t="n">
        <v>-0.04</v>
      </c>
      <c r="S264" s="13" t="n">
        <v>0.01</v>
      </c>
    </row>
    <row r="265" customFormat="false" ht="12.8" hidden="false" customHeight="false" outlineLevel="0" collapsed="false">
      <c r="A265" s="1" t="n">
        <v>5.9</v>
      </c>
      <c r="B265" s="1" t="n">
        <v>0.04</v>
      </c>
      <c r="C265" s="1" t="n">
        <v>-0.29</v>
      </c>
      <c r="D265" s="1" t="n">
        <v>4.65</v>
      </c>
      <c r="E265" s="1" t="n">
        <v>0</v>
      </c>
      <c r="F265" s="1" t="n">
        <v>0.01</v>
      </c>
      <c r="G265" s="22" t="n">
        <v>10.3112266726113</v>
      </c>
      <c r="H265" s="1" t="n">
        <v>10.31</v>
      </c>
      <c r="I265" s="22" t="n">
        <v>-0.00122667261130083</v>
      </c>
      <c r="K265" s="12" t="n">
        <v>8</v>
      </c>
      <c r="L265" s="13" t="s">
        <v>90</v>
      </c>
      <c r="M265" s="13" t="n">
        <v>10.12</v>
      </c>
      <c r="N265" s="13" t="n">
        <v>5.56</v>
      </c>
      <c r="O265" s="13" t="n">
        <v>0.02</v>
      </c>
      <c r="P265" s="13" t="n">
        <v>-0.04</v>
      </c>
      <c r="Q265" s="13" t="n">
        <v>4.55</v>
      </c>
      <c r="R265" s="13" t="n">
        <v>0.02</v>
      </c>
      <c r="S265" s="13" t="n">
        <v>0.01</v>
      </c>
    </row>
    <row r="266" customFormat="false" ht="12.8" hidden="false" customHeight="false" outlineLevel="0" collapsed="false">
      <c r="A266" s="1" t="n">
        <v>6.93</v>
      </c>
      <c r="B266" s="1" t="n">
        <v>-0.19</v>
      </c>
      <c r="C266" s="1" t="n">
        <v>-0.68</v>
      </c>
      <c r="D266" s="1" t="n">
        <v>4.65</v>
      </c>
      <c r="E266" s="1" t="n">
        <v>0.06</v>
      </c>
      <c r="F266" s="1" t="n">
        <v>0.01</v>
      </c>
      <c r="G266" s="22" t="n">
        <v>10.7803353099248</v>
      </c>
      <c r="H266" s="1" t="n">
        <v>10.78</v>
      </c>
      <c r="I266" s="22" t="n">
        <v>-0.00033530992483044</v>
      </c>
      <c r="K266" s="12" t="n">
        <v>8</v>
      </c>
      <c r="L266" s="13" t="s">
        <v>91</v>
      </c>
      <c r="M266" s="13" t="n">
        <v>9.91</v>
      </c>
      <c r="N266" s="13" t="n">
        <v>5.91</v>
      </c>
      <c r="O266" s="13" t="n">
        <v>-0.02</v>
      </c>
      <c r="P266" s="13" t="n">
        <v>-0.44</v>
      </c>
      <c r="Q266" s="13" t="n">
        <v>4.55</v>
      </c>
      <c r="R266" s="13" t="n">
        <v>-0.06</v>
      </c>
      <c r="S266" s="13" t="n">
        <v>-0.02</v>
      </c>
    </row>
    <row r="267" customFormat="false" ht="12.8" hidden="false" customHeight="false" outlineLevel="0" collapsed="false">
      <c r="A267" s="1" t="n">
        <v>6.7</v>
      </c>
      <c r="B267" s="1" t="n">
        <v>-0.27</v>
      </c>
      <c r="C267" s="1" t="n">
        <v>-0.76</v>
      </c>
      <c r="D267" s="1" t="n">
        <v>4.65</v>
      </c>
      <c r="E267" s="1" t="n">
        <v>0.07</v>
      </c>
      <c r="F267" s="1" t="n">
        <v>0.01</v>
      </c>
      <c r="G267" s="22" t="n">
        <v>10.3974573236165</v>
      </c>
      <c r="H267" s="1" t="n">
        <v>10.41</v>
      </c>
      <c r="I267" s="22" t="n">
        <v>0.012542676383454</v>
      </c>
      <c r="K267" s="12" t="n">
        <v>8</v>
      </c>
      <c r="L267" s="13" t="s">
        <v>92</v>
      </c>
      <c r="M267" s="13" t="n">
        <v>10.06</v>
      </c>
      <c r="N267" s="13" t="n">
        <v>6.11</v>
      </c>
      <c r="O267" s="13" t="n">
        <v>-0.11</v>
      </c>
      <c r="P267" s="13" t="n">
        <v>-0.52</v>
      </c>
      <c r="Q267" s="13" t="n">
        <v>4.55</v>
      </c>
      <c r="R267" s="13" t="n">
        <v>0.05</v>
      </c>
      <c r="S267" s="13" t="n">
        <v>-0.01</v>
      </c>
    </row>
    <row r="268" customFormat="false" ht="12.8" hidden="false" customHeight="false" outlineLevel="0" collapsed="false">
      <c r="A268" s="1" t="n">
        <v>6.34</v>
      </c>
      <c r="B268" s="1" t="n">
        <v>-0.1</v>
      </c>
      <c r="C268" s="1" t="n">
        <v>-0.6</v>
      </c>
      <c r="D268" s="1" t="n">
        <v>4.65</v>
      </c>
      <c r="E268" s="1" t="n">
        <v>-0.03</v>
      </c>
      <c r="F268" s="1" t="n">
        <v>-0.137</v>
      </c>
      <c r="G268" s="22" t="n">
        <v>10.1116078736097</v>
      </c>
      <c r="H268" s="1" t="n">
        <v>10.12</v>
      </c>
      <c r="I268" s="22" t="n">
        <v>0.00839212639030151</v>
      </c>
      <c r="K268" s="12" t="n">
        <v>8</v>
      </c>
      <c r="L268" s="13" t="s">
        <v>93</v>
      </c>
      <c r="M268" s="13" t="n">
        <v>9.86</v>
      </c>
      <c r="N268" s="13" t="n">
        <v>6.04</v>
      </c>
      <c r="O268" s="13" t="n">
        <v>-0.15</v>
      </c>
      <c r="P268" s="13" t="n">
        <v>-0.66</v>
      </c>
      <c r="Q268" s="13" t="n">
        <v>4.55</v>
      </c>
      <c r="R268" s="13" t="n">
        <v>0.07</v>
      </c>
      <c r="S268" s="13" t="n">
        <v>0.01</v>
      </c>
    </row>
    <row r="269" customFormat="false" ht="12.8" hidden="false" customHeight="false" outlineLevel="0" collapsed="false">
      <c r="A269" s="1" t="n">
        <v>6.41</v>
      </c>
      <c r="B269" s="1" t="n">
        <v>-0.22</v>
      </c>
      <c r="C269" s="1" t="n">
        <v>-0.57</v>
      </c>
      <c r="D269" s="1" t="n">
        <v>4.65</v>
      </c>
      <c r="E269" s="1" t="n">
        <v>0.02</v>
      </c>
      <c r="F269" s="1" t="n">
        <v>-0.048</v>
      </c>
      <c r="G269" s="22" t="n">
        <v>10.2370709444533</v>
      </c>
      <c r="H269" s="1" t="n">
        <v>10.25</v>
      </c>
      <c r="I269" s="22" t="n">
        <v>0.0129290555467296</v>
      </c>
      <c r="K269" s="12" t="n">
        <v>8</v>
      </c>
      <c r="L269" s="13" t="s">
        <v>94</v>
      </c>
      <c r="M269" s="13" t="n">
        <v>9.94</v>
      </c>
      <c r="N269" s="13" t="n">
        <v>6.35</v>
      </c>
      <c r="O269" s="13" t="n">
        <v>-0.26</v>
      </c>
      <c r="P269" s="13" t="n">
        <v>-0.51</v>
      </c>
      <c r="Q269" s="13" t="n">
        <v>4.55</v>
      </c>
      <c r="R269" s="13" t="n">
        <v>0.08</v>
      </c>
      <c r="S269" s="13" t="n">
        <v>-0.13</v>
      </c>
    </row>
    <row r="270" customFormat="false" ht="12.8" hidden="false" customHeight="false" outlineLevel="0" collapsed="false">
      <c r="A270" s="1" t="n">
        <v>6.21</v>
      </c>
      <c r="B270" s="1" t="n">
        <v>-0.13</v>
      </c>
      <c r="C270" s="1" t="n">
        <v>-0.75</v>
      </c>
      <c r="D270" s="1" t="n">
        <v>4.65</v>
      </c>
      <c r="E270" s="1" t="n">
        <v>0.15</v>
      </c>
      <c r="F270" s="1" t="n">
        <v>-0.048</v>
      </c>
      <c r="G270" s="22" t="n">
        <v>10.0699807357518</v>
      </c>
      <c r="H270" s="1" t="n">
        <v>10.09</v>
      </c>
      <c r="I270" s="22" t="n">
        <v>0.0200192642481962</v>
      </c>
      <c r="K270" s="12" t="n">
        <v>8</v>
      </c>
      <c r="L270" s="13" t="s">
        <v>95</v>
      </c>
      <c r="M270" s="13" t="n">
        <v>10.05</v>
      </c>
      <c r="N270" s="13" t="n">
        <v>5.65</v>
      </c>
      <c r="O270" s="13" t="n">
        <v>0.07</v>
      </c>
      <c r="P270" s="13" t="n">
        <v>-0.24</v>
      </c>
      <c r="Q270" s="13" t="n">
        <v>4.55</v>
      </c>
      <c r="R270" s="13" t="n">
        <v>0.01</v>
      </c>
      <c r="S270" s="13" t="n">
        <v>0.01</v>
      </c>
    </row>
    <row r="271" customFormat="false" ht="12.8" hidden="false" customHeight="false" outlineLevel="0" collapsed="false">
      <c r="A271" s="1" t="n">
        <v>6.65</v>
      </c>
      <c r="B271" s="1" t="n">
        <v>-0.12</v>
      </c>
      <c r="C271" s="1" t="n">
        <v>-0.9</v>
      </c>
      <c r="D271" s="1" t="n">
        <v>4.65</v>
      </c>
      <c r="E271" s="1" t="n">
        <v>0.01</v>
      </c>
      <c r="F271" s="1" t="n">
        <v>0.01</v>
      </c>
      <c r="G271" s="22" t="n">
        <v>10.2969733293007</v>
      </c>
      <c r="H271" s="1" t="n">
        <v>10.31</v>
      </c>
      <c r="I271" s="22" t="n">
        <v>0.0130266706993485</v>
      </c>
      <c r="K271" s="12" t="n">
        <v>8</v>
      </c>
      <c r="L271" s="13" t="s">
        <v>97</v>
      </c>
      <c r="M271" s="13" t="n">
        <v>9.78</v>
      </c>
      <c r="N271" s="13" t="n">
        <v>5.38</v>
      </c>
      <c r="O271" s="13" t="n">
        <v>0.04</v>
      </c>
      <c r="P271" s="13" t="n">
        <v>-0.13</v>
      </c>
      <c r="Q271" s="13" t="n">
        <v>4.55</v>
      </c>
      <c r="R271" s="13" t="n">
        <v>-0.06</v>
      </c>
      <c r="S271" s="13" t="n">
        <v>0.01</v>
      </c>
    </row>
    <row r="272" customFormat="false" ht="12.8" hidden="false" customHeight="false" outlineLevel="0" collapsed="false">
      <c r="A272" s="1" t="n">
        <v>6.41</v>
      </c>
      <c r="B272" s="1" t="n">
        <v>0.11</v>
      </c>
      <c r="C272" s="1" t="n">
        <v>-1.48</v>
      </c>
      <c r="D272" s="1" t="n">
        <v>4.65</v>
      </c>
      <c r="E272" s="1" t="n">
        <v>-0.25</v>
      </c>
      <c r="F272" s="1" t="n">
        <v>-0.002</v>
      </c>
      <c r="G272" s="22" t="n">
        <v>9.4316923934736</v>
      </c>
      <c r="H272" s="1" t="n">
        <v>9.44</v>
      </c>
      <c r="I272" s="22" t="n">
        <v>0.00830760652639562</v>
      </c>
      <c r="K272" s="12" t="n">
        <v>8</v>
      </c>
      <c r="L272" s="13" t="s">
        <v>98</v>
      </c>
      <c r="M272" s="13" t="n">
        <v>10.15</v>
      </c>
      <c r="N272" s="13" t="n">
        <v>5.83</v>
      </c>
      <c r="O272" s="13" t="n">
        <v>-0.17</v>
      </c>
      <c r="P272" s="13" t="n">
        <v>-0.09</v>
      </c>
      <c r="Q272" s="13" t="n">
        <v>4.55</v>
      </c>
      <c r="R272" s="13" t="n">
        <v>0.03</v>
      </c>
      <c r="S272" s="13" t="n">
        <v>0.01</v>
      </c>
    </row>
    <row r="273" customFormat="false" ht="12.8" hidden="false" customHeight="false" outlineLevel="0" collapsed="false">
      <c r="A273" s="1" t="n">
        <v>6.21</v>
      </c>
      <c r="B273" s="1" t="n">
        <v>-0.33</v>
      </c>
      <c r="C273" s="1" t="n">
        <v>-0.19</v>
      </c>
      <c r="D273" s="1" t="n">
        <v>4.55</v>
      </c>
      <c r="E273" s="1" t="n">
        <v>0.03</v>
      </c>
      <c r="F273" s="1" t="n">
        <v>0.01</v>
      </c>
      <c r="G273" s="22" t="n">
        <v>10.2777989212069</v>
      </c>
      <c r="H273" s="1" t="n">
        <v>10.28</v>
      </c>
      <c r="I273" s="22" t="n">
        <v>0.00220107879308884</v>
      </c>
      <c r="K273" s="12" t="n">
        <v>8</v>
      </c>
      <c r="L273" s="13" t="s">
        <v>99</v>
      </c>
      <c r="M273" s="13" t="n">
        <v>10.24</v>
      </c>
      <c r="N273" s="13" t="n">
        <v>6.16</v>
      </c>
      <c r="O273" s="13" t="n">
        <v>-0.11</v>
      </c>
      <c r="P273" s="13" t="n">
        <v>-0.38</v>
      </c>
      <c r="Q273" s="13" t="n">
        <v>4.55</v>
      </c>
      <c r="R273" s="13" t="n">
        <v>0.02</v>
      </c>
      <c r="S273" s="13" t="n">
        <v>0</v>
      </c>
    </row>
    <row r="274" customFormat="false" ht="12.8" hidden="false" customHeight="false" outlineLevel="0" collapsed="false">
      <c r="A274" s="1" t="n">
        <v>6.38</v>
      </c>
      <c r="B274" s="1" t="n">
        <v>-0.41</v>
      </c>
      <c r="C274" s="1" t="n">
        <v>-0.77</v>
      </c>
      <c r="D274" s="1" t="n">
        <v>4.55</v>
      </c>
      <c r="E274" s="1" t="n">
        <v>0.11</v>
      </c>
      <c r="F274" s="1" t="n">
        <v>0.01</v>
      </c>
      <c r="G274" s="22" t="n">
        <v>9.85860526095375</v>
      </c>
      <c r="H274" s="1" t="n">
        <v>9.85</v>
      </c>
      <c r="I274" s="22" t="n">
        <v>-0.00860526095375391</v>
      </c>
      <c r="K274" s="12" t="n">
        <v>8</v>
      </c>
      <c r="L274" s="13" t="s">
        <v>100</v>
      </c>
      <c r="M274" s="13" t="n">
        <v>10.02</v>
      </c>
      <c r="N274" s="13" t="n">
        <v>5.95</v>
      </c>
      <c r="O274" s="13" t="n">
        <v>-0.03</v>
      </c>
      <c r="P274" s="13" t="n">
        <v>-0.34</v>
      </c>
      <c r="Q274" s="13" t="n">
        <v>4.55</v>
      </c>
      <c r="R274" s="13" t="n">
        <v>-0.11</v>
      </c>
      <c r="S274" s="13" t="n">
        <v>0.01</v>
      </c>
    </row>
    <row r="275" customFormat="false" ht="12.8" hidden="false" customHeight="false" outlineLevel="0" collapsed="false">
      <c r="A275" s="1" t="n">
        <v>6.02</v>
      </c>
      <c r="B275" s="1" t="n">
        <v>-0.37</v>
      </c>
      <c r="C275" s="1" t="n">
        <v>-0.64</v>
      </c>
      <c r="D275" s="1" t="n">
        <v>4.55</v>
      </c>
      <c r="E275" s="1" t="n">
        <v>-0.06</v>
      </c>
      <c r="F275" s="1" t="n">
        <v>0</v>
      </c>
      <c r="G275" s="22" t="n">
        <v>9.49196171634869</v>
      </c>
      <c r="H275" s="1" t="n">
        <v>9.51</v>
      </c>
      <c r="I275" s="22" t="n">
        <v>0.0180382836513111</v>
      </c>
      <c r="K275" s="12" t="n">
        <v>8</v>
      </c>
      <c r="L275" s="13" t="s">
        <v>101</v>
      </c>
      <c r="M275" s="13" t="n">
        <v>9.98</v>
      </c>
      <c r="N275" s="13" t="n">
        <v>5.89</v>
      </c>
      <c r="O275" s="13" t="n">
        <v>-0.01</v>
      </c>
      <c r="P275" s="13" t="n">
        <v>-0.45</v>
      </c>
      <c r="Q275" s="13" t="n">
        <v>4.55</v>
      </c>
      <c r="R275" s="13" t="n">
        <v>-0.02</v>
      </c>
      <c r="S275" s="13" t="n">
        <v>0.01</v>
      </c>
    </row>
    <row r="276" customFormat="false" ht="12.8" hidden="false" customHeight="false" outlineLevel="0" collapsed="false">
      <c r="A276" s="1" t="n">
        <v>5.99</v>
      </c>
      <c r="B276" s="1" t="n">
        <v>-0.16</v>
      </c>
      <c r="C276" s="1" t="n">
        <v>-0.35</v>
      </c>
      <c r="D276" s="1" t="n">
        <v>4.55</v>
      </c>
      <c r="E276" s="1" t="n">
        <v>0.06</v>
      </c>
      <c r="F276" s="1" t="n">
        <v>0.01</v>
      </c>
      <c r="G276" s="22" t="n">
        <v>10.0936133200377</v>
      </c>
      <c r="H276" s="1" t="n">
        <v>10.1</v>
      </c>
      <c r="I276" s="22" t="n">
        <v>0.00638667996231668</v>
      </c>
      <c r="K276" s="12" t="n">
        <v>8</v>
      </c>
      <c r="L276" s="13" t="s">
        <v>102</v>
      </c>
      <c r="M276" s="13" t="n">
        <v>10.05</v>
      </c>
      <c r="N276" s="13" t="n">
        <v>6.05</v>
      </c>
      <c r="O276" s="13" t="n">
        <v>-0.18</v>
      </c>
      <c r="P276" s="13" t="n">
        <v>-0.4</v>
      </c>
      <c r="Q276" s="13" t="n">
        <v>4.55</v>
      </c>
      <c r="R276" s="13" t="n">
        <v>0.03</v>
      </c>
      <c r="S276" s="13" t="n">
        <v>0.01</v>
      </c>
    </row>
    <row r="277" customFormat="false" ht="12.8" hidden="false" customHeight="false" outlineLevel="0" collapsed="false">
      <c r="A277" s="1" t="n">
        <v>6.81</v>
      </c>
      <c r="B277" s="1" t="n">
        <v>-0.66</v>
      </c>
      <c r="C277" s="1" t="n">
        <v>-0.69</v>
      </c>
      <c r="D277" s="1" t="n">
        <v>4.55</v>
      </c>
      <c r="E277" s="1" t="n">
        <v>0.04</v>
      </c>
      <c r="F277" s="1" t="n">
        <v>-0.03</v>
      </c>
      <c r="G277" s="22" t="n">
        <v>10.0107771073932</v>
      </c>
      <c r="H277" s="1" t="n">
        <v>10.01</v>
      </c>
      <c r="I277" s="22" t="n">
        <v>-0.000777107393155063</v>
      </c>
      <c r="K277" s="12" t="n">
        <v>8</v>
      </c>
      <c r="L277" s="13" t="s">
        <v>103</v>
      </c>
      <c r="M277" s="13" t="n">
        <v>10.11</v>
      </c>
      <c r="N277" s="13" t="n">
        <v>5.85</v>
      </c>
      <c r="O277" s="13" t="n">
        <v>0.06</v>
      </c>
      <c r="P277" s="13" t="n">
        <v>-0.29</v>
      </c>
      <c r="Q277" s="13" t="n">
        <v>4.55</v>
      </c>
      <c r="R277" s="13" t="n">
        <v>-0.07</v>
      </c>
      <c r="S277" s="13" t="n">
        <v>0.01</v>
      </c>
    </row>
    <row r="278" customFormat="false" ht="12.8" hidden="false" customHeight="false" outlineLevel="0" collapsed="false">
      <c r="A278" s="1" t="n">
        <v>6.15</v>
      </c>
      <c r="B278" s="1" t="n">
        <v>-0.33</v>
      </c>
      <c r="C278" s="1" t="n">
        <v>-0.5</v>
      </c>
      <c r="D278" s="1" t="n">
        <v>4.55</v>
      </c>
      <c r="E278" s="1" t="n">
        <v>-0.04</v>
      </c>
      <c r="F278" s="1" t="n">
        <v>-0.04</v>
      </c>
      <c r="G278" s="22" t="n">
        <v>9.78102903592897</v>
      </c>
      <c r="H278" s="1" t="n">
        <v>9.75</v>
      </c>
      <c r="I278" s="22" t="n">
        <v>-0.0310290359289684</v>
      </c>
      <c r="K278" s="12" t="n">
        <v>8</v>
      </c>
      <c r="L278" s="13" t="s">
        <v>104</v>
      </c>
      <c r="M278" s="13" t="n">
        <v>10.55</v>
      </c>
      <c r="N278" s="13" t="n">
        <v>6.91</v>
      </c>
      <c r="O278" s="13" t="n">
        <v>-0.18</v>
      </c>
      <c r="P278" s="13" t="n">
        <v>-0.67</v>
      </c>
      <c r="Q278" s="13" t="n">
        <v>4.55</v>
      </c>
      <c r="R278" s="13" t="n">
        <v>-0.05</v>
      </c>
      <c r="S278" s="13" t="n">
        <v>0</v>
      </c>
    </row>
    <row r="279" customFormat="false" ht="12.8" hidden="false" customHeight="false" outlineLevel="0" collapsed="false">
      <c r="A279" s="1" t="n">
        <v>5.48</v>
      </c>
      <c r="B279" s="1" t="n">
        <v>-0.21</v>
      </c>
      <c r="C279" s="1" t="n">
        <v>-0.32</v>
      </c>
      <c r="D279" s="1" t="n">
        <v>4.55</v>
      </c>
      <c r="E279" s="1" t="n">
        <v>0.02</v>
      </c>
      <c r="F279" s="1" t="n">
        <v>-0.01</v>
      </c>
      <c r="G279" s="22" t="n">
        <v>9.50030458323191</v>
      </c>
      <c r="H279" s="1" t="n">
        <v>9.5</v>
      </c>
      <c r="I279" s="22" t="n">
        <v>-0.000304583231912403</v>
      </c>
      <c r="K279" s="12" t="n">
        <v>8</v>
      </c>
      <c r="L279" s="13" t="s">
        <v>105</v>
      </c>
      <c r="M279" s="13" t="n">
        <v>10.06</v>
      </c>
      <c r="N279" s="13" t="n">
        <v>6.56</v>
      </c>
      <c r="O279" s="13" t="n">
        <v>-0.27</v>
      </c>
      <c r="P279" s="13" t="n">
        <v>-0.73</v>
      </c>
      <c r="Q279" s="13" t="n">
        <v>4.55</v>
      </c>
      <c r="R279" s="13" t="n">
        <v>-0.06</v>
      </c>
      <c r="S279" s="13" t="n">
        <v>0.01</v>
      </c>
    </row>
    <row r="280" customFormat="false" ht="12.8" hidden="false" customHeight="false" outlineLevel="0" collapsed="false">
      <c r="A280" s="1" t="n">
        <v>5.06</v>
      </c>
      <c r="B280" s="1" t="n">
        <v>-0.05</v>
      </c>
      <c r="C280" s="1" t="n">
        <v>0</v>
      </c>
      <c r="D280" s="1" t="n">
        <v>4.55</v>
      </c>
      <c r="E280" s="1" t="n">
        <v>-0.05</v>
      </c>
      <c r="F280" s="1" t="n">
        <v>0.01</v>
      </c>
      <c r="G280" s="22" t="n">
        <v>9.51577055997261</v>
      </c>
      <c r="H280" s="1" t="n">
        <v>9.52</v>
      </c>
      <c r="I280" s="22" t="n">
        <v>0.00422944002738745</v>
      </c>
      <c r="K280" s="12" t="n">
        <v>8</v>
      </c>
      <c r="L280" s="13" t="s">
        <v>106</v>
      </c>
      <c r="M280" s="13" t="n">
        <v>10.08</v>
      </c>
      <c r="N280" s="13" t="n">
        <v>6.3</v>
      </c>
      <c r="O280" s="13" t="n">
        <v>-0.1</v>
      </c>
      <c r="P280" s="13" t="n">
        <v>-0.59</v>
      </c>
      <c r="Q280" s="13" t="n">
        <v>4.55</v>
      </c>
      <c r="R280" s="13" t="n">
        <v>-0.09</v>
      </c>
      <c r="S280" s="13" t="n">
        <v>0.01</v>
      </c>
    </row>
    <row r="281" customFormat="false" ht="12.8" hidden="false" customHeight="false" outlineLevel="0" collapsed="false">
      <c r="A281" s="1" t="n">
        <v>5.43</v>
      </c>
      <c r="B281" s="1" t="n">
        <v>-0.09</v>
      </c>
      <c r="C281" s="1" t="n">
        <v>-0.09</v>
      </c>
      <c r="D281" s="1" t="n">
        <v>4.55</v>
      </c>
      <c r="E281" s="1" t="n">
        <v>0.03</v>
      </c>
      <c r="F281" s="1" t="n">
        <v>0.01</v>
      </c>
      <c r="G281" s="22" t="n">
        <v>9.83463204491448</v>
      </c>
      <c r="H281" s="1" t="n">
        <v>9.82</v>
      </c>
      <c r="I281" s="22" t="n">
        <v>-0.0146320449144817</v>
      </c>
      <c r="K281" s="12" t="n">
        <v>8</v>
      </c>
      <c r="L281" s="13" t="s">
        <v>107</v>
      </c>
      <c r="M281" s="13" t="n">
        <v>10.08</v>
      </c>
      <c r="N281" s="13" t="n">
        <v>6.35</v>
      </c>
      <c r="O281" s="13" t="n">
        <v>-0.21</v>
      </c>
      <c r="P281" s="13" t="n">
        <v>-0.55</v>
      </c>
      <c r="Q281" s="13" t="n">
        <v>4.55</v>
      </c>
      <c r="R281" s="13" t="n">
        <v>-0.07</v>
      </c>
      <c r="S281" s="13" t="n">
        <v>0.01</v>
      </c>
    </row>
    <row r="282" customFormat="false" ht="12.8" hidden="false" customHeight="false" outlineLevel="0" collapsed="false">
      <c r="A282" s="1" t="n">
        <v>5.24</v>
      </c>
      <c r="B282" s="1" t="n">
        <v>-0.02</v>
      </c>
      <c r="C282" s="1" t="n">
        <v>-0.09</v>
      </c>
      <c r="D282" s="1" t="n">
        <v>4.55</v>
      </c>
      <c r="E282" s="1" t="n">
        <v>-0.01</v>
      </c>
      <c r="F282" s="1" t="n">
        <v>0.01</v>
      </c>
      <c r="G282" s="22" t="n">
        <v>9.67460202167676</v>
      </c>
      <c r="H282" s="1" t="n">
        <v>9.68</v>
      </c>
      <c r="I282" s="22" t="n">
        <v>0.00539797832323607</v>
      </c>
      <c r="K282" s="12" t="n">
        <v>8</v>
      </c>
      <c r="L282" s="13" t="s">
        <v>108</v>
      </c>
      <c r="M282" s="13" t="n">
        <v>9.77</v>
      </c>
      <c r="N282" s="13" t="n">
        <v>6.14</v>
      </c>
      <c r="O282" s="13" t="n">
        <v>-0.13</v>
      </c>
      <c r="P282" s="13" t="n">
        <v>-0.75</v>
      </c>
      <c r="Q282" s="13" t="n">
        <v>4.55</v>
      </c>
      <c r="R282" s="13" t="n">
        <v>-0.04</v>
      </c>
      <c r="S282" s="13" t="n">
        <v>0.01</v>
      </c>
    </row>
    <row r="283" customFormat="false" ht="12.8" hidden="false" customHeight="false" outlineLevel="0" collapsed="false">
      <c r="A283" s="1" t="n">
        <v>5.03</v>
      </c>
      <c r="B283" s="1" t="n">
        <v>-0.02</v>
      </c>
      <c r="C283" s="1" t="n">
        <v>0.1</v>
      </c>
      <c r="D283" s="1" t="n">
        <v>4.55</v>
      </c>
      <c r="E283" s="1" t="n">
        <v>0</v>
      </c>
      <c r="F283" s="1" t="n">
        <v>0.01</v>
      </c>
      <c r="G283" s="22" t="n">
        <v>9.66566902990511</v>
      </c>
      <c r="H283" s="1" t="n">
        <v>9.67</v>
      </c>
      <c r="I283" s="22" t="n">
        <v>0.00433097009488748</v>
      </c>
      <c r="K283" s="12" t="n">
        <v>8</v>
      </c>
      <c r="L283" s="13" t="s">
        <v>109</v>
      </c>
      <c r="M283" s="13" t="n">
        <v>10.13</v>
      </c>
      <c r="N283" s="13" t="n">
        <v>6.64</v>
      </c>
      <c r="O283" s="13" t="n">
        <v>-0.11</v>
      </c>
      <c r="P283" s="13" t="n">
        <v>-0.91</v>
      </c>
      <c r="Q283" s="13" t="n">
        <v>4.55</v>
      </c>
      <c r="R283" s="13" t="n">
        <v>-0.04</v>
      </c>
      <c r="S283" s="13" t="n">
        <v>0.01</v>
      </c>
    </row>
    <row r="284" customFormat="false" ht="12.8" hidden="false" customHeight="false" outlineLevel="0" collapsed="false">
      <c r="A284" s="1" t="n">
        <v>5.1</v>
      </c>
      <c r="B284" s="1" t="n">
        <v>-0.06</v>
      </c>
      <c r="C284" s="1" t="n">
        <v>0.1</v>
      </c>
      <c r="D284" s="1" t="n">
        <v>4.55</v>
      </c>
      <c r="E284" s="1" t="n">
        <v>0.02</v>
      </c>
      <c r="F284" s="1" t="n">
        <v>0.01</v>
      </c>
      <c r="G284" s="22" t="n">
        <v>9.71552447287684</v>
      </c>
      <c r="H284" s="1" t="n">
        <v>9.73</v>
      </c>
      <c r="I284" s="22" t="n">
        <v>0.0144755271231656</v>
      </c>
      <c r="K284" s="12" t="n">
        <v>8</v>
      </c>
      <c r="L284" s="13" t="s">
        <v>110</v>
      </c>
      <c r="M284" s="13" t="n">
        <v>9.44</v>
      </c>
      <c r="N284" s="13" t="n">
        <v>6.4</v>
      </c>
      <c r="O284" s="13" t="n">
        <v>0.11</v>
      </c>
      <c r="P284" s="13" t="n">
        <v>-1.41</v>
      </c>
      <c r="Q284" s="13" t="n">
        <v>4.55</v>
      </c>
      <c r="R284" s="13" t="n">
        <v>-0.01</v>
      </c>
      <c r="S284" s="13" t="n">
        <v>-0.03</v>
      </c>
    </row>
    <row r="285" customFormat="false" ht="12.8" hidden="false" customHeight="false" outlineLevel="0" collapsed="false">
      <c r="A285" s="1" t="n">
        <v>4.49</v>
      </c>
      <c r="B285" s="1" t="n">
        <v>0.16</v>
      </c>
      <c r="C285" s="1" t="n">
        <v>0.62</v>
      </c>
      <c r="D285" s="1" t="n">
        <v>4.55</v>
      </c>
      <c r="E285" s="1" t="n">
        <v>0.02</v>
      </c>
      <c r="F285" s="1" t="n">
        <v>0.01</v>
      </c>
      <c r="G285" s="22" t="n">
        <v>9.84919448692191</v>
      </c>
      <c r="H285" s="1" t="n">
        <v>9.85</v>
      </c>
      <c r="I285" s="22" t="n">
        <v>0.000805513078088183</v>
      </c>
    </row>
    <row r="286" customFormat="false" ht="12.8" hidden="false" customHeight="false" outlineLevel="0" collapsed="false">
      <c r="A286" s="1" t="n">
        <v>5.08</v>
      </c>
      <c r="B286" s="1" t="n">
        <v>-0.07</v>
      </c>
      <c r="C286" s="1" t="n">
        <v>0.34</v>
      </c>
      <c r="D286" s="1" t="n">
        <v>4.55</v>
      </c>
      <c r="E286" s="1" t="n">
        <v>0.05</v>
      </c>
      <c r="F286" s="1" t="n">
        <v>0.01</v>
      </c>
      <c r="G286" s="22" t="n">
        <v>9.95791103612342</v>
      </c>
      <c r="H286" s="1" t="n">
        <v>9.92</v>
      </c>
      <c r="I286" s="22" t="n">
        <v>-0.0379110361234147</v>
      </c>
    </row>
    <row r="287" customFormat="false" ht="12.8" hidden="false" customHeight="false" outlineLevel="0" collapsed="false">
      <c r="A287" s="1" t="n">
        <v>5.28</v>
      </c>
      <c r="B287" s="1" t="n">
        <v>-0.15</v>
      </c>
      <c r="C287" s="1" t="n">
        <v>-0.28</v>
      </c>
      <c r="D287" s="1" t="n">
        <v>4.55</v>
      </c>
      <c r="E287" s="1" t="n">
        <v>0.03</v>
      </c>
      <c r="F287" s="1" t="n">
        <v>-0.21</v>
      </c>
      <c r="G287" s="22" t="n">
        <v>9.19351620294125</v>
      </c>
      <c r="H287" s="1" t="n">
        <v>9.21</v>
      </c>
      <c r="I287" s="22" t="n">
        <v>0.0164837970587541</v>
      </c>
    </row>
    <row r="288" customFormat="false" ht="12.8" hidden="false" customHeight="false" outlineLevel="0" collapsed="false">
      <c r="A288" s="1" t="n">
        <v>4.97</v>
      </c>
      <c r="B288" s="1" t="n">
        <v>-0.08</v>
      </c>
      <c r="C288" s="1" t="n">
        <v>0.11</v>
      </c>
      <c r="D288" s="1" t="n">
        <v>4.55</v>
      </c>
      <c r="E288" s="1" t="n">
        <v>0.03</v>
      </c>
      <c r="F288" s="1" t="n">
        <v>0.01</v>
      </c>
      <c r="G288" s="22" t="n">
        <v>9.58457306986548</v>
      </c>
      <c r="H288" s="1" t="n">
        <v>9.59</v>
      </c>
      <c r="I288" s="22" t="n">
        <v>0.00542693013452045</v>
      </c>
    </row>
    <row r="289" customFormat="false" ht="12.8" hidden="false" customHeight="false" outlineLevel="0" collapsed="false">
      <c r="A289" s="1" t="n">
        <v>5.12</v>
      </c>
      <c r="B289" s="1" t="n">
        <v>0</v>
      </c>
      <c r="C289" s="1" t="n">
        <v>0.06</v>
      </c>
      <c r="D289" s="1" t="n">
        <v>4.55</v>
      </c>
      <c r="E289" s="1" t="n">
        <v>0.01</v>
      </c>
      <c r="F289" s="1" t="n">
        <v>-0.04</v>
      </c>
      <c r="G289" s="22" t="n">
        <v>9.69144909566347</v>
      </c>
      <c r="H289" s="1" t="n">
        <v>9.7</v>
      </c>
      <c r="I289" s="22" t="n">
        <v>0.00855090433653061</v>
      </c>
    </row>
    <row r="290" customFormat="false" ht="12.8" hidden="false" customHeight="false" outlineLevel="0" collapsed="false">
      <c r="A290" s="1" t="n">
        <v>5.43</v>
      </c>
      <c r="B290" s="1" t="n">
        <v>-0.14</v>
      </c>
      <c r="C290" s="1" t="n">
        <v>-0.05</v>
      </c>
      <c r="D290" s="1" t="n">
        <v>4.55</v>
      </c>
      <c r="E290" s="1" t="n">
        <v>-0.1</v>
      </c>
      <c r="F290" s="1" t="n">
        <v>0.01</v>
      </c>
      <c r="G290" s="22" t="n">
        <v>9.69859548363981</v>
      </c>
      <c r="H290" s="1" t="n">
        <v>9.71</v>
      </c>
      <c r="I290" s="22" t="n">
        <v>0.0114045163601926</v>
      </c>
    </row>
    <row r="291" customFormat="false" ht="12.8" hidden="false" customHeight="false" outlineLevel="0" collapsed="false">
      <c r="A291" s="1" t="n">
        <v>5.4</v>
      </c>
      <c r="B291" s="1" t="n">
        <v>-0.16</v>
      </c>
      <c r="C291" s="1" t="n">
        <v>-0.13</v>
      </c>
      <c r="D291" s="1" t="n">
        <v>4.55</v>
      </c>
      <c r="E291" s="1" t="n">
        <v>-0.09</v>
      </c>
      <c r="F291" s="1" t="n">
        <v>-0.01</v>
      </c>
      <c r="G291" s="22" t="n">
        <v>9.55542499041558</v>
      </c>
      <c r="H291" s="1" t="n">
        <v>9.55</v>
      </c>
      <c r="I291" s="22" t="n">
        <v>-0.00542499041557498</v>
      </c>
    </row>
    <row r="292" customFormat="false" ht="12.8" hidden="false" customHeight="false" outlineLevel="0" collapsed="false">
      <c r="A292" s="1" t="n">
        <v>5.28</v>
      </c>
      <c r="B292" s="1" t="n">
        <v>-0.09</v>
      </c>
      <c r="C292" s="1" t="n">
        <v>-0.17</v>
      </c>
      <c r="D292" s="1" t="n">
        <v>4.55</v>
      </c>
      <c r="E292" s="1" t="n">
        <v>0.05</v>
      </c>
      <c r="F292" s="1" t="n">
        <v>0.01</v>
      </c>
      <c r="G292" s="22" t="n">
        <v>9.62206742120383</v>
      </c>
      <c r="H292" s="1" t="n">
        <v>9.63</v>
      </c>
      <c r="I292" s="22" t="n">
        <v>0.0079325787961686</v>
      </c>
    </row>
    <row r="293" customFormat="false" ht="12.8" hidden="false" customHeight="false" outlineLevel="0" collapsed="false">
      <c r="A293" s="1" t="n">
        <v>5.4</v>
      </c>
      <c r="B293" s="1" t="n">
        <v>-0.01</v>
      </c>
      <c r="C293" s="1" t="n">
        <v>-0.12</v>
      </c>
      <c r="D293" s="1" t="n">
        <v>4.55</v>
      </c>
      <c r="E293" s="1" t="n">
        <v>0.03</v>
      </c>
      <c r="F293" s="1" t="n">
        <v>-0.05</v>
      </c>
      <c r="G293" s="22" t="n">
        <v>9.78934649747514</v>
      </c>
      <c r="H293" s="1" t="n">
        <v>9.8</v>
      </c>
      <c r="I293" s="22" t="n">
        <v>0.0106535025248604</v>
      </c>
    </row>
    <row r="294" customFormat="false" ht="12.8" hidden="false" customHeight="false" outlineLevel="0" collapsed="false">
      <c r="A294" s="1" t="n">
        <v>5.1</v>
      </c>
      <c r="B294" s="1" t="n">
        <v>-0.05</v>
      </c>
      <c r="C294" s="1" t="n">
        <v>0.07</v>
      </c>
      <c r="D294" s="1" t="n">
        <v>4.55</v>
      </c>
      <c r="E294" s="1" t="n">
        <v>-0.02</v>
      </c>
      <c r="F294" s="1" t="n">
        <v>-0.03</v>
      </c>
      <c r="G294" s="22" t="n">
        <v>9.61300479450088</v>
      </c>
      <c r="H294" s="1" t="n">
        <v>9.61</v>
      </c>
      <c r="I294" s="22" t="n">
        <v>-0.00300479450087998</v>
      </c>
    </row>
    <row r="295" customFormat="false" ht="12.8" hidden="false" customHeight="false" outlineLevel="0" collapsed="false">
      <c r="A295" s="1" t="n">
        <v>4.94</v>
      </c>
      <c r="B295" s="1" t="n">
        <v>0.18</v>
      </c>
      <c r="C295" s="1" t="n">
        <v>0.21</v>
      </c>
      <c r="D295" s="1" t="n">
        <v>4.55</v>
      </c>
      <c r="E295" s="1" t="n">
        <v>0.03</v>
      </c>
      <c r="F295" s="1" t="n">
        <v>0.01</v>
      </c>
      <c r="G295" s="22" t="n">
        <v>9.91605265649159</v>
      </c>
      <c r="H295" s="1" t="n">
        <v>9.93</v>
      </c>
      <c r="I295" s="22" t="n">
        <v>0.0139473435084074</v>
      </c>
    </row>
    <row r="296" customFormat="false" ht="12.8" hidden="false" customHeight="false" outlineLevel="0" collapsed="false">
      <c r="A296" s="1" t="n">
        <v>5.22</v>
      </c>
      <c r="B296" s="1" t="n">
        <v>0.02</v>
      </c>
      <c r="C296" s="1" t="n">
        <v>-0.01</v>
      </c>
      <c r="D296" s="1" t="n">
        <v>4.55</v>
      </c>
      <c r="E296" s="1" t="n">
        <v>-0.02</v>
      </c>
      <c r="F296" s="1" t="n">
        <v>0.01</v>
      </c>
      <c r="G296" s="22" t="n">
        <v>9.76589513662871</v>
      </c>
      <c r="H296" s="1" t="n">
        <v>9.77</v>
      </c>
      <c r="I296" s="22" t="n">
        <v>0.00410486337128724</v>
      </c>
    </row>
    <row r="297" customFormat="false" ht="12.8" hidden="false" customHeight="false" outlineLevel="0" collapsed="false">
      <c r="A297" s="1" t="n">
        <v>5.35</v>
      </c>
      <c r="B297" s="1" t="n">
        <v>0.09</v>
      </c>
      <c r="C297" s="1" t="n">
        <v>-0.17</v>
      </c>
      <c r="D297" s="1" t="n">
        <v>4.55</v>
      </c>
      <c r="E297" s="1" t="n">
        <v>0.05</v>
      </c>
      <c r="F297" s="1" t="n">
        <v>0.01</v>
      </c>
      <c r="G297" s="22" t="n">
        <v>9.8726937443256</v>
      </c>
      <c r="H297" s="1" t="n">
        <v>9.88</v>
      </c>
      <c r="I297" s="22" t="n">
        <v>0.00730625567440413</v>
      </c>
    </row>
    <row r="298" customFormat="false" ht="12.8" hidden="false" customHeight="false" outlineLevel="0" collapsed="false">
      <c r="A298" s="1" t="n">
        <v>5.25</v>
      </c>
      <c r="B298" s="1" t="n">
        <v>0.08</v>
      </c>
      <c r="C298" s="1" t="n">
        <v>0.05</v>
      </c>
      <c r="D298" s="1" t="n">
        <v>4.55</v>
      </c>
      <c r="E298" s="1" t="n">
        <v>-0.04</v>
      </c>
      <c r="F298" s="1" t="n">
        <v>0.01</v>
      </c>
      <c r="G298" s="22" t="n">
        <v>9.897508000411</v>
      </c>
      <c r="H298" s="1" t="n">
        <v>9.89</v>
      </c>
      <c r="I298" s="22" t="n">
        <v>-0.00750800041100241</v>
      </c>
    </row>
    <row r="299" customFormat="false" ht="12.8" hidden="false" customHeight="false" outlineLevel="0" collapsed="false">
      <c r="A299" s="1" t="n">
        <v>5.34</v>
      </c>
      <c r="B299" s="1" t="n">
        <v>0.16</v>
      </c>
      <c r="C299" s="1" t="n">
        <v>0.11</v>
      </c>
      <c r="D299" s="1" t="n">
        <v>4.55</v>
      </c>
      <c r="E299" s="1" t="n">
        <v>-0.04</v>
      </c>
      <c r="F299" s="1" t="n">
        <v>0.01</v>
      </c>
      <c r="G299" s="22" t="n">
        <v>10.1289795334195</v>
      </c>
      <c r="H299" s="1" t="n">
        <v>10.13</v>
      </c>
      <c r="I299" s="22" t="n">
        <v>0.00102046658054888</v>
      </c>
    </row>
    <row r="300" customFormat="false" ht="12.8" hidden="false" customHeight="false" outlineLevel="0" collapsed="false">
      <c r="A300" s="1" t="n">
        <v>5.56</v>
      </c>
      <c r="B300" s="1" t="n">
        <v>0.02</v>
      </c>
      <c r="C300" s="1" t="n">
        <v>-0.04</v>
      </c>
      <c r="D300" s="1" t="n">
        <v>4.55</v>
      </c>
      <c r="E300" s="1" t="n">
        <v>0.02</v>
      </c>
      <c r="F300" s="1" t="n">
        <v>0.01</v>
      </c>
      <c r="G300" s="22" t="n">
        <v>10.1165108161267</v>
      </c>
      <c r="H300" s="1" t="n">
        <v>10.12</v>
      </c>
      <c r="I300" s="22" t="n">
        <v>0.00348918387328112</v>
      </c>
    </row>
    <row r="301" customFormat="false" ht="12.8" hidden="false" customHeight="false" outlineLevel="0" collapsed="false">
      <c r="A301" s="1" t="n">
        <v>5.91</v>
      </c>
      <c r="B301" s="1" t="n">
        <v>-0.02</v>
      </c>
      <c r="C301" s="1" t="n">
        <v>-0.44</v>
      </c>
      <c r="D301" s="1" t="n">
        <v>4.55</v>
      </c>
      <c r="E301" s="1" t="n">
        <v>-0.06</v>
      </c>
      <c r="F301" s="1" t="n">
        <v>-0.02</v>
      </c>
      <c r="G301" s="22" t="n">
        <v>9.91283802414274</v>
      </c>
      <c r="H301" s="1" t="n">
        <v>9.91</v>
      </c>
      <c r="I301" s="22" t="n">
        <v>-0.00283802414273815</v>
      </c>
    </row>
    <row r="302" customFormat="false" ht="12.8" hidden="false" customHeight="false" outlineLevel="0" collapsed="false">
      <c r="A302" s="1" t="n">
        <v>6.11</v>
      </c>
      <c r="B302" s="1" t="n">
        <v>-0.11</v>
      </c>
      <c r="C302" s="1" t="n">
        <v>-0.52</v>
      </c>
      <c r="D302" s="1" t="n">
        <v>4.55</v>
      </c>
      <c r="E302" s="1" t="n">
        <v>0.05</v>
      </c>
      <c r="F302" s="1" t="n">
        <v>-0.01</v>
      </c>
      <c r="G302" s="22" t="n">
        <v>10.0607313985273</v>
      </c>
      <c r="H302" s="1" t="n">
        <v>10.06</v>
      </c>
      <c r="I302" s="22" t="n">
        <v>-0.000731398527289429</v>
      </c>
    </row>
    <row r="303" customFormat="false" ht="12.8" hidden="false" customHeight="false" outlineLevel="0" collapsed="false">
      <c r="A303" s="1" t="n">
        <v>6.04</v>
      </c>
      <c r="B303" s="1" t="n">
        <v>-0.15</v>
      </c>
      <c r="C303" s="1" t="n">
        <v>-0.66</v>
      </c>
      <c r="D303" s="1" t="n">
        <v>4.55</v>
      </c>
      <c r="E303" s="1" t="n">
        <v>0.07</v>
      </c>
      <c r="F303" s="1" t="n">
        <v>0.01</v>
      </c>
      <c r="G303" s="22" t="n">
        <v>9.84937748400091</v>
      </c>
      <c r="H303" s="1" t="n">
        <v>9.86</v>
      </c>
      <c r="I303" s="22" t="n">
        <v>0.0106225159990885</v>
      </c>
    </row>
    <row r="304" customFormat="false" ht="12.8" hidden="false" customHeight="false" outlineLevel="0" collapsed="false">
      <c r="A304" s="1" t="n">
        <v>6.35</v>
      </c>
      <c r="B304" s="1" t="n">
        <v>-0.26</v>
      </c>
      <c r="C304" s="1" t="n">
        <v>-0.51</v>
      </c>
      <c r="D304" s="1" t="n">
        <v>4.55</v>
      </c>
      <c r="E304" s="1" t="n">
        <v>0.08</v>
      </c>
      <c r="F304" s="1" t="n">
        <v>-0.13</v>
      </c>
      <c r="G304" s="22" t="n">
        <v>10.0618439175887</v>
      </c>
      <c r="H304" s="1" t="n">
        <v>9.94</v>
      </c>
      <c r="I304" s="22" t="n">
        <v>-0.121843917588718</v>
      </c>
    </row>
    <row r="305" customFormat="false" ht="12.8" hidden="false" customHeight="false" outlineLevel="0" collapsed="false">
      <c r="A305" s="1" t="n">
        <v>5.65</v>
      </c>
      <c r="B305" s="1" t="n">
        <v>0.07</v>
      </c>
      <c r="C305" s="1" t="n">
        <v>-0.24</v>
      </c>
      <c r="D305" s="1" t="n">
        <v>4.55</v>
      </c>
      <c r="E305" s="1" t="n">
        <v>0.01</v>
      </c>
      <c r="F305" s="1" t="n">
        <v>0.01</v>
      </c>
      <c r="G305" s="22" t="n">
        <v>10.0446195715492</v>
      </c>
      <c r="H305" s="1" t="n">
        <v>10.05</v>
      </c>
      <c r="I305" s="22" t="n">
        <v>0.00538042845079367</v>
      </c>
    </row>
    <row r="306" customFormat="false" ht="12.8" hidden="false" customHeight="false" outlineLevel="0" collapsed="false">
      <c r="A306" s="1" t="n">
        <v>5.38</v>
      </c>
      <c r="B306" s="1" t="n">
        <v>0.04</v>
      </c>
      <c r="C306" s="1" t="n">
        <v>-0.13</v>
      </c>
      <c r="D306" s="1" t="n">
        <v>4.55</v>
      </c>
      <c r="E306" s="1" t="n">
        <v>-0.06</v>
      </c>
      <c r="F306" s="1" t="n">
        <v>0.01</v>
      </c>
      <c r="G306" s="22" t="n">
        <v>9.78630922873945</v>
      </c>
      <c r="H306" s="1" t="n">
        <v>9.78</v>
      </c>
      <c r="I306" s="22" t="n">
        <v>-0.00630922873944861</v>
      </c>
    </row>
    <row r="307" customFormat="false" ht="12.8" hidden="false" customHeight="false" outlineLevel="0" collapsed="false">
      <c r="A307" s="1" t="n">
        <v>5.83</v>
      </c>
      <c r="B307" s="1" t="n">
        <v>-0.17</v>
      </c>
      <c r="C307" s="1" t="n">
        <v>-0.09</v>
      </c>
      <c r="D307" s="1" t="n">
        <v>4.55</v>
      </c>
      <c r="E307" s="1" t="n">
        <v>0.03</v>
      </c>
      <c r="F307" s="1" t="n">
        <v>0.01</v>
      </c>
      <c r="G307" s="22" t="n">
        <v>10.1570121014279</v>
      </c>
      <c r="H307" s="1" t="n">
        <v>10.15</v>
      </c>
      <c r="I307" s="22" t="n">
        <v>-0.0070121014279465</v>
      </c>
    </row>
    <row r="308" customFormat="false" ht="12.8" hidden="false" customHeight="false" outlineLevel="0" collapsed="false">
      <c r="A308" s="1" t="n">
        <v>6.16</v>
      </c>
      <c r="B308" s="1" t="n">
        <v>-0.11</v>
      </c>
      <c r="C308" s="1" t="n">
        <v>-0.38</v>
      </c>
      <c r="D308" s="1" t="n">
        <v>4.55</v>
      </c>
      <c r="E308" s="1" t="n">
        <v>0.02</v>
      </c>
      <c r="F308" s="1" t="n">
        <v>0</v>
      </c>
      <c r="G308" s="22" t="n">
        <v>10.234571227016</v>
      </c>
      <c r="H308" s="1" t="n">
        <v>10.24</v>
      </c>
      <c r="I308" s="22" t="n">
        <v>0.00542877298397926</v>
      </c>
    </row>
    <row r="309" customFormat="false" ht="12.8" hidden="false" customHeight="false" outlineLevel="0" collapsed="false">
      <c r="A309" s="1" t="n">
        <v>5.95</v>
      </c>
      <c r="B309" s="1" t="n">
        <v>-0.03</v>
      </c>
      <c r="C309" s="1" t="n">
        <v>-0.34</v>
      </c>
      <c r="D309" s="1" t="n">
        <v>4.55</v>
      </c>
      <c r="E309" s="1" t="n">
        <v>-0.11</v>
      </c>
      <c r="F309" s="1" t="n">
        <v>0.01</v>
      </c>
      <c r="G309" s="22" t="n">
        <v>10.0281756522458</v>
      </c>
      <c r="H309" s="1" t="n">
        <v>10.02</v>
      </c>
      <c r="I309" s="22" t="n">
        <v>-0.00817565224576811</v>
      </c>
    </row>
    <row r="310" customFormat="false" ht="12.8" hidden="false" customHeight="false" outlineLevel="0" collapsed="false">
      <c r="A310" s="1" t="n">
        <v>5.89</v>
      </c>
      <c r="B310" s="1" t="n">
        <v>-0.01</v>
      </c>
      <c r="C310" s="1" t="n">
        <v>-0.45</v>
      </c>
      <c r="D310" s="1" t="n">
        <v>4.55</v>
      </c>
      <c r="E310" s="1" t="n">
        <v>-0.02</v>
      </c>
      <c r="F310" s="1" t="n">
        <v>0.01</v>
      </c>
      <c r="G310" s="22" t="n">
        <v>9.96390730593855</v>
      </c>
      <c r="H310" s="1" t="n">
        <v>9.98</v>
      </c>
      <c r="I310" s="22" t="n">
        <v>0.0160926940614541</v>
      </c>
    </row>
    <row r="311" customFormat="false" ht="12.8" hidden="false" customHeight="false" outlineLevel="0" collapsed="false">
      <c r="A311" s="1" t="n">
        <v>6.05</v>
      </c>
      <c r="B311" s="1" t="n">
        <v>-0.18</v>
      </c>
      <c r="C311" s="1" t="n">
        <v>-0.4</v>
      </c>
      <c r="D311" s="1" t="n">
        <v>4.55</v>
      </c>
      <c r="E311" s="1" t="n">
        <v>0.03</v>
      </c>
      <c r="F311" s="1" t="n">
        <v>0.01</v>
      </c>
      <c r="G311" s="22" t="n">
        <v>10.05406940438</v>
      </c>
      <c r="H311" s="1" t="n">
        <v>10.05</v>
      </c>
      <c r="I311" s="22" t="n">
        <v>-0.00406940437996717</v>
      </c>
    </row>
    <row r="312" customFormat="false" ht="12.8" hidden="false" customHeight="false" outlineLevel="0" collapsed="false">
      <c r="A312" s="1" t="n">
        <v>5.85</v>
      </c>
      <c r="B312" s="1" t="n">
        <v>0.06</v>
      </c>
      <c r="C312" s="1" t="n">
        <v>-0.29</v>
      </c>
      <c r="D312" s="1" t="n">
        <v>4.55</v>
      </c>
      <c r="E312" s="1" t="n">
        <v>-0.07</v>
      </c>
      <c r="F312" s="1" t="n">
        <v>0.01</v>
      </c>
      <c r="G312" s="22" t="n">
        <v>10.1072821421559</v>
      </c>
      <c r="H312" s="1" t="n">
        <v>10.11</v>
      </c>
      <c r="I312" s="22" t="n">
        <v>0.00271785784408252</v>
      </c>
    </row>
    <row r="313" customFormat="false" ht="12.8" hidden="false" customHeight="false" outlineLevel="0" collapsed="false">
      <c r="A313" s="1" t="n">
        <v>6.91</v>
      </c>
      <c r="B313" s="1" t="n">
        <v>-0.18</v>
      </c>
      <c r="C313" s="1" t="n">
        <v>-0.67</v>
      </c>
      <c r="D313" s="1" t="n">
        <v>4.55</v>
      </c>
      <c r="E313" s="1" t="n">
        <v>-0.05</v>
      </c>
      <c r="F313" s="1" t="n">
        <v>0</v>
      </c>
      <c r="G313" s="22" t="n">
        <v>10.5569738484326</v>
      </c>
      <c r="H313" s="1" t="n">
        <v>10.55</v>
      </c>
      <c r="I313" s="22" t="n">
        <v>-0.00697384843263293</v>
      </c>
    </row>
    <row r="314" customFormat="false" ht="12.8" hidden="false" customHeight="false" outlineLevel="0" collapsed="false">
      <c r="A314" s="1" t="n">
        <v>6.56</v>
      </c>
      <c r="B314" s="1" t="n">
        <v>-0.27</v>
      </c>
      <c r="C314" s="1" t="n">
        <v>-0.73</v>
      </c>
      <c r="D314" s="1" t="n">
        <v>4.55</v>
      </c>
      <c r="E314" s="1" t="n">
        <v>-0.06</v>
      </c>
      <c r="F314" s="1" t="n">
        <v>0.01</v>
      </c>
      <c r="G314" s="22" t="n">
        <v>10.0549500419482</v>
      </c>
      <c r="H314" s="1" t="n">
        <v>10.06</v>
      </c>
      <c r="I314" s="22" t="n">
        <v>0.00504995805177622</v>
      </c>
    </row>
    <row r="315" customFormat="false" ht="12.8" hidden="false" customHeight="false" outlineLevel="0" collapsed="false">
      <c r="A315" s="1" t="n">
        <v>6.3</v>
      </c>
      <c r="B315" s="1" t="n">
        <v>-0.1</v>
      </c>
      <c r="C315" s="1" t="n">
        <v>-0.59</v>
      </c>
      <c r="D315" s="1" t="n">
        <v>4.55</v>
      </c>
      <c r="E315" s="1" t="n">
        <v>-0.09</v>
      </c>
      <c r="F315" s="1" t="n">
        <v>0.01</v>
      </c>
      <c r="G315" s="22" t="n">
        <v>10.07626678672</v>
      </c>
      <c r="H315" s="1" t="n">
        <v>10.08</v>
      </c>
      <c r="I315" s="22" t="n">
        <v>0.00373321328004828</v>
      </c>
    </row>
    <row r="316" customFormat="false" ht="12.8" hidden="false" customHeight="false" outlineLevel="0" collapsed="false">
      <c r="A316" s="1" t="n">
        <v>6.35</v>
      </c>
      <c r="B316" s="1" t="n">
        <v>-0.21</v>
      </c>
      <c r="C316" s="1" t="n">
        <v>-0.55</v>
      </c>
      <c r="D316" s="1" t="n">
        <v>4.55</v>
      </c>
      <c r="E316" s="1" t="n">
        <v>-0.07</v>
      </c>
      <c r="F316" s="1" t="n">
        <v>0.01</v>
      </c>
      <c r="G316" s="22" t="n">
        <v>10.0764765497916</v>
      </c>
      <c r="H316" s="1" t="n">
        <v>10.08</v>
      </c>
      <c r="I316" s="22" t="n">
        <v>0.00352345020837319</v>
      </c>
    </row>
    <row r="317" customFormat="false" ht="12.8" hidden="false" customHeight="false" outlineLevel="0" collapsed="false">
      <c r="A317" s="1" t="n">
        <v>6.14</v>
      </c>
      <c r="B317" s="1" t="n">
        <v>-0.13</v>
      </c>
      <c r="C317" s="1" t="n">
        <v>-0.75</v>
      </c>
      <c r="D317" s="1" t="n">
        <v>4.55</v>
      </c>
      <c r="E317" s="1" t="n">
        <v>-0.04</v>
      </c>
      <c r="F317" s="1" t="n">
        <v>0.01</v>
      </c>
      <c r="G317" s="22" t="n">
        <v>9.77170192224585</v>
      </c>
      <c r="H317" s="1" t="n">
        <v>9.77</v>
      </c>
      <c r="I317" s="22" t="n">
        <v>-0.00170192224585008</v>
      </c>
    </row>
    <row r="318" customFormat="false" ht="12.8" hidden="false" customHeight="false" outlineLevel="0" collapsed="false">
      <c r="A318" s="1" t="n">
        <v>6.64</v>
      </c>
      <c r="B318" s="1" t="n">
        <v>-0.11</v>
      </c>
      <c r="C318" s="1" t="n">
        <v>-0.91</v>
      </c>
      <c r="D318" s="1" t="n">
        <v>4.55</v>
      </c>
      <c r="E318" s="1" t="n">
        <v>-0.04</v>
      </c>
      <c r="F318" s="1" t="n">
        <v>0.01</v>
      </c>
      <c r="G318" s="22" t="n">
        <v>10.1325933551603</v>
      </c>
      <c r="H318" s="1" t="n">
        <v>10.13</v>
      </c>
      <c r="I318" s="22" t="n">
        <v>-0.00259335516034831</v>
      </c>
    </row>
    <row r="319" customFormat="false" ht="12.8" hidden="false" customHeight="false" outlineLevel="0" collapsed="false">
      <c r="A319" s="1" t="n">
        <v>6.4</v>
      </c>
      <c r="B319" s="1" t="n">
        <v>0.11</v>
      </c>
      <c r="C319" s="1" t="n">
        <v>-1.41</v>
      </c>
      <c r="D319" s="1" t="n">
        <v>4.55</v>
      </c>
      <c r="E319" s="1" t="n">
        <v>-0.01</v>
      </c>
      <c r="F319" s="1" t="n">
        <v>-0.03</v>
      </c>
      <c r="G319" s="22" t="n">
        <v>9.59045361244409</v>
      </c>
      <c r="H319" s="1" t="n">
        <v>9.44</v>
      </c>
      <c r="I319" s="22" t="n">
        <v>-0.150453612444094</v>
      </c>
    </row>
  </sheetData>
  <mergeCells count="1">
    <mergeCell ref="K1:L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55" activeCellId="0" sqref="S5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6"/>
    <col collapsed="false" customWidth="true" hidden="false" outlineLevel="0" max="13" min="2" style="1" width="12.94"/>
    <col collapsed="false" customWidth="true" hidden="false" outlineLevel="0" max="15" min="14" style="1" width="8.62"/>
    <col collapsed="false" customWidth="true" hidden="false" outlineLevel="0" max="23" min="16" style="1" width="8.76"/>
  </cols>
  <sheetData>
    <row r="1" customFormat="false" ht="15.65" hidden="false" customHeight="false" outlineLevel="0" collapsed="false">
      <c r="P1" s="9" t="s">
        <v>33</v>
      </c>
      <c r="Q1" s="9"/>
      <c r="R1" s="9" t="n">
        <v>1</v>
      </c>
      <c r="S1" s="9" t="n">
        <v>1</v>
      </c>
      <c r="T1" s="9" t="n">
        <v>1</v>
      </c>
      <c r="U1" s="9" t="n">
        <v>1</v>
      </c>
      <c r="V1" s="9" t="n">
        <v>1</v>
      </c>
      <c r="W1" s="9" t="n">
        <v>1</v>
      </c>
      <c r="X1" s="9" t="n">
        <v>2</v>
      </c>
      <c r="Y1" s="9" t="n">
        <v>2</v>
      </c>
      <c r="Z1" s="9" t="n">
        <v>2</v>
      </c>
      <c r="AA1" s="9" t="n">
        <v>2</v>
      </c>
      <c r="AB1" s="9" t="n">
        <v>2</v>
      </c>
    </row>
    <row r="2" customFormat="false" ht="41.75" hidden="false" customHeight="true" outlineLevel="0" collapsed="false">
      <c r="P2" s="10" t="s">
        <v>34</v>
      </c>
      <c r="Q2" s="10" t="s">
        <v>35</v>
      </c>
      <c r="R2" s="11" t="s">
        <v>13</v>
      </c>
      <c r="S2" s="10" t="s">
        <v>111</v>
      </c>
      <c r="T2" s="10" t="s">
        <v>112</v>
      </c>
      <c r="U2" s="10" t="s">
        <v>113</v>
      </c>
      <c r="V2" s="10" t="s">
        <v>114</v>
      </c>
      <c r="W2" s="10" t="s">
        <v>115</v>
      </c>
      <c r="X2" s="10" t="s">
        <v>36</v>
      </c>
      <c r="Y2" s="10" t="s">
        <v>37</v>
      </c>
      <c r="Z2" s="10" t="s">
        <v>38</v>
      </c>
      <c r="AA2" s="10" t="s">
        <v>39</v>
      </c>
      <c r="AB2" s="10" t="s">
        <v>40</v>
      </c>
    </row>
    <row r="3" customFormat="false" ht="12.8" hidden="false" customHeight="false" outlineLevel="0" collapsed="false">
      <c r="A3" s="1" t="s">
        <v>41</v>
      </c>
      <c r="P3" s="12" t="n">
        <v>3</v>
      </c>
      <c r="Q3" s="13" t="s">
        <v>42</v>
      </c>
      <c r="R3" s="13" t="n">
        <v>10.45</v>
      </c>
      <c r="S3" s="19" t="n">
        <v>6.33</v>
      </c>
      <c r="T3" s="19" t="n">
        <v>-0.29</v>
      </c>
      <c r="U3" s="19" t="n">
        <v>-0.32</v>
      </c>
      <c r="V3" s="19" t="n">
        <v>4.71</v>
      </c>
      <c r="W3" s="13" t="n">
        <v>0.02</v>
      </c>
      <c r="X3" s="14" t="n">
        <v>48</v>
      </c>
      <c r="Y3" s="14" t="n">
        <v>9.9</v>
      </c>
      <c r="Z3" s="14" t="n">
        <v>32.5</v>
      </c>
      <c r="AA3" s="14" t="n">
        <v>10.6</v>
      </c>
      <c r="AB3" s="14" t="n">
        <v>79.6</v>
      </c>
    </row>
    <row r="4" customFormat="false" ht="12.8" hidden="false" customHeight="false" outlineLevel="0" collapsed="false">
      <c r="A4" s="1" t="s">
        <v>43</v>
      </c>
      <c r="B4" s="1" t="s">
        <v>44</v>
      </c>
      <c r="P4" s="12" t="n">
        <v>3</v>
      </c>
      <c r="Q4" s="13" t="s">
        <v>45</v>
      </c>
      <c r="R4" s="13" t="n">
        <v>9.96</v>
      </c>
      <c r="S4" s="19" t="n">
        <v>6.36</v>
      </c>
      <c r="T4" s="19" t="n">
        <v>-0.25</v>
      </c>
      <c r="U4" s="19" t="n">
        <v>-0.88</v>
      </c>
      <c r="V4" s="19" t="n">
        <v>4.71</v>
      </c>
      <c r="W4" s="13" t="n">
        <v>0.02</v>
      </c>
      <c r="X4" s="14" t="n">
        <v>55.1</v>
      </c>
      <c r="Y4" s="14" t="n">
        <v>17.8</v>
      </c>
      <c r="Z4" s="14" t="n">
        <v>32.3</v>
      </c>
      <c r="AA4" s="14" t="n">
        <v>10.6</v>
      </c>
      <c r="AB4" s="14" t="n">
        <v>80.3</v>
      </c>
    </row>
    <row r="5" customFormat="false" ht="12.8" hidden="false" customHeight="false" outlineLevel="0" collapsed="false">
      <c r="P5" s="12" t="n">
        <v>3</v>
      </c>
      <c r="Q5" s="13" t="s">
        <v>46</v>
      </c>
      <c r="R5" s="13" t="n">
        <v>9.74</v>
      </c>
      <c r="S5" s="19" t="n">
        <v>5.95</v>
      </c>
      <c r="T5" s="19" t="n">
        <v>-0.29</v>
      </c>
      <c r="U5" s="19" t="n">
        <v>-0.62</v>
      </c>
      <c r="V5" s="19" t="n">
        <v>4.71</v>
      </c>
      <c r="W5" s="13" t="n">
        <v>-0.01</v>
      </c>
      <c r="X5" s="14" t="n">
        <v>57.9</v>
      </c>
      <c r="Y5" s="14" t="n">
        <v>14.6</v>
      </c>
      <c r="Z5" s="14" t="n">
        <v>32.3</v>
      </c>
      <c r="AA5" s="14" t="n">
        <v>11.8</v>
      </c>
      <c r="AB5" s="14" t="n">
        <v>83.2</v>
      </c>
    </row>
    <row r="6" customFormat="false" ht="12.8" hidden="false" customHeight="false" outlineLevel="0" collapsed="false">
      <c r="A6" s="1" t="s">
        <v>47</v>
      </c>
      <c r="F6" s="15"/>
      <c r="P6" s="12" t="n">
        <v>3</v>
      </c>
      <c r="Q6" s="13" t="s">
        <v>48</v>
      </c>
      <c r="R6" s="13" t="n">
        <v>10.01</v>
      </c>
      <c r="S6" s="19" t="n">
        <v>5.83</v>
      </c>
      <c r="T6" s="19" t="n">
        <v>-0.16</v>
      </c>
      <c r="U6" s="19" t="n">
        <v>-0.34</v>
      </c>
      <c r="V6" s="19" t="n">
        <v>4.71</v>
      </c>
      <c r="W6" s="13" t="n">
        <v>-0.02</v>
      </c>
      <c r="X6" s="14" t="n">
        <v>60</v>
      </c>
      <c r="Y6" s="14" t="n">
        <v>27.4</v>
      </c>
      <c r="Z6" s="14" t="n">
        <v>32.7</v>
      </c>
      <c r="AA6" s="14" t="n">
        <v>9.9</v>
      </c>
      <c r="AB6" s="14" t="n">
        <v>81.1</v>
      </c>
    </row>
    <row r="7" customFormat="false" ht="12.8" hidden="false" customHeight="false" outlineLevel="0" collapsed="false">
      <c r="A7" s="21" t="n">
        <f aca="false" t="array" ref="A7:K11">LINEST($R$3:$R$284 , $S$3:$AB$284 , 1 , 1)</f>
        <v>-6.12213232256702E-005</v>
      </c>
      <c r="B7" s="21" t="n">
        <v>0.000249807056708682</v>
      </c>
      <c r="C7" s="21" t="n">
        <v>-0.0093923369610158</v>
      </c>
      <c r="D7" s="21" t="n">
        <v>-0.000883696465077471</v>
      </c>
      <c r="E7" s="21" t="n">
        <v>-0.00151851294323151</v>
      </c>
      <c r="F7" s="21" t="n">
        <v>0.967186054814538</v>
      </c>
      <c r="G7" s="21" t="n">
        <v>0.971353848770884</v>
      </c>
      <c r="H7" s="21" t="n">
        <v>1.01489378678002</v>
      </c>
      <c r="I7" s="21" t="n">
        <v>1.01724439132242</v>
      </c>
      <c r="J7" s="21" t="n">
        <v>1.0055835389341</v>
      </c>
      <c r="K7" s="21" t="n">
        <v>0.517786306209894</v>
      </c>
      <c r="P7" s="12" t="n">
        <v>3</v>
      </c>
      <c r="Q7" s="13" t="s">
        <v>49</v>
      </c>
      <c r="R7" s="13" t="n">
        <v>10.16</v>
      </c>
      <c r="S7" s="19" t="n">
        <v>6.92</v>
      </c>
      <c r="T7" s="19" t="n">
        <v>-0.57</v>
      </c>
      <c r="U7" s="19" t="n">
        <v>-0.87</v>
      </c>
      <c r="V7" s="19" t="n">
        <v>4.71</v>
      </c>
      <c r="W7" s="13" t="n">
        <v>-0.02</v>
      </c>
      <c r="X7" s="14" t="n">
        <v>53.8</v>
      </c>
      <c r="Y7" s="14" t="n">
        <v>28.7</v>
      </c>
      <c r="Z7" s="14" t="n">
        <v>32.3</v>
      </c>
      <c r="AA7" s="14" t="n">
        <v>9.2</v>
      </c>
      <c r="AB7" s="14" t="n">
        <v>79.3</v>
      </c>
    </row>
    <row r="8" customFormat="false" ht="12.8" hidden="false" customHeight="false" outlineLevel="0" collapsed="false">
      <c r="A8" s="21" t="n">
        <v>0.000156583585274317</v>
      </c>
      <c r="B8" s="21" t="n">
        <v>0.000288099894028426</v>
      </c>
      <c r="C8" s="21" t="n">
        <v>0.00194163562496018</v>
      </c>
      <c r="D8" s="21" t="n">
        <v>0.000391201602289016</v>
      </c>
      <c r="E8" s="21" t="n">
        <v>0.000397574089155349</v>
      </c>
      <c r="F8" s="21" t="n">
        <v>0.0326627389922893</v>
      </c>
      <c r="G8" s="21" t="n">
        <v>0.0624917478197964</v>
      </c>
      <c r="H8" s="21" t="n">
        <v>0.012126855600384</v>
      </c>
      <c r="I8" s="21" t="n">
        <v>0.0174536593531076</v>
      </c>
      <c r="J8" s="21" t="n">
        <v>0.00876412525327384</v>
      </c>
      <c r="K8" s="21" t="n">
        <v>0.322550651012298</v>
      </c>
      <c r="P8" s="12" t="n">
        <v>3</v>
      </c>
      <c r="Q8" s="13" t="s">
        <v>50</v>
      </c>
      <c r="R8" s="13" t="n">
        <v>10.03</v>
      </c>
      <c r="S8" s="19" t="n">
        <v>6.09</v>
      </c>
      <c r="T8" s="19" t="n">
        <v>-0.25</v>
      </c>
      <c r="U8" s="19" t="n">
        <v>-0.5</v>
      </c>
      <c r="V8" s="19" t="n">
        <v>4.71</v>
      </c>
      <c r="W8" s="13" t="n">
        <v>0.04</v>
      </c>
      <c r="X8" s="14" t="n">
        <v>73.8</v>
      </c>
      <c r="Y8" s="14" t="n">
        <v>24</v>
      </c>
      <c r="Z8" s="14" t="n">
        <v>33.6</v>
      </c>
      <c r="AA8" s="14" t="n">
        <v>11.5</v>
      </c>
      <c r="AB8" s="14" t="n">
        <v>81.2</v>
      </c>
    </row>
    <row r="9" customFormat="false" ht="12.8" hidden="false" customHeight="false" outlineLevel="0" collapsed="false">
      <c r="A9" s="21" t="n">
        <v>0.985709686010675</v>
      </c>
      <c r="B9" s="21" t="n">
        <v>0.0326688586110563</v>
      </c>
      <c r="C9" s="21" t="e">
        <v>#N/A</v>
      </c>
      <c r="D9" s="21" t="e">
        <v>#N/A</v>
      </c>
      <c r="E9" s="21" t="e">
        <v>#N/A</v>
      </c>
      <c r="F9" s="21" t="e">
        <v>#N/A</v>
      </c>
      <c r="G9" s="21" t="e">
        <v>#N/A</v>
      </c>
      <c r="H9" s="21" t="e">
        <v>#N/A</v>
      </c>
      <c r="I9" s="21" t="e">
        <v>#N/A</v>
      </c>
      <c r="J9" s="21" t="e">
        <v>#N/A</v>
      </c>
      <c r="K9" s="21" t="e">
        <v>#N/A</v>
      </c>
      <c r="P9" s="12" t="n">
        <v>3</v>
      </c>
      <c r="Q9" s="13" t="s">
        <v>51</v>
      </c>
      <c r="R9" s="13" t="n">
        <v>9.64</v>
      </c>
      <c r="S9" s="19" t="n">
        <v>5.37</v>
      </c>
      <c r="T9" s="19" t="n">
        <v>-0.14</v>
      </c>
      <c r="U9" s="19" t="n">
        <v>-0.28</v>
      </c>
      <c r="V9" s="19" t="n">
        <v>4.71</v>
      </c>
      <c r="W9" s="13" t="n">
        <v>0</v>
      </c>
      <c r="X9" s="14" t="n">
        <v>55</v>
      </c>
      <c r="Y9" s="14" t="n">
        <v>23.9</v>
      </c>
      <c r="Z9" s="14" t="n">
        <v>33.9</v>
      </c>
      <c r="AA9" s="14" t="n">
        <v>10.6</v>
      </c>
      <c r="AB9" s="14" t="n">
        <v>79.5</v>
      </c>
    </row>
    <row r="10" customFormat="false" ht="12.8" hidden="false" customHeight="false" outlineLevel="0" collapsed="false">
      <c r="A10" s="21" t="n">
        <v>1869.28940195739</v>
      </c>
      <c r="B10" s="21" t="n">
        <v>271</v>
      </c>
      <c r="C10" s="21" t="e">
        <v>#N/A</v>
      </c>
      <c r="D10" s="21" t="e">
        <v>#N/A</v>
      </c>
      <c r="E10" s="21" t="e">
        <v>#N/A</v>
      </c>
      <c r="F10" s="21" t="e">
        <v>#N/A</v>
      </c>
      <c r="G10" s="21" t="e">
        <v>#N/A</v>
      </c>
      <c r="H10" s="21" t="e">
        <v>#N/A</v>
      </c>
      <c r="I10" s="21" t="e">
        <v>#N/A</v>
      </c>
      <c r="J10" s="21" t="e">
        <v>#N/A</v>
      </c>
      <c r="K10" s="21" t="e">
        <v>#N/A</v>
      </c>
      <c r="P10" s="12" t="n">
        <v>3</v>
      </c>
      <c r="Q10" s="13" t="s">
        <v>52</v>
      </c>
      <c r="R10" s="13" t="n">
        <v>9.74</v>
      </c>
      <c r="S10" s="19" t="n">
        <v>5.04</v>
      </c>
      <c r="T10" s="19" t="n">
        <v>-0.02</v>
      </c>
      <c r="U10" s="19" t="n">
        <v>0.04</v>
      </c>
      <c r="V10" s="19" t="n">
        <v>4.71</v>
      </c>
      <c r="W10" s="13" t="n">
        <v>-0.03</v>
      </c>
      <c r="X10" s="14" t="n">
        <v>52.8</v>
      </c>
      <c r="Y10" s="14" t="n">
        <v>20.2</v>
      </c>
      <c r="Z10" s="14" t="n">
        <v>32.4</v>
      </c>
      <c r="AA10" s="14" t="n">
        <v>11.4</v>
      </c>
      <c r="AB10" s="14" t="n">
        <v>76.6</v>
      </c>
    </row>
    <row r="11" customFormat="false" ht="12.8" hidden="false" customHeight="false" outlineLevel="0" collapsed="false">
      <c r="A11" s="21" t="n">
        <v>19.9500719508212</v>
      </c>
      <c r="B11" s="21" t="n">
        <v>0.28922592151923</v>
      </c>
      <c r="C11" s="21" t="e">
        <v>#N/A</v>
      </c>
      <c r="D11" s="21" t="e">
        <v>#N/A</v>
      </c>
      <c r="E11" s="21" t="e">
        <v>#N/A</v>
      </c>
      <c r="F11" s="21" t="e">
        <v>#N/A</v>
      </c>
      <c r="G11" s="21" t="e">
        <v>#N/A</v>
      </c>
      <c r="H11" s="21" t="e">
        <v>#N/A</v>
      </c>
      <c r="I11" s="21" t="e">
        <v>#N/A</v>
      </c>
      <c r="J11" s="21" t="e">
        <v>#N/A</v>
      </c>
      <c r="K11" s="21" t="e">
        <v>#N/A</v>
      </c>
      <c r="P11" s="12" t="n">
        <v>3</v>
      </c>
      <c r="Q11" s="13" t="s">
        <v>53</v>
      </c>
      <c r="R11" s="13" t="n">
        <v>9.87</v>
      </c>
      <c r="S11" s="19" t="n">
        <v>5.25</v>
      </c>
      <c r="T11" s="19" t="n">
        <v>-0.05</v>
      </c>
      <c r="U11" s="19" t="n">
        <v>-0.03</v>
      </c>
      <c r="V11" s="19" t="n">
        <v>4.71</v>
      </c>
      <c r="W11" s="13" t="n">
        <v>-0.01</v>
      </c>
      <c r="X11" s="14" t="n">
        <v>53.3</v>
      </c>
      <c r="Y11" s="14" t="n">
        <v>22.7</v>
      </c>
      <c r="Z11" s="14" t="n">
        <v>33.9</v>
      </c>
      <c r="AA11" s="14" t="n">
        <v>10</v>
      </c>
      <c r="AB11" s="14" t="n">
        <v>76.7</v>
      </c>
    </row>
    <row r="12" customFormat="false" ht="12.8" hidden="false" customHeight="false" outlineLevel="0" collapsed="false">
      <c r="P12" s="12" t="n">
        <v>3</v>
      </c>
      <c r="Q12" s="13" t="s">
        <v>54</v>
      </c>
      <c r="R12" s="13" t="n">
        <v>9.66</v>
      </c>
      <c r="S12" s="19" t="n">
        <v>5.13</v>
      </c>
      <c r="T12" s="19" t="n">
        <v>-0.02</v>
      </c>
      <c r="U12" s="19" t="n">
        <v>-0.07</v>
      </c>
      <c r="V12" s="19" t="n">
        <v>4.71</v>
      </c>
      <c r="W12" s="13" t="n">
        <v>-0.09</v>
      </c>
      <c r="X12" s="14" t="n">
        <v>51.2</v>
      </c>
      <c r="Y12" s="14" t="n">
        <v>13.5</v>
      </c>
      <c r="Z12" s="14" t="n">
        <v>33</v>
      </c>
      <c r="AA12" s="14" t="n">
        <v>10.3</v>
      </c>
      <c r="AB12" s="14" t="n">
        <v>77.8</v>
      </c>
    </row>
    <row r="13" customFormat="false" ht="12.8" hidden="false" customHeight="false" outlineLevel="0" collapsed="false">
      <c r="A13" s="1" t="s">
        <v>55</v>
      </c>
      <c r="F13" s="15"/>
      <c r="P13" s="12" t="n">
        <v>3</v>
      </c>
      <c r="Q13" s="13" t="s">
        <v>56</v>
      </c>
      <c r="R13" s="13" t="n">
        <v>9.8</v>
      </c>
      <c r="S13" s="19" t="n">
        <v>4.91</v>
      </c>
      <c r="T13" s="19" t="n">
        <v>-0.01</v>
      </c>
      <c r="U13" s="19" t="n">
        <v>0.17</v>
      </c>
      <c r="V13" s="19" t="n">
        <v>4.71</v>
      </c>
      <c r="W13" s="13" t="n">
        <v>0.01</v>
      </c>
      <c r="X13" s="14" t="n">
        <v>47</v>
      </c>
      <c r="Y13" s="14" t="n">
        <v>8.4</v>
      </c>
      <c r="Z13" s="14" t="n">
        <v>31.7</v>
      </c>
      <c r="AA13" s="14" t="n">
        <v>10.5</v>
      </c>
      <c r="AB13" s="14" t="n">
        <v>77.6</v>
      </c>
    </row>
    <row r="14" customFormat="false" ht="12.8" hidden="false" customHeight="false" outlineLevel="0" collapsed="false">
      <c r="A14" s="1" t="s">
        <v>57</v>
      </c>
      <c r="B14" s="16" t="n">
        <f aca="false">$A$9</f>
        <v>0.985709686010675</v>
      </c>
      <c r="F14" s="15"/>
      <c r="P14" s="12" t="n">
        <v>3</v>
      </c>
      <c r="Q14" s="13" t="s">
        <v>58</v>
      </c>
      <c r="R14" s="13" t="n">
        <v>9.79</v>
      </c>
      <c r="S14" s="19" t="n">
        <v>5.03</v>
      </c>
      <c r="T14" s="19" t="n">
        <v>-0.11</v>
      </c>
      <c r="U14" s="19" t="n">
        <v>0.16</v>
      </c>
      <c r="V14" s="19" t="n">
        <v>4.71</v>
      </c>
      <c r="W14" s="13" t="n">
        <v>0</v>
      </c>
      <c r="X14" s="14" t="n">
        <v>43.8</v>
      </c>
      <c r="Y14" s="14" t="n">
        <v>12.9</v>
      </c>
      <c r="Z14" s="14" t="n">
        <v>32.4</v>
      </c>
      <c r="AA14" s="14" t="n">
        <v>10.2</v>
      </c>
      <c r="AB14" s="14" t="n">
        <v>78</v>
      </c>
    </row>
    <row r="15" customFormat="false" ht="12.8" hidden="false" customHeight="false" outlineLevel="0" collapsed="false">
      <c r="A15" s="1" t="s">
        <v>59</v>
      </c>
      <c r="B15" s="16" t="n">
        <f aca="false">$B$9</f>
        <v>0.0326688586110563</v>
      </c>
      <c r="P15" s="12" t="n">
        <v>3</v>
      </c>
      <c r="Q15" s="13" t="s">
        <v>60</v>
      </c>
      <c r="R15" s="13" t="n">
        <v>9.84</v>
      </c>
      <c r="S15" s="19" t="n">
        <v>4.32</v>
      </c>
      <c r="T15" s="19" t="n">
        <v>0.13</v>
      </c>
      <c r="U15" s="19" t="n">
        <v>0.69</v>
      </c>
      <c r="V15" s="19" t="n">
        <v>4.71</v>
      </c>
      <c r="W15" s="13" t="n">
        <v>-0.02</v>
      </c>
      <c r="X15" s="14" t="n">
        <v>50.5</v>
      </c>
      <c r="Y15" s="14" t="n">
        <v>7.5</v>
      </c>
      <c r="Z15" s="14" t="n">
        <v>32.9</v>
      </c>
      <c r="AA15" s="14" t="n">
        <v>9.9</v>
      </c>
      <c r="AB15" s="14" t="n">
        <v>76.3</v>
      </c>
    </row>
    <row r="16" customFormat="false" ht="15.65" hidden="false" customHeight="false" outlineLevel="0" collapsed="false">
      <c r="A16" s="1" t="s">
        <v>117</v>
      </c>
      <c r="B16" s="16" t="n">
        <f aca="false">10</f>
        <v>10</v>
      </c>
      <c r="F16" s="15"/>
      <c r="P16" s="12" t="n">
        <v>3</v>
      </c>
      <c r="Q16" s="13" t="s">
        <v>62</v>
      </c>
      <c r="R16" s="13" t="n">
        <v>9.99</v>
      </c>
      <c r="S16" s="19" t="n">
        <v>4.85</v>
      </c>
      <c r="T16" s="19" t="n">
        <v>-0.05</v>
      </c>
      <c r="U16" s="19" t="n">
        <v>0.44</v>
      </c>
      <c r="V16" s="19" t="n">
        <v>4.71</v>
      </c>
      <c r="W16" s="13" t="n">
        <v>0.04</v>
      </c>
      <c r="X16" s="14" t="n">
        <v>46.1</v>
      </c>
      <c r="Y16" s="14" t="n">
        <v>8.9</v>
      </c>
      <c r="Z16" s="14" t="n">
        <v>32.1</v>
      </c>
      <c r="AA16" s="14" t="n">
        <v>10.4</v>
      </c>
      <c r="AB16" s="14" t="n">
        <v>76.8</v>
      </c>
    </row>
    <row r="17" customFormat="false" ht="12.8" hidden="false" customHeight="false" outlineLevel="0" collapsed="false">
      <c r="A17" s="1" t="s">
        <v>63</v>
      </c>
      <c r="B17" s="16" t="n">
        <f aca="false">282</f>
        <v>282</v>
      </c>
      <c r="P17" s="12" t="n">
        <v>3</v>
      </c>
      <c r="Q17" s="13" t="s">
        <v>64</v>
      </c>
      <c r="R17" s="13" t="n">
        <v>9.5</v>
      </c>
      <c r="S17" s="19" t="n">
        <v>5.28</v>
      </c>
      <c r="T17" s="19" t="n">
        <v>-0.14</v>
      </c>
      <c r="U17" s="19" t="n">
        <v>-0.32</v>
      </c>
      <c r="V17" s="19" t="n">
        <v>4.71</v>
      </c>
      <c r="W17" s="13" t="n">
        <v>-0.01</v>
      </c>
      <c r="X17" s="14" t="n">
        <v>66.4</v>
      </c>
      <c r="Y17" s="14" t="n">
        <v>17.7</v>
      </c>
      <c r="Z17" s="14" t="n">
        <v>33.4</v>
      </c>
      <c r="AA17" s="14" t="n">
        <v>10.6</v>
      </c>
      <c r="AB17" s="14" t="n">
        <v>79.3</v>
      </c>
    </row>
    <row r="18" customFormat="false" ht="12.8" hidden="false" customHeight="false" outlineLevel="0" collapsed="false">
      <c r="A18" s="1" t="s">
        <v>65</v>
      </c>
      <c r="B18" s="16" t="n">
        <f aca="false">1 - (1 - $A$9)*($B$17 - 1)/($B$17 - $B$16 - 1)</f>
        <v>0.98518236815129</v>
      </c>
      <c r="F18" s="15"/>
      <c r="P18" s="12" t="n">
        <v>3</v>
      </c>
      <c r="Q18" s="13" t="s">
        <v>66</v>
      </c>
      <c r="R18" s="13" t="n">
        <v>9.59</v>
      </c>
      <c r="S18" s="19" t="n">
        <v>4.91</v>
      </c>
      <c r="T18" s="19" t="n">
        <v>-0.09</v>
      </c>
      <c r="U18" s="19" t="n">
        <v>0.13</v>
      </c>
      <c r="V18" s="19" t="n">
        <v>4.71</v>
      </c>
      <c r="W18" s="13" t="n">
        <v>0</v>
      </c>
      <c r="X18" s="14" t="n">
        <v>66.3</v>
      </c>
      <c r="Y18" s="14" t="n">
        <v>29.3</v>
      </c>
      <c r="Z18" s="14" t="n">
        <v>31.4</v>
      </c>
      <c r="AA18" s="14" t="n">
        <v>14.4</v>
      </c>
      <c r="AB18" s="14" t="n">
        <v>78.8</v>
      </c>
    </row>
    <row r="19" customFormat="false" ht="12.8" hidden="false" customHeight="false" outlineLevel="0" collapsed="false">
      <c r="P19" s="12" t="n">
        <v>3</v>
      </c>
      <c r="Q19" s="13" t="s">
        <v>67</v>
      </c>
      <c r="R19" s="13" t="n">
        <v>10.11</v>
      </c>
      <c r="S19" s="19" t="n">
        <v>5.36</v>
      </c>
      <c r="T19" s="19" t="n">
        <v>-0.03</v>
      </c>
      <c r="U19" s="19" t="n">
        <v>0.02</v>
      </c>
      <c r="V19" s="19" t="n">
        <v>4.71</v>
      </c>
      <c r="W19" s="13" t="n">
        <v>0.04</v>
      </c>
      <c r="X19" s="14" t="n">
        <v>63.7</v>
      </c>
      <c r="Y19" s="14" t="n">
        <v>21.1</v>
      </c>
      <c r="Z19" s="14" t="n">
        <v>31.5</v>
      </c>
      <c r="AA19" s="14" t="n">
        <v>12.1</v>
      </c>
      <c r="AB19" s="14" t="n">
        <v>77.8</v>
      </c>
    </row>
    <row r="20" customFormat="false" ht="15.65" hidden="false" customHeight="false" outlineLevel="0" collapsed="false">
      <c r="A20" s="1" t="s">
        <v>118</v>
      </c>
      <c r="P20" s="12" t="n">
        <v>3</v>
      </c>
      <c r="Q20" s="13" t="s">
        <v>69</v>
      </c>
      <c r="R20" s="13" t="n">
        <v>9.98</v>
      </c>
      <c r="S20" s="19" t="n">
        <v>5.42</v>
      </c>
      <c r="T20" s="19" t="n">
        <v>-0.12</v>
      </c>
      <c r="U20" s="19" t="n">
        <v>-0.04</v>
      </c>
      <c r="V20" s="19" t="n">
        <v>4.71</v>
      </c>
      <c r="W20" s="13" t="n">
        <v>0.06</v>
      </c>
      <c r="X20" s="14" t="n">
        <v>61.2</v>
      </c>
      <c r="Y20" s="14" t="n">
        <v>19.6</v>
      </c>
      <c r="Z20" s="14" t="n">
        <v>33.7</v>
      </c>
      <c r="AA20" s="14" t="n">
        <v>17.3</v>
      </c>
      <c r="AB20" s="14" t="n">
        <v>77.5</v>
      </c>
    </row>
    <row r="21" customFormat="false" ht="12.8" hidden="false" customHeight="false" outlineLevel="0" collapsed="false">
      <c r="B21" s="1" t="s">
        <v>70</v>
      </c>
      <c r="C21" s="1" t="s">
        <v>71</v>
      </c>
      <c r="D21" s="1" t="s">
        <v>72</v>
      </c>
      <c r="E21" s="1" t="s">
        <v>73</v>
      </c>
      <c r="F21" s="1" t="s">
        <v>74</v>
      </c>
      <c r="J21" s="15"/>
      <c r="K21" s="15"/>
      <c r="P21" s="12" t="n">
        <v>3</v>
      </c>
      <c r="Q21" s="13" t="s">
        <v>75</v>
      </c>
      <c r="R21" s="13" t="n">
        <v>9.79</v>
      </c>
      <c r="S21" s="19" t="n">
        <v>5.45</v>
      </c>
      <c r="T21" s="19" t="n">
        <v>-0.14</v>
      </c>
      <c r="U21" s="19" t="n">
        <v>-0.17</v>
      </c>
      <c r="V21" s="19" t="n">
        <v>4.71</v>
      </c>
      <c r="W21" s="13" t="n">
        <v>-0.07</v>
      </c>
      <c r="X21" s="14" t="n">
        <v>65.1</v>
      </c>
      <c r="Y21" s="14" t="n">
        <v>18.9</v>
      </c>
      <c r="Z21" s="14" t="n">
        <v>31.7</v>
      </c>
      <c r="AA21" s="14" t="n">
        <v>9.2</v>
      </c>
      <c r="AB21" s="14" t="n">
        <v>74.8</v>
      </c>
    </row>
    <row r="22" customFormat="false" ht="12.8" hidden="false" customHeight="false" outlineLevel="0" collapsed="false">
      <c r="A22" s="1" t="s">
        <v>41</v>
      </c>
      <c r="B22" s="16" t="n">
        <f aca="false">$B$16</f>
        <v>10</v>
      </c>
      <c r="C22" s="16" t="n">
        <f aca="false">$A$11</f>
        <v>19.9500719508212</v>
      </c>
      <c r="D22" s="16" t="n">
        <f aca="false">$A$11 / $B$22</f>
        <v>1.99500719508212</v>
      </c>
      <c r="E22" s="17" t="n">
        <f aca="false">$A$10</f>
        <v>1869.28940195739</v>
      </c>
      <c r="F22" s="16" t="n">
        <f aca="false">FDIST($A$10 , $B$22 , $B$10)</f>
        <v>1.45408139606239E-243</v>
      </c>
      <c r="P22" s="12" t="n">
        <v>3</v>
      </c>
      <c r="Q22" s="13" t="s">
        <v>76</v>
      </c>
      <c r="R22" s="13" t="n">
        <v>9.71</v>
      </c>
      <c r="S22" s="19" t="n">
        <v>5.24</v>
      </c>
      <c r="T22" s="19" t="n">
        <v>-0.07</v>
      </c>
      <c r="U22" s="19" t="n">
        <v>-0.21</v>
      </c>
      <c r="V22" s="19" t="n">
        <v>4.71</v>
      </c>
      <c r="W22" s="13" t="n">
        <v>0.04</v>
      </c>
      <c r="X22" s="14" t="n">
        <v>58.7</v>
      </c>
      <c r="Y22" s="14" t="n">
        <v>22.5</v>
      </c>
      <c r="Z22" s="14" t="n">
        <v>33.1</v>
      </c>
      <c r="AA22" s="14" t="n">
        <v>9.9</v>
      </c>
      <c r="AB22" s="14" t="n">
        <v>79.1</v>
      </c>
    </row>
    <row r="23" customFormat="false" ht="12.8" hidden="false" customHeight="false" outlineLevel="0" collapsed="false">
      <c r="A23" s="1" t="s">
        <v>77</v>
      </c>
      <c r="B23" s="16" t="n">
        <f aca="false">$B$10</f>
        <v>271</v>
      </c>
      <c r="C23" s="16" t="n">
        <f aca="false">$B$11</f>
        <v>0.28922592151923</v>
      </c>
      <c r="D23" s="16" t="n">
        <f aca="false">$B$11 / $B$10</f>
        <v>0.00106725432294919</v>
      </c>
      <c r="E23" s="16"/>
      <c r="F23" s="16"/>
      <c r="P23" s="12" t="n">
        <v>3</v>
      </c>
      <c r="Q23" s="13" t="s">
        <v>78</v>
      </c>
      <c r="R23" s="13" t="n">
        <v>9.83</v>
      </c>
      <c r="S23" s="19" t="n">
        <v>5.19</v>
      </c>
      <c r="T23" s="19" t="n">
        <v>0.01</v>
      </c>
      <c r="U23" s="19" t="n">
        <v>-0.06</v>
      </c>
      <c r="V23" s="19" t="n">
        <v>4.71</v>
      </c>
      <c r="W23" s="13" t="n">
        <v>-0.03</v>
      </c>
      <c r="X23" s="14" t="n">
        <v>57</v>
      </c>
      <c r="Y23" s="14" t="n">
        <v>27.4</v>
      </c>
      <c r="Z23" s="14" t="n">
        <v>33.6</v>
      </c>
      <c r="AA23" s="14" t="n">
        <v>9.6</v>
      </c>
      <c r="AB23" s="14" t="n">
        <v>75.5</v>
      </c>
    </row>
    <row r="24" customFormat="false" ht="12.8" hidden="false" customHeight="false" outlineLevel="0" collapsed="false">
      <c r="A24" s="1" t="s">
        <v>79</v>
      </c>
      <c r="B24" s="16" t="n">
        <f aca="false">$B$22 + $B$10</f>
        <v>281</v>
      </c>
      <c r="C24" s="16" t="n">
        <f aca="false">$A$11 + $B$11</f>
        <v>20.2392978723404</v>
      </c>
      <c r="D24" s="16"/>
      <c r="E24" s="16"/>
      <c r="F24" s="16"/>
      <c r="P24" s="12" t="n">
        <v>3</v>
      </c>
      <c r="Q24" s="13" t="s">
        <v>80</v>
      </c>
      <c r="R24" s="13" t="n">
        <v>9.72</v>
      </c>
      <c r="S24" s="19" t="n">
        <v>4.94</v>
      </c>
      <c r="T24" s="19" t="n">
        <v>-0.06</v>
      </c>
      <c r="U24" s="19" t="n">
        <v>0.12</v>
      </c>
      <c r="V24" s="19" t="n">
        <v>4.71</v>
      </c>
      <c r="W24" s="13" t="n">
        <v>0.02</v>
      </c>
      <c r="X24" s="14" t="n">
        <v>55.1</v>
      </c>
      <c r="Y24" s="14" t="n">
        <v>14.7</v>
      </c>
      <c r="Z24" s="14" t="n">
        <v>33.7</v>
      </c>
      <c r="AA24" s="14" t="n">
        <v>10.3</v>
      </c>
      <c r="AB24" s="14" t="n">
        <v>78.2</v>
      </c>
    </row>
    <row r="25" customFormat="false" ht="12.8" hidden="false" customHeight="false" outlineLevel="0" collapsed="false">
      <c r="P25" s="12" t="n">
        <v>3</v>
      </c>
      <c r="Q25" s="13" t="s">
        <v>81</v>
      </c>
      <c r="R25" s="13" t="n">
        <v>9.91</v>
      </c>
      <c r="S25" s="19" t="n">
        <v>4.68</v>
      </c>
      <c r="T25" s="19" t="n">
        <v>0.19</v>
      </c>
      <c r="U25" s="19" t="n">
        <v>0.31</v>
      </c>
      <c r="V25" s="19" t="n">
        <v>4.71</v>
      </c>
      <c r="W25" s="13" t="n">
        <v>0.01</v>
      </c>
      <c r="X25" s="14" t="n">
        <v>50.3</v>
      </c>
      <c r="Y25" s="14" t="n">
        <v>11.8</v>
      </c>
      <c r="Z25" s="14" t="n">
        <v>33.3</v>
      </c>
      <c r="AA25" s="14" t="n">
        <v>10.2</v>
      </c>
      <c r="AB25" s="14" t="n">
        <v>76.2</v>
      </c>
    </row>
    <row r="26" customFormat="false" ht="12.8" hidden="false" customHeight="false" outlineLevel="0" collapsed="false">
      <c r="A26" s="1" t="s">
        <v>82</v>
      </c>
      <c r="B26" s="1" t="n">
        <v>0.95</v>
      </c>
      <c r="P26" s="12" t="n">
        <v>3</v>
      </c>
      <c r="Q26" s="13" t="s">
        <v>83</v>
      </c>
      <c r="R26" s="13" t="n">
        <v>9.81</v>
      </c>
      <c r="S26" s="19" t="n">
        <v>5.04</v>
      </c>
      <c r="T26" s="19" t="n">
        <v>0.04</v>
      </c>
      <c r="U26" s="19" t="n">
        <v>0.04</v>
      </c>
      <c r="V26" s="19" t="n">
        <v>4.71</v>
      </c>
      <c r="W26" s="13" t="n">
        <v>-0.02</v>
      </c>
      <c r="X26" s="14" t="n">
        <v>58.1</v>
      </c>
      <c r="Y26" s="14" t="n">
        <v>15.2</v>
      </c>
      <c r="Z26" s="14" t="n">
        <v>32.8</v>
      </c>
      <c r="AA26" s="14" t="n">
        <v>12.7</v>
      </c>
      <c r="AB26" s="14" t="n">
        <v>76.4</v>
      </c>
    </row>
    <row r="27" customFormat="false" ht="12.8" hidden="false" customHeight="false" outlineLevel="0" collapsed="false">
      <c r="P27" s="12" t="n">
        <v>3</v>
      </c>
      <c r="Q27" s="13" t="s">
        <v>84</v>
      </c>
      <c r="R27" s="13" t="n">
        <v>9.78</v>
      </c>
      <c r="S27" s="19" t="n">
        <v>5.22</v>
      </c>
      <c r="T27" s="19" t="n">
        <v>0.05</v>
      </c>
      <c r="U27" s="19" t="n">
        <v>-0.15</v>
      </c>
      <c r="V27" s="19" t="n">
        <v>4.71</v>
      </c>
      <c r="W27" s="13" t="n">
        <v>-0.02</v>
      </c>
      <c r="X27" s="14" t="n">
        <v>57.8</v>
      </c>
      <c r="Y27" s="14" t="n">
        <v>23.5</v>
      </c>
      <c r="Z27" s="14" t="n">
        <v>35.5</v>
      </c>
      <c r="AA27" s="14" t="n">
        <v>10.7</v>
      </c>
      <c r="AB27" s="14" t="n">
        <v>78.3</v>
      </c>
    </row>
    <row r="28" customFormat="false" ht="15.65" hidden="false" customHeight="false" outlineLevel="0" collapsed="false">
      <c r="B28" s="1" t="s">
        <v>85</v>
      </c>
      <c r="C28" s="1" t="s">
        <v>59</v>
      </c>
      <c r="D28" s="1" t="s">
        <v>119</v>
      </c>
      <c r="E28" s="1" t="s">
        <v>120</v>
      </c>
      <c r="F28" s="1" t="str">
        <f aca="false">_xlfn.CONCAT("Lower " , INT($B$26 * 100) , "%")</f>
        <v>Lower 95%</v>
      </c>
      <c r="G28" s="1" t="str">
        <f aca="false">_xlfn.CONCAT("Upper " , INT($B$26 * 100) , "%")</f>
        <v>Upper 95%</v>
      </c>
      <c r="I28" s="15"/>
      <c r="J28" s="15"/>
      <c r="P28" s="12" t="n">
        <v>3</v>
      </c>
      <c r="Q28" s="13" t="s">
        <v>88</v>
      </c>
      <c r="R28" s="13" t="n">
        <v>10.06</v>
      </c>
      <c r="S28" s="19" t="n">
        <v>5.23</v>
      </c>
      <c r="T28" s="19" t="n">
        <v>0.06</v>
      </c>
      <c r="U28" s="19" t="n">
        <v>0.05</v>
      </c>
      <c r="V28" s="19" t="n">
        <v>4.71</v>
      </c>
      <c r="W28" s="13" t="n">
        <v>0.01</v>
      </c>
      <c r="X28" s="14" t="n">
        <v>55.6</v>
      </c>
      <c r="Y28" s="14" t="n">
        <v>15.6</v>
      </c>
      <c r="Z28" s="14" t="n">
        <v>34.3</v>
      </c>
      <c r="AA28" s="14" t="n">
        <v>10.7</v>
      </c>
      <c r="AB28" s="14" t="n">
        <v>74</v>
      </c>
    </row>
    <row r="29" customFormat="false" ht="12.8" hidden="false" customHeight="false" outlineLevel="0" collapsed="false">
      <c r="A29" s="1" t="str">
        <f aca="false">"切片"</f>
        <v>切片</v>
      </c>
      <c r="B29" s="16" t="n">
        <f aca="false" t="array" ref="B29:B39">INDEX($A$7:$K$7, 1 , ROW($B$39)+1 - ROW())</f>
        <v>0.517786306209894</v>
      </c>
      <c r="C29" s="16" t="n">
        <f aca="false" t="array" ref="C29:C39">INDEX($A$8:$K$8, 1 , ROW($C$39)+1 - ROW())</f>
        <v>0.322550651012298</v>
      </c>
      <c r="D29" s="16" t="n">
        <f aca="false" t="array" ref="D29:D39">$B$29:$B$39 / $C$29:$C$39</f>
        <v>1.60528681180728</v>
      </c>
      <c r="E29" s="16" t="n">
        <f aca="false" t="array" ref="E29:E39">TDIST(ABS($D$29:$D$39) , $B$10 , 2 )</f>
        <v>0.10959533871864</v>
      </c>
      <c r="F29" s="16" t="n">
        <f aca="false" t="array" ref="F29:F39">$B$29:$B$39 - $C$29:$C$39 * TINV(1 - $B$26 , $B$10)</f>
        <v>-0.117237324498369</v>
      </c>
      <c r="G29" s="16" t="n">
        <f aca="false" t="array" ref="G29:G39">$B$29:$B$39 + $C$29:$C$39 * TINV(1 - $B$26 , $B$10)</f>
        <v>1.15280993691816</v>
      </c>
      <c r="P29" s="12" t="n">
        <v>3</v>
      </c>
      <c r="Q29" s="13" t="s">
        <v>89</v>
      </c>
      <c r="R29" s="13" t="n">
        <v>10.29</v>
      </c>
      <c r="S29" s="19" t="n">
        <v>5.22</v>
      </c>
      <c r="T29" s="19" t="n">
        <v>0.17</v>
      </c>
      <c r="U29" s="19" t="n">
        <v>0.16</v>
      </c>
      <c r="V29" s="19" t="n">
        <v>4.71</v>
      </c>
      <c r="W29" s="13" t="n">
        <v>0.02</v>
      </c>
      <c r="X29" s="14" t="n">
        <v>45.2</v>
      </c>
      <c r="Y29" s="14" t="n">
        <v>12.5</v>
      </c>
      <c r="Z29" s="14" t="n">
        <v>33.5</v>
      </c>
      <c r="AA29" s="14" t="n">
        <v>10.9</v>
      </c>
      <c r="AB29" s="14" t="n">
        <v>74.3</v>
      </c>
    </row>
    <row r="30" customFormat="false" ht="12.8" hidden="false" customHeight="false" outlineLevel="0" collapsed="false">
      <c r="A30" s="1" t="str">
        <f aca="false">"X1"</f>
        <v>X1</v>
      </c>
      <c r="B30" s="16" t="n">
        <v>1.0055835389341</v>
      </c>
      <c r="C30" s="16" t="n">
        <v>0.00876412525327384</v>
      </c>
      <c r="D30" s="16" t="n">
        <v>114.738608802796</v>
      </c>
      <c r="E30" s="16" t="n">
        <v>9.47168842197458E-232</v>
      </c>
      <c r="F30" s="16" t="n">
        <v>0.988329112006576</v>
      </c>
      <c r="G30" s="16" t="n">
        <v>1.02283796586162</v>
      </c>
      <c r="P30" s="12" t="n">
        <v>3</v>
      </c>
      <c r="Q30" s="13" t="s">
        <v>90</v>
      </c>
      <c r="R30" s="13" t="n">
        <v>10.24</v>
      </c>
      <c r="S30" s="19" t="n">
        <v>5.47</v>
      </c>
      <c r="T30" s="19" t="n">
        <v>0.03</v>
      </c>
      <c r="U30" s="19" t="n">
        <v>-0.01</v>
      </c>
      <c r="V30" s="19" t="n">
        <v>4.71</v>
      </c>
      <c r="W30" s="13" t="n">
        <v>0.04</v>
      </c>
      <c r="X30" s="14" t="n">
        <v>50.9</v>
      </c>
      <c r="Y30" s="14" t="n">
        <v>14.3</v>
      </c>
      <c r="Z30" s="14" t="n">
        <v>33.2</v>
      </c>
      <c r="AA30" s="14" t="n">
        <v>10.9</v>
      </c>
      <c r="AB30" s="14" t="n">
        <v>76.9</v>
      </c>
    </row>
    <row r="31" customFormat="false" ht="12.8" hidden="false" customHeight="false" outlineLevel="0" collapsed="false">
      <c r="A31" s="1" t="str">
        <f aca="false">"X2"</f>
        <v>X2</v>
      </c>
      <c r="B31" s="16" t="n">
        <v>1.01724439132242</v>
      </c>
      <c r="C31" s="16" t="n">
        <v>0.0174536593531076</v>
      </c>
      <c r="D31" s="16" t="n">
        <v>58.2825853732104</v>
      </c>
      <c r="E31" s="16" t="n">
        <v>2.46042768185125E-155</v>
      </c>
      <c r="F31" s="16" t="n">
        <v>0.982882389271674</v>
      </c>
      <c r="G31" s="16" t="n">
        <v>1.05160639337318</v>
      </c>
      <c r="P31" s="12" t="n">
        <v>3</v>
      </c>
      <c r="Q31" s="13" t="s">
        <v>91</v>
      </c>
      <c r="R31" s="13" t="n">
        <v>10</v>
      </c>
      <c r="S31" s="19" t="n">
        <v>5.81</v>
      </c>
      <c r="T31" s="19" t="n">
        <v>-0.03</v>
      </c>
      <c r="U31" s="19" t="n">
        <v>-0.44</v>
      </c>
      <c r="V31" s="19" t="n">
        <v>4.71</v>
      </c>
      <c r="W31" s="13" t="n">
        <v>-0.03</v>
      </c>
      <c r="X31" s="14" t="n">
        <v>49.6</v>
      </c>
      <c r="Y31" s="14" t="n">
        <v>23.5</v>
      </c>
      <c r="Z31" s="14" t="n">
        <v>35.4</v>
      </c>
      <c r="AA31" s="14" t="n">
        <v>10.8</v>
      </c>
      <c r="AB31" s="14" t="n">
        <v>71.7</v>
      </c>
    </row>
    <row r="32" customFormat="false" ht="12.8" hidden="false" customHeight="false" outlineLevel="0" collapsed="false">
      <c r="A32" s="1" t="str">
        <f aca="false">"X3"</f>
        <v>X3</v>
      </c>
      <c r="B32" s="16" t="n">
        <v>1.01489378678002</v>
      </c>
      <c r="C32" s="16" t="n">
        <v>0.012126855600384</v>
      </c>
      <c r="D32" s="16" t="n">
        <v>83.6897725365738</v>
      </c>
      <c r="E32" s="16" t="n">
        <v>1.20887714802305E-195</v>
      </c>
      <c r="F32" s="16" t="n">
        <v>0.991018963249937</v>
      </c>
      <c r="G32" s="16" t="n">
        <v>1.0387686103101</v>
      </c>
      <c r="P32" s="12" t="n">
        <v>3</v>
      </c>
      <c r="Q32" s="13" t="s">
        <v>92</v>
      </c>
      <c r="R32" s="13" t="n">
        <v>10.11</v>
      </c>
      <c r="S32" s="19" t="n">
        <v>5.96</v>
      </c>
      <c r="T32" s="19" t="n">
        <v>-0.01</v>
      </c>
      <c r="U32" s="19" t="n">
        <v>-0.52</v>
      </c>
      <c r="V32" s="19" t="n">
        <v>4.71</v>
      </c>
      <c r="W32" s="13" t="n">
        <v>-0.01</v>
      </c>
      <c r="X32" s="14" t="n">
        <v>49.4</v>
      </c>
      <c r="Y32" s="14" t="n">
        <v>19.6</v>
      </c>
      <c r="Z32" s="14" t="n">
        <v>34</v>
      </c>
      <c r="AA32" s="14" t="n">
        <v>12.5</v>
      </c>
      <c r="AB32" s="14" t="n">
        <v>72.7</v>
      </c>
    </row>
    <row r="33" customFormat="false" ht="12.8" hidden="false" customHeight="false" outlineLevel="0" collapsed="false">
      <c r="A33" s="1" t="str">
        <f aca="false">"X4"</f>
        <v>X4</v>
      </c>
      <c r="B33" s="16" t="n">
        <v>0.971353848770884</v>
      </c>
      <c r="C33" s="16" t="n">
        <v>0.0624917478197964</v>
      </c>
      <c r="D33" s="16" t="n">
        <v>15.5437138927834</v>
      </c>
      <c r="E33" s="16" t="n">
        <v>2.17849072931595E-039</v>
      </c>
      <c r="F33" s="16" t="n">
        <v>0.848322825688809</v>
      </c>
      <c r="G33" s="16" t="n">
        <v>1.09438487185296</v>
      </c>
      <c r="P33" s="12" t="n">
        <v>3</v>
      </c>
      <c r="Q33" s="13" t="s">
        <v>93</v>
      </c>
      <c r="R33" s="13" t="n">
        <v>9.97</v>
      </c>
      <c r="S33" s="19" t="n">
        <v>6.14</v>
      </c>
      <c r="T33" s="19" t="n">
        <v>-0.16</v>
      </c>
      <c r="U33" s="19" t="n">
        <v>-0.72</v>
      </c>
      <c r="V33" s="19" t="n">
        <v>4.71</v>
      </c>
      <c r="W33" s="13" t="n">
        <v>-0.01</v>
      </c>
      <c r="X33" s="14" t="n">
        <v>53.1</v>
      </c>
      <c r="Y33" s="14" t="n">
        <v>16.1</v>
      </c>
      <c r="Z33" s="14" t="n">
        <v>32.8</v>
      </c>
      <c r="AA33" s="14" t="n">
        <v>10.4</v>
      </c>
      <c r="AB33" s="14" t="n">
        <v>79.1</v>
      </c>
    </row>
    <row r="34" customFormat="false" ht="12.8" hidden="false" customHeight="false" outlineLevel="0" collapsed="false">
      <c r="A34" s="1" t="str">
        <f aca="false">"X5"</f>
        <v>X5</v>
      </c>
      <c r="B34" s="16" t="n">
        <v>0.967186054814538</v>
      </c>
      <c r="C34" s="16" t="n">
        <v>0.0326627389922893</v>
      </c>
      <c r="D34" s="16" t="n">
        <v>29.6112966840553</v>
      </c>
      <c r="E34" s="16" t="n">
        <v>6.26657807595139E-087</v>
      </c>
      <c r="F34" s="16" t="n">
        <v>0.902881081196708</v>
      </c>
      <c r="G34" s="16" t="n">
        <v>1.03149102843237</v>
      </c>
      <c r="P34" s="12" t="n">
        <v>3</v>
      </c>
      <c r="Q34" s="13" t="s">
        <v>94</v>
      </c>
      <c r="R34" s="13" t="n">
        <v>10.03</v>
      </c>
      <c r="S34" s="19" t="n">
        <v>6.3</v>
      </c>
      <c r="T34" s="19" t="n">
        <v>-0.29</v>
      </c>
      <c r="U34" s="19" t="n">
        <v>-0.6</v>
      </c>
      <c r="V34" s="19" t="n">
        <v>4.71</v>
      </c>
      <c r="W34" s="13" t="n">
        <v>-0.02</v>
      </c>
      <c r="X34" s="14" t="n">
        <v>65.3</v>
      </c>
      <c r="Y34" s="14" t="n">
        <v>25.8</v>
      </c>
      <c r="Z34" s="14" t="n">
        <v>34.2</v>
      </c>
      <c r="AA34" s="14" t="n">
        <v>11.2</v>
      </c>
      <c r="AB34" s="14" t="n">
        <v>80.6</v>
      </c>
    </row>
    <row r="35" customFormat="false" ht="12.8" hidden="false" customHeight="false" outlineLevel="0" collapsed="false">
      <c r="A35" s="1" t="str">
        <f aca="false">"X6"</f>
        <v>X6</v>
      </c>
      <c r="B35" s="16" t="n">
        <v>-0.00151851294323151</v>
      </c>
      <c r="C35" s="16" t="n">
        <v>0.000397574089155349</v>
      </c>
      <c r="D35" s="16" t="n">
        <v>-3.81944644948469</v>
      </c>
      <c r="E35" s="16" t="n">
        <v>0.000165862949526596</v>
      </c>
      <c r="F35" s="16" t="n">
        <v>-0.00230123944146863</v>
      </c>
      <c r="G35" s="16" t="n">
        <v>-0.000735786444994386</v>
      </c>
      <c r="P35" s="12" t="n">
        <v>3</v>
      </c>
      <c r="Q35" s="13" t="s">
        <v>95</v>
      </c>
      <c r="R35" s="13" t="n">
        <v>10.18</v>
      </c>
      <c r="S35" s="19" t="n">
        <v>5.64</v>
      </c>
      <c r="T35" s="19" t="n">
        <v>0.06</v>
      </c>
      <c r="U35" s="19" t="n">
        <v>-0.2</v>
      </c>
      <c r="V35" s="19" t="n">
        <v>4.71</v>
      </c>
      <c r="W35" s="13" t="n">
        <v>-0.02</v>
      </c>
      <c r="X35" s="14" t="n">
        <v>56.8</v>
      </c>
      <c r="Y35" s="14" t="n">
        <v>31.6</v>
      </c>
      <c r="Z35" s="14" t="n">
        <v>32.4</v>
      </c>
      <c r="AA35" s="14" t="n">
        <v>11.7</v>
      </c>
      <c r="AB35" s="14" t="n">
        <v>76.2</v>
      </c>
    </row>
    <row r="36" customFormat="false" ht="12.8" hidden="false" customHeight="false" outlineLevel="0" collapsed="false">
      <c r="A36" s="1" t="str">
        <f aca="false">"X7"</f>
        <v>X7</v>
      </c>
      <c r="B36" s="16" t="n">
        <v>-0.000883696465077471</v>
      </c>
      <c r="C36" s="16" t="n">
        <v>0.000391201602289016</v>
      </c>
      <c r="D36" s="16" t="n">
        <v>-2.25892854197618</v>
      </c>
      <c r="E36" s="16" t="n">
        <v>0.0246827433437359</v>
      </c>
      <c r="F36" s="16" t="n">
        <v>-0.00165387708956174</v>
      </c>
      <c r="G36" s="16" t="n">
        <v>-0.000113515840593197</v>
      </c>
      <c r="P36" s="12" t="n">
        <v>3</v>
      </c>
      <c r="Q36" s="13" t="s">
        <v>97</v>
      </c>
      <c r="R36" s="13" t="n">
        <v>10.04</v>
      </c>
      <c r="S36" s="19" t="n">
        <v>5.41</v>
      </c>
      <c r="T36" s="19" t="n">
        <v>0.03</v>
      </c>
      <c r="U36" s="19" t="n">
        <v>-0.12</v>
      </c>
      <c r="V36" s="19" t="n">
        <v>4.71</v>
      </c>
      <c r="W36" s="13" t="n">
        <v>0</v>
      </c>
      <c r="X36" s="14" t="n">
        <v>54.7</v>
      </c>
      <c r="Y36" s="14" t="n">
        <v>19.7</v>
      </c>
      <c r="Z36" s="14" t="n">
        <v>32.9</v>
      </c>
      <c r="AA36" s="14" t="n">
        <v>10.9</v>
      </c>
      <c r="AB36" s="14" t="n">
        <v>75.7</v>
      </c>
    </row>
    <row r="37" customFormat="false" ht="12.8" hidden="false" customHeight="false" outlineLevel="0" collapsed="false">
      <c r="A37" s="1" t="str">
        <f aca="false">"X8"</f>
        <v>X8</v>
      </c>
      <c r="B37" s="16" t="n">
        <v>-0.0093923369610158</v>
      </c>
      <c r="C37" s="16" t="n">
        <v>0.00194163562496018</v>
      </c>
      <c r="D37" s="16" t="n">
        <v>-4.83733242235314</v>
      </c>
      <c r="E37" s="16" t="n">
        <v>2.21018188919563E-006</v>
      </c>
      <c r="F37" s="16" t="n">
        <v>-0.0132149443568003</v>
      </c>
      <c r="G37" s="16" t="n">
        <v>-0.00556972956523128</v>
      </c>
      <c r="L37" s="15"/>
      <c r="P37" s="12" t="n">
        <v>3</v>
      </c>
      <c r="Q37" s="13" t="s">
        <v>98</v>
      </c>
      <c r="R37" s="13" t="n">
        <v>10.22</v>
      </c>
      <c r="S37" s="19" t="n">
        <v>5.87</v>
      </c>
      <c r="T37" s="19" t="n">
        <v>-0.2</v>
      </c>
      <c r="U37" s="19" t="n">
        <v>-0.15</v>
      </c>
      <c r="V37" s="19" t="n">
        <v>4.71</v>
      </c>
      <c r="W37" s="13" t="n">
        <v>-0.01</v>
      </c>
      <c r="X37" s="14" t="n">
        <v>51.2</v>
      </c>
      <c r="Y37" s="14" t="n">
        <v>18.8</v>
      </c>
      <c r="Z37" s="14" t="n">
        <v>33.1</v>
      </c>
      <c r="AA37" s="14" t="n">
        <v>10.4</v>
      </c>
      <c r="AB37" s="14" t="n">
        <v>78.2</v>
      </c>
    </row>
    <row r="38" customFormat="false" ht="12.8" hidden="false" customHeight="false" outlineLevel="0" collapsed="false">
      <c r="A38" s="1" t="str">
        <f aca="false">"X9"</f>
        <v>X9</v>
      </c>
      <c r="B38" s="16" t="n">
        <v>0.000249807056708682</v>
      </c>
      <c r="C38" s="16" t="n">
        <v>0.000288099894028426</v>
      </c>
      <c r="D38" s="16" t="n">
        <v>0.867084861489169</v>
      </c>
      <c r="E38" s="16" t="n">
        <v>0.386662604558832</v>
      </c>
      <c r="F38" s="16" t="n">
        <v>-0.000317391428671592</v>
      </c>
      <c r="G38" s="16" t="n">
        <v>0.000817005542088956</v>
      </c>
      <c r="P38" s="12" t="n">
        <v>3</v>
      </c>
      <c r="Q38" s="13" t="s">
        <v>99</v>
      </c>
      <c r="R38" s="13" t="n">
        <v>10.29</v>
      </c>
      <c r="S38" s="19" t="n">
        <v>6.14</v>
      </c>
      <c r="T38" s="19" t="n">
        <v>-0.11</v>
      </c>
      <c r="U38" s="19" t="n">
        <v>-0.43</v>
      </c>
      <c r="V38" s="19" t="n">
        <v>4.71</v>
      </c>
      <c r="W38" s="13" t="n">
        <v>-0.03</v>
      </c>
      <c r="X38" s="14" t="n">
        <v>54.7</v>
      </c>
      <c r="Y38" s="14" t="n">
        <v>24.2</v>
      </c>
      <c r="Z38" s="14" t="n">
        <v>34</v>
      </c>
      <c r="AA38" s="14" t="n">
        <v>10.4</v>
      </c>
      <c r="AB38" s="14" t="n">
        <v>68</v>
      </c>
    </row>
    <row r="39" customFormat="false" ht="12.8" hidden="false" customHeight="false" outlineLevel="0" collapsed="false">
      <c r="A39" s="1" t="str">
        <f aca="false">"X10"</f>
        <v>X10</v>
      </c>
      <c r="B39" s="16" t="n">
        <v>-6.12213232256702E-005</v>
      </c>
      <c r="C39" s="16" t="n">
        <v>0.000156583585274317</v>
      </c>
      <c r="D39" s="16" t="n">
        <v>-0.39098174382977</v>
      </c>
      <c r="E39" s="16" t="n">
        <v>0.696117932244332</v>
      </c>
      <c r="F39" s="16" t="n">
        <v>-0.000369496245375564</v>
      </c>
      <c r="G39" s="16" t="n">
        <v>0.000247053598924224</v>
      </c>
      <c r="P39" s="12" t="n">
        <v>3</v>
      </c>
      <c r="Q39" s="13" t="s">
        <v>100</v>
      </c>
      <c r="R39" s="13" t="n">
        <v>10.28</v>
      </c>
      <c r="S39" s="19" t="n">
        <v>6.02</v>
      </c>
      <c r="T39" s="19" t="n">
        <v>-0.07</v>
      </c>
      <c r="U39" s="19" t="n">
        <v>-0.33</v>
      </c>
      <c r="V39" s="19" t="n">
        <v>4.71</v>
      </c>
      <c r="W39" s="13" t="n">
        <v>-0.05</v>
      </c>
      <c r="X39" s="14" t="n">
        <v>52.3</v>
      </c>
      <c r="Y39" s="14" t="n">
        <v>36.1</v>
      </c>
      <c r="Z39" s="14" t="n">
        <v>32.5</v>
      </c>
      <c r="AA39" s="14" t="n">
        <v>11.6</v>
      </c>
      <c r="AB39" s="14" t="n">
        <v>73.8</v>
      </c>
    </row>
    <row r="40" customFormat="false" ht="12.8" hidden="false" customHeight="false" outlineLevel="0" collapsed="false">
      <c r="P40" s="12" t="n">
        <v>3</v>
      </c>
      <c r="Q40" s="13" t="s">
        <v>101</v>
      </c>
      <c r="R40" s="13" t="n">
        <v>10.22</v>
      </c>
      <c r="S40" s="19" t="n">
        <v>5.93</v>
      </c>
      <c r="T40" s="19" t="n">
        <v>0.03</v>
      </c>
      <c r="U40" s="19" t="n">
        <v>-0.51</v>
      </c>
      <c r="V40" s="19" t="n">
        <v>4.71</v>
      </c>
      <c r="W40" s="13" t="n">
        <v>0.06</v>
      </c>
      <c r="X40" s="14" t="n">
        <v>58.3</v>
      </c>
      <c r="Y40" s="14" t="n">
        <v>22.1</v>
      </c>
      <c r="Z40" s="14" t="n">
        <v>32.2</v>
      </c>
      <c r="AA40" s="14" t="n">
        <v>10.6</v>
      </c>
      <c r="AB40" s="14" t="n">
        <v>74.1</v>
      </c>
    </row>
    <row r="41" customFormat="false" ht="12.8" hidden="false" customHeight="false" outlineLevel="0" collapsed="false">
      <c r="A41" s="1" t="str">
        <f aca="false">"X1"</f>
        <v>X1</v>
      </c>
      <c r="B41" s="1" t="str">
        <f aca="false">"X2"</f>
        <v>X2</v>
      </c>
      <c r="C41" s="1" t="str">
        <f aca="false">"X3"</f>
        <v>X3</v>
      </c>
      <c r="D41" s="1" t="str">
        <f aca="false">"X4"</f>
        <v>X4</v>
      </c>
      <c r="E41" s="1" t="str">
        <f aca="false">"X5"</f>
        <v>X5</v>
      </c>
      <c r="F41" s="1" t="str">
        <f aca="false">"X6"</f>
        <v>X6</v>
      </c>
      <c r="G41" s="1" t="str">
        <f aca="false">"X7"</f>
        <v>X7</v>
      </c>
      <c r="H41" s="1" t="str">
        <f aca="false">"X8"</f>
        <v>X8</v>
      </c>
      <c r="I41" s="1" t="str">
        <f aca="false">"X9"</f>
        <v>X9</v>
      </c>
      <c r="J41" s="1" t="str">
        <f aca="false">"X10"</f>
        <v>X10</v>
      </c>
      <c r="K41" s="1" t="s">
        <v>96</v>
      </c>
      <c r="L41" s="1" t="str">
        <f aca="false">"Y"</f>
        <v>Y</v>
      </c>
      <c r="M41" s="1" t="s">
        <v>77</v>
      </c>
      <c r="P41" s="12" t="n">
        <v>3</v>
      </c>
      <c r="Q41" s="13" t="s">
        <v>102</v>
      </c>
      <c r="R41" s="13" t="n">
        <v>10.17</v>
      </c>
      <c r="S41" s="19" t="n">
        <v>6.1</v>
      </c>
      <c r="T41" s="19" t="n">
        <v>-0.14</v>
      </c>
      <c r="U41" s="19" t="n">
        <v>-0.46</v>
      </c>
      <c r="V41" s="19" t="n">
        <v>4.71</v>
      </c>
      <c r="W41" s="13" t="n">
        <v>-0.04</v>
      </c>
      <c r="X41" s="14" t="n">
        <v>61.2</v>
      </c>
      <c r="Y41" s="14" t="n">
        <v>17.7</v>
      </c>
      <c r="Z41" s="14" t="n">
        <v>30.6</v>
      </c>
      <c r="AA41" s="14" t="n">
        <v>9.4</v>
      </c>
      <c r="AB41" s="14" t="n">
        <v>71.7</v>
      </c>
    </row>
    <row r="42" customFormat="false" ht="12.8" hidden="false" customHeight="false" outlineLevel="0" collapsed="false">
      <c r="A42" s="1" t="n">
        <f aca="false" t="array" ref="A42:J323">$S$3:$AB$284</f>
        <v>6.33</v>
      </c>
      <c r="B42" s="1" t="n">
        <v>-0.29</v>
      </c>
      <c r="C42" s="1" t="n">
        <v>-0.32</v>
      </c>
      <c r="D42" s="1" t="n">
        <v>4.71</v>
      </c>
      <c r="E42" s="1" t="n">
        <v>0.02</v>
      </c>
      <c r="F42" s="1" t="n">
        <v>48</v>
      </c>
      <c r="G42" s="1" t="n">
        <v>9.9</v>
      </c>
      <c r="H42" s="1" t="n">
        <v>32.5</v>
      </c>
      <c r="I42" s="1" t="n">
        <v>10.6</v>
      </c>
      <c r="J42" s="1" t="n">
        <v>79.6</v>
      </c>
      <c r="K42" s="22" t="n">
        <f aca="false" t="array" ref="K42:K323">MMULT($A$42:$J$323 , $B$30:$B$39) + $B$29</f>
        <v>10.4686701411767</v>
      </c>
      <c r="L42" s="1" t="n">
        <f aca="false" t="array" ref="L42:L323">$R$3:$R$284</f>
        <v>10.45</v>
      </c>
      <c r="M42" s="23" t="n">
        <f aca="false" t="array" ref="M42:M323">$L$42:$L$323 - $K$42:$K$323</f>
        <v>-0.0186701411767256</v>
      </c>
      <c r="P42" s="12" t="n">
        <v>3</v>
      </c>
      <c r="Q42" s="13" t="s">
        <v>103</v>
      </c>
      <c r="R42" s="13" t="n">
        <v>10.22</v>
      </c>
      <c r="S42" s="19" t="n">
        <v>5.84</v>
      </c>
      <c r="T42" s="19" t="n">
        <v>0.02</v>
      </c>
      <c r="U42" s="19" t="n">
        <v>-0.3</v>
      </c>
      <c r="V42" s="19" t="n">
        <v>4.71</v>
      </c>
      <c r="W42" s="13" t="n">
        <v>-0.04</v>
      </c>
      <c r="X42" s="14" t="n">
        <v>51.5</v>
      </c>
      <c r="Y42" s="14" t="n">
        <v>17.3</v>
      </c>
      <c r="Z42" s="14" t="n">
        <v>33</v>
      </c>
      <c r="AA42" s="14" t="n">
        <v>13.5</v>
      </c>
      <c r="AB42" s="14" t="n">
        <v>78.6</v>
      </c>
    </row>
    <row r="43" customFormat="false" ht="12.8" hidden="false" customHeight="false" outlineLevel="0" collapsed="false">
      <c r="A43" s="1" t="n">
        <v>6.36</v>
      </c>
      <c r="B43" s="1" t="n">
        <v>-0.25</v>
      </c>
      <c r="C43" s="1" t="n">
        <v>-0.88</v>
      </c>
      <c r="D43" s="1" t="n">
        <v>4.71</v>
      </c>
      <c r="E43" s="1" t="n">
        <v>0.02</v>
      </c>
      <c r="F43" s="1" t="n">
        <v>55.1</v>
      </c>
      <c r="G43" s="1" t="n">
        <v>17.8</v>
      </c>
      <c r="H43" s="1" t="n">
        <v>32.3</v>
      </c>
      <c r="I43" s="1" t="n">
        <v>10.6</v>
      </c>
      <c r="J43" s="1" t="n">
        <v>80.3</v>
      </c>
      <c r="K43" s="22" t="n">
        <v>9.95525987089573</v>
      </c>
      <c r="L43" s="1" t="n">
        <v>9.96</v>
      </c>
      <c r="M43" s="23" t="n">
        <v>0.00474012910427568</v>
      </c>
      <c r="P43" s="12" t="n">
        <v>3</v>
      </c>
      <c r="Q43" s="13" t="s">
        <v>104</v>
      </c>
      <c r="R43" s="13" t="n">
        <v>10.68</v>
      </c>
      <c r="S43" s="19" t="n">
        <v>7.05</v>
      </c>
      <c r="T43" s="19" t="n">
        <v>-0.19</v>
      </c>
      <c r="U43" s="19" t="n">
        <v>-0.79</v>
      </c>
      <c r="V43" s="19" t="n">
        <v>4.71</v>
      </c>
      <c r="W43" s="13" t="n">
        <v>-0.07</v>
      </c>
      <c r="X43" s="14" t="n">
        <v>53.4</v>
      </c>
      <c r="Y43" s="14" t="n">
        <v>19.9</v>
      </c>
      <c r="Z43" s="14" t="n">
        <v>35.3</v>
      </c>
      <c r="AA43" s="14" t="n">
        <v>13.2</v>
      </c>
      <c r="AB43" s="14" t="n">
        <v>80.4</v>
      </c>
    </row>
    <row r="44" customFormat="false" ht="12.8" hidden="false" customHeight="false" outlineLevel="0" collapsed="false">
      <c r="A44" s="1" t="n">
        <v>5.95</v>
      </c>
      <c r="B44" s="1" t="n">
        <v>-0.29</v>
      </c>
      <c r="C44" s="1" t="n">
        <v>-0.62</v>
      </c>
      <c r="D44" s="1" t="n">
        <v>4.71</v>
      </c>
      <c r="E44" s="1" t="n">
        <v>-0.01</v>
      </c>
      <c r="F44" s="1" t="n">
        <v>57.9</v>
      </c>
      <c r="G44" s="1" t="n">
        <v>14.6</v>
      </c>
      <c r="H44" s="1" t="n">
        <v>32.3</v>
      </c>
      <c r="I44" s="1" t="n">
        <v>11.8</v>
      </c>
      <c r="J44" s="1" t="n">
        <v>83.2</v>
      </c>
      <c r="K44" s="22" t="n">
        <v>9.73583586627611</v>
      </c>
      <c r="L44" s="1" t="n">
        <v>9.74</v>
      </c>
      <c r="M44" s="23" t="n">
        <v>0.00416413372388647</v>
      </c>
      <c r="P44" s="12" t="n">
        <v>3</v>
      </c>
      <c r="Q44" s="13" t="s">
        <v>105</v>
      </c>
      <c r="R44" s="13" t="n">
        <v>10.26</v>
      </c>
      <c r="S44" s="19" t="n">
        <v>6.58</v>
      </c>
      <c r="T44" s="19" t="n">
        <v>-0.2</v>
      </c>
      <c r="U44" s="19" t="n">
        <v>-0.79</v>
      </c>
      <c r="V44" s="19" t="n">
        <v>4.71</v>
      </c>
      <c r="W44" s="13" t="n">
        <v>-0.01</v>
      </c>
      <c r="X44" s="14" t="n">
        <v>55.3</v>
      </c>
      <c r="Y44" s="14" t="n">
        <v>22.5</v>
      </c>
      <c r="Z44" s="14" t="n">
        <v>33.3</v>
      </c>
      <c r="AA44" s="14" t="n">
        <v>10.7</v>
      </c>
      <c r="AB44" s="14" t="n">
        <v>79.7</v>
      </c>
    </row>
    <row r="45" customFormat="false" ht="12.8" hidden="false" customHeight="false" outlineLevel="0" collapsed="false">
      <c r="A45" s="1" t="n">
        <v>5.83</v>
      </c>
      <c r="B45" s="1" t="n">
        <v>-0.16</v>
      </c>
      <c r="C45" s="1" t="n">
        <v>-0.34</v>
      </c>
      <c r="D45" s="1" t="n">
        <v>4.71</v>
      </c>
      <c r="E45" s="1" t="n">
        <v>-0.02</v>
      </c>
      <c r="F45" s="1" t="n">
        <v>60</v>
      </c>
      <c r="G45" s="1" t="n">
        <v>27.4</v>
      </c>
      <c r="H45" s="1" t="n">
        <v>32.7</v>
      </c>
      <c r="I45" s="1" t="n">
        <v>9.9</v>
      </c>
      <c r="J45" s="1" t="n">
        <v>81.1</v>
      </c>
      <c r="K45" s="22" t="n">
        <v>10.003302816879</v>
      </c>
      <c r="L45" s="1" t="n">
        <v>10.01</v>
      </c>
      <c r="M45" s="23" t="n">
        <v>0.00669718312096101</v>
      </c>
      <c r="P45" s="12" t="n">
        <v>3</v>
      </c>
      <c r="Q45" s="13" t="s">
        <v>106</v>
      </c>
      <c r="R45" s="13" t="n">
        <v>10.29</v>
      </c>
      <c r="S45" s="19" t="n">
        <v>6.33</v>
      </c>
      <c r="T45" s="19" t="n">
        <v>-0.07</v>
      </c>
      <c r="U45" s="19" t="n">
        <v>-0.66</v>
      </c>
      <c r="V45" s="19" t="n">
        <v>4.71</v>
      </c>
      <c r="W45" s="13" t="n">
        <v>0.03</v>
      </c>
      <c r="X45" s="14" t="n">
        <v>58.5</v>
      </c>
      <c r="Y45" s="14" t="n">
        <v>30.1</v>
      </c>
      <c r="Z45" s="14" t="n">
        <v>33.2</v>
      </c>
      <c r="AA45" s="14" t="n">
        <v>11.1</v>
      </c>
      <c r="AB45" s="14" t="n">
        <v>79.6</v>
      </c>
    </row>
    <row r="46" customFormat="false" ht="12.8" hidden="false" customHeight="false" outlineLevel="0" collapsed="false">
      <c r="A46" s="1" t="n">
        <v>6.92</v>
      </c>
      <c r="B46" s="1" t="n">
        <v>-0.57</v>
      </c>
      <c r="C46" s="1" t="n">
        <v>-0.87</v>
      </c>
      <c r="D46" s="1" t="n">
        <v>4.71</v>
      </c>
      <c r="E46" s="1" t="n">
        <v>-0.02</v>
      </c>
      <c r="F46" s="1" t="n">
        <v>53.8</v>
      </c>
      <c r="G46" s="1" t="n">
        <v>28.7</v>
      </c>
      <c r="H46" s="1" t="n">
        <v>32.3</v>
      </c>
      <c r="I46" s="1" t="n">
        <v>9.2</v>
      </c>
      <c r="J46" s="1" t="n">
        <v>79.3</v>
      </c>
      <c r="K46" s="22" t="n">
        <v>10.1563832099516</v>
      </c>
      <c r="L46" s="1" t="n">
        <v>10.16</v>
      </c>
      <c r="M46" s="23" t="n">
        <v>0.00361679004844717</v>
      </c>
      <c r="P46" s="12" t="n">
        <v>3</v>
      </c>
      <c r="Q46" s="13" t="s">
        <v>107</v>
      </c>
      <c r="R46" s="13" t="n">
        <v>10.3</v>
      </c>
      <c r="S46" s="19" t="n">
        <v>6.41</v>
      </c>
      <c r="T46" s="19" t="n">
        <v>-0.19</v>
      </c>
      <c r="U46" s="19" t="n">
        <v>-0.64</v>
      </c>
      <c r="V46" s="19" t="n">
        <v>4.71</v>
      </c>
      <c r="W46" s="13" t="n">
        <v>0.02</v>
      </c>
      <c r="X46" s="14" t="n">
        <v>63.8</v>
      </c>
      <c r="Y46" s="14" t="n">
        <v>26.5</v>
      </c>
      <c r="Z46" s="14" t="n">
        <v>33.7</v>
      </c>
      <c r="AA46" s="14" t="n">
        <v>8.5</v>
      </c>
      <c r="AB46" s="14" t="n">
        <v>76.9</v>
      </c>
    </row>
    <row r="47" customFormat="false" ht="12.8" hidden="false" customHeight="false" outlineLevel="0" collapsed="false">
      <c r="A47" s="1" t="n">
        <v>6.09</v>
      </c>
      <c r="B47" s="1" t="n">
        <v>-0.25</v>
      </c>
      <c r="C47" s="1" t="n">
        <v>-0.5</v>
      </c>
      <c r="D47" s="1" t="n">
        <v>4.71</v>
      </c>
      <c r="E47" s="1" t="n">
        <v>0.04</v>
      </c>
      <c r="F47" s="1" t="n">
        <v>73.8</v>
      </c>
      <c r="G47" s="1" t="n">
        <v>24</v>
      </c>
      <c r="H47" s="1" t="n">
        <v>33.6</v>
      </c>
      <c r="I47" s="1" t="n">
        <v>11.5</v>
      </c>
      <c r="J47" s="1" t="n">
        <v>81.2</v>
      </c>
      <c r="K47" s="22" t="n">
        <v>10.0428402544451</v>
      </c>
      <c r="L47" s="1" t="n">
        <v>10.03</v>
      </c>
      <c r="M47" s="23" t="n">
        <v>-0.0128402544451216</v>
      </c>
      <c r="P47" s="12" t="n">
        <v>3</v>
      </c>
      <c r="Q47" s="13" t="s">
        <v>108</v>
      </c>
      <c r="R47" s="13" t="n">
        <v>9.83</v>
      </c>
      <c r="S47" s="19" t="n">
        <v>6.14</v>
      </c>
      <c r="T47" s="19" t="n">
        <v>-0.08</v>
      </c>
      <c r="U47" s="19" t="n">
        <v>-0.85</v>
      </c>
      <c r="V47" s="19" t="n">
        <v>4.71</v>
      </c>
      <c r="W47" s="13" t="n">
        <v>-0.07</v>
      </c>
      <c r="X47" s="14" t="n">
        <v>51.9</v>
      </c>
      <c r="Y47" s="14" t="n">
        <v>21.7</v>
      </c>
      <c r="Z47" s="14" t="n">
        <v>34.2</v>
      </c>
      <c r="AA47" s="14" t="n">
        <v>11.3</v>
      </c>
      <c r="AB47" s="14" t="n">
        <v>80.5</v>
      </c>
    </row>
    <row r="48" customFormat="false" ht="12.8" hidden="false" customHeight="false" outlineLevel="0" collapsed="false">
      <c r="A48" s="1" t="n">
        <v>5.37</v>
      </c>
      <c r="B48" s="1" t="n">
        <v>-0.14</v>
      </c>
      <c r="C48" s="1" t="n">
        <v>-0.28</v>
      </c>
      <c r="D48" s="1" t="n">
        <v>4.71</v>
      </c>
      <c r="E48" s="1" t="n">
        <v>0</v>
      </c>
      <c r="F48" s="1" t="n">
        <v>55</v>
      </c>
      <c r="G48" s="1" t="n">
        <v>23.9</v>
      </c>
      <c r="H48" s="1" t="n">
        <v>33.9</v>
      </c>
      <c r="I48" s="1" t="n">
        <v>10.6</v>
      </c>
      <c r="J48" s="1" t="n">
        <v>79.5</v>
      </c>
      <c r="K48" s="22" t="n">
        <v>9.64100414214646</v>
      </c>
      <c r="L48" s="1" t="n">
        <v>9.64</v>
      </c>
      <c r="M48" s="23" t="n">
        <v>-0.00100414214646172</v>
      </c>
      <c r="P48" s="12" t="n">
        <v>3</v>
      </c>
      <c r="Q48" s="13" t="s">
        <v>109</v>
      </c>
      <c r="R48" s="13" t="n">
        <v>10.36</v>
      </c>
      <c r="S48" s="19" t="n">
        <v>6.53</v>
      </c>
      <c r="T48" s="19" t="n">
        <v>-0.05</v>
      </c>
      <c r="U48" s="19" t="n">
        <v>-0.91</v>
      </c>
      <c r="V48" s="19" t="n">
        <v>4.71</v>
      </c>
      <c r="W48" s="13" t="n">
        <v>0.07</v>
      </c>
      <c r="X48" s="14" t="n">
        <v>50.5</v>
      </c>
      <c r="Y48" s="14" t="n">
        <v>16.9</v>
      </c>
      <c r="Z48" s="14" t="n">
        <v>33.1</v>
      </c>
      <c r="AA48" s="14" t="n">
        <v>10.5</v>
      </c>
      <c r="AB48" s="14" t="n">
        <v>83</v>
      </c>
    </row>
    <row r="49" customFormat="false" ht="12.8" hidden="false" customHeight="false" outlineLevel="0" collapsed="false">
      <c r="A49" s="1" t="n">
        <v>5.04</v>
      </c>
      <c r="B49" s="1" t="n">
        <v>-0.02</v>
      </c>
      <c r="C49" s="1" t="n">
        <v>0.04</v>
      </c>
      <c r="D49" s="1" t="n">
        <v>4.71</v>
      </c>
      <c r="E49" s="1" t="n">
        <v>-0.03</v>
      </c>
      <c r="F49" s="1" t="n">
        <v>52.8</v>
      </c>
      <c r="G49" s="1" t="n">
        <v>20.2</v>
      </c>
      <c r="H49" s="1" t="n">
        <v>32.4</v>
      </c>
      <c r="I49" s="1" t="n">
        <v>11.4</v>
      </c>
      <c r="J49" s="1" t="n">
        <v>76.6</v>
      </c>
      <c r="K49" s="22" t="n">
        <v>9.74805762970221</v>
      </c>
      <c r="L49" s="1" t="n">
        <v>9.74</v>
      </c>
      <c r="M49" s="23" t="n">
        <v>-0.00805762970221124</v>
      </c>
      <c r="P49" s="12" t="n">
        <v>3</v>
      </c>
      <c r="Q49" s="13" t="s">
        <v>110</v>
      </c>
      <c r="R49" s="13" t="n">
        <v>9.95</v>
      </c>
      <c r="S49" s="19" t="n">
        <v>6.56</v>
      </c>
      <c r="T49" s="19" t="n">
        <v>0.28</v>
      </c>
      <c r="U49" s="19" t="n">
        <v>-1.58</v>
      </c>
      <c r="V49" s="19" t="n">
        <v>4.71</v>
      </c>
      <c r="W49" s="13" t="n">
        <v>0.01</v>
      </c>
      <c r="X49" s="14" t="n">
        <v>55.8</v>
      </c>
      <c r="Y49" s="14" t="n">
        <v>30.8</v>
      </c>
      <c r="Z49" s="14" t="n">
        <v>33.2</v>
      </c>
      <c r="AA49" s="14" t="n">
        <v>10.3</v>
      </c>
      <c r="AB49" s="14" t="n">
        <v>87.6</v>
      </c>
    </row>
    <row r="50" customFormat="false" ht="12.8" hidden="false" customHeight="false" outlineLevel="0" collapsed="false">
      <c r="A50" s="1" t="n">
        <v>5.25</v>
      </c>
      <c r="B50" s="1" t="n">
        <v>-0.05</v>
      </c>
      <c r="C50" s="1" t="n">
        <v>-0.03</v>
      </c>
      <c r="D50" s="1" t="n">
        <v>4.71</v>
      </c>
      <c r="E50" s="1" t="n">
        <v>-0.01</v>
      </c>
      <c r="F50" s="1" t="n">
        <v>53.3</v>
      </c>
      <c r="G50" s="1" t="n">
        <v>22.7</v>
      </c>
      <c r="H50" s="1" t="n">
        <v>33.9</v>
      </c>
      <c r="I50" s="1" t="n">
        <v>10</v>
      </c>
      <c r="J50" s="1" t="n">
        <v>76.7</v>
      </c>
      <c r="K50" s="22" t="n">
        <v>9.85960114207284</v>
      </c>
      <c r="L50" s="1" t="n">
        <v>9.87</v>
      </c>
      <c r="M50" s="23" t="n">
        <v>0.010398857927159</v>
      </c>
      <c r="P50" s="12" t="n">
        <v>4</v>
      </c>
      <c r="Q50" s="13" t="s">
        <v>42</v>
      </c>
      <c r="R50" s="13" t="n">
        <v>10.39</v>
      </c>
      <c r="S50" s="13" t="n">
        <v>6.26</v>
      </c>
      <c r="T50" s="13" t="n">
        <v>-0.31</v>
      </c>
      <c r="U50" s="13" t="n">
        <v>-0.26</v>
      </c>
      <c r="V50" s="13" t="n">
        <v>4.71</v>
      </c>
      <c r="W50" s="13" t="n">
        <v>-0.03</v>
      </c>
      <c r="X50" s="13" t="n">
        <v>45</v>
      </c>
      <c r="Y50" s="13" t="n">
        <v>9.8</v>
      </c>
      <c r="Z50" s="13" t="n">
        <v>31.7</v>
      </c>
      <c r="AA50" s="13" t="n">
        <v>9.2</v>
      </c>
      <c r="AB50" s="13" t="n">
        <v>81.5</v>
      </c>
    </row>
    <row r="51" customFormat="false" ht="12.8" hidden="false" customHeight="false" outlineLevel="0" collapsed="false">
      <c r="A51" s="1" t="n">
        <v>5.13</v>
      </c>
      <c r="B51" s="1" t="n">
        <v>-0.02</v>
      </c>
      <c r="C51" s="1" t="n">
        <v>-0.07</v>
      </c>
      <c r="D51" s="1" t="n">
        <v>4.71</v>
      </c>
      <c r="E51" s="1" t="n">
        <v>-0.09</v>
      </c>
      <c r="F51" s="1" t="n">
        <v>51.2</v>
      </c>
      <c r="G51" s="1" t="n">
        <v>13.5</v>
      </c>
      <c r="H51" s="1" t="n">
        <v>33</v>
      </c>
      <c r="I51" s="1" t="n">
        <v>10.3</v>
      </c>
      <c r="J51" s="1" t="n">
        <v>77.8</v>
      </c>
      <c r="K51" s="22" t="n">
        <v>9.67125739986994</v>
      </c>
      <c r="L51" s="1" t="n">
        <v>9.66</v>
      </c>
      <c r="M51" s="23" t="n">
        <v>-0.011257399869935</v>
      </c>
      <c r="P51" s="18" t="n">
        <v>4</v>
      </c>
      <c r="Q51" s="13" t="s">
        <v>45</v>
      </c>
      <c r="R51" s="13" t="n">
        <v>10.03</v>
      </c>
      <c r="S51" s="13" t="n">
        <v>6.37</v>
      </c>
      <c r="T51" s="13" t="n">
        <v>-0.3</v>
      </c>
      <c r="U51" s="13" t="n">
        <v>-0.81</v>
      </c>
      <c r="V51" s="13" t="n">
        <v>4.71</v>
      </c>
      <c r="W51" s="13" t="n">
        <v>0.04</v>
      </c>
      <c r="X51" s="13" t="n">
        <v>55.8</v>
      </c>
      <c r="Y51" s="13" t="n">
        <v>17.6</v>
      </c>
      <c r="Z51" s="13" t="n">
        <v>31.4</v>
      </c>
      <c r="AA51" s="13" t="n">
        <v>9.2</v>
      </c>
      <c r="AB51" s="13" t="n">
        <v>82.1</v>
      </c>
    </row>
    <row r="52" customFormat="false" ht="12.8" hidden="false" customHeight="false" outlineLevel="0" collapsed="false">
      <c r="A52" s="1" t="n">
        <v>4.91</v>
      </c>
      <c r="B52" s="1" t="n">
        <v>-0.01</v>
      </c>
      <c r="C52" s="1" t="n">
        <v>0.17</v>
      </c>
      <c r="D52" s="1" t="n">
        <v>4.71</v>
      </c>
      <c r="E52" s="1" t="n">
        <v>0.01</v>
      </c>
      <c r="F52" s="1" t="n">
        <v>47</v>
      </c>
      <c r="G52" s="1" t="n">
        <v>8.4</v>
      </c>
      <c r="H52" s="1" t="n">
        <v>31.7</v>
      </c>
      <c r="I52" s="1" t="n">
        <v>10.5</v>
      </c>
      <c r="J52" s="1" t="n">
        <v>77.6</v>
      </c>
      <c r="K52" s="22" t="n">
        <v>9.82365142958509</v>
      </c>
      <c r="L52" s="1" t="n">
        <v>9.8</v>
      </c>
      <c r="M52" s="23" t="n">
        <v>-0.0236514295850903</v>
      </c>
      <c r="P52" s="12" t="n">
        <v>4</v>
      </c>
      <c r="Q52" s="13" t="s">
        <v>46</v>
      </c>
      <c r="R52" s="13" t="n">
        <v>9.91</v>
      </c>
      <c r="S52" s="13" t="n">
        <v>6.01</v>
      </c>
      <c r="T52" s="13" t="n">
        <v>-0.32</v>
      </c>
      <c r="U52" s="13" t="n">
        <v>-0.57</v>
      </c>
      <c r="V52" s="13" t="n">
        <v>4.71</v>
      </c>
      <c r="W52" s="13" t="n">
        <v>0.06</v>
      </c>
      <c r="X52" s="13" t="n">
        <v>55.7</v>
      </c>
      <c r="Y52" s="13" t="n">
        <v>14.5</v>
      </c>
      <c r="Z52" s="13" t="n">
        <v>31.4</v>
      </c>
      <c r="AA52" s="13" t="n">
        <v>9</v>
      </c>
      <c r="AB52" s="13" t="n">
        <v>85</v>
      </c>
    </row>
    <row r="53" customFormat="false" ht="12.8" hidden="false" customHeight="false" outlineLevel="0" collapsed="false">
      <c r="A53" s="1" t="n">
        <v>5.03</v>
      </c>
      <c r="B53" s="1" t="n">
        <v>-0.11</v>
      </c>
      <c r="C53" s="1" t="n">
        <v>0.16</v>
      </c>
      <c r="D53" s="1" t="n">
        <v>4.71</v>
      </c>
      <c r="E53" s="1" t="n">
        <v>0</v>
      </c>
      <c r="F53" s="1" t="n">
        <v>43.8</v>
      </c>
      <c r="G53" s="1" t="n">
        <v>12.9</v>
      </c>
      <c r="H53" s="1" t="n">
        <v>32.4</v>
      </c>
      <c r="I53" s="1" t="n">
        <v>10.2</v>
      </c>
      <c r="J53" s="1" t="n">
        <v>78</v>
      </c>
      <c r="K53" s="22" t="n">
        <v>9.81698475751547</v>
      </c>
      <c r="L53" s="1" t="n">
        <v>9.79</v>
      </c>
      <c r="M53" s="23" t="n">
        <v>-0.0269847575154731</v>
      </c>
      <c r="P53" s="18" t="n">
        <v>4</v>
      </c>
      <c r="Q53" s="13" t="s">
        <v>48</v>
      </c>
      <c r="R53" s="13" t="n">
        <v>10.18</v>
      </c>
      <c r="S53" s="13" t="n">
        <v>5.91</v>
      </c>
      <c r="T53" s="13" t="n">
        <v>-0.17</v>
      </c>
      <c r="U53" s="13" t="n">
        <v>-0.32</v>
      </c>
      <c r="V53" s="13" t="n">
        <v>4.71</v>
      </c>
      <c r="W53" s="13" t="n">
        <v>0.07</v>
      </c>
      <c r="X53" s="13" t="n">
        <v>58.5</v>
      </c>
      <c r="Y53" s="13" t="n">
        <v>22.9</v>
      </c>
      <c r="Z53" s="13" t="n">
        <v>31.6</v>
      </c>
      <c r="AA53" s="13" t="n">
        <v>11.6</v>
      </c>
      <c r="AB53" s="13" t="n">
        <v>83.1</v>
      </c>
    </row>
    <row r="54" customFormat="false" ht="12.8" hidden="false" customHeight="false" outlineLevel="0" collapsed="false">
      <c r="A54" s="1" t="n">
        <v>4.32</v>
      </c>
      <c r="B54" s="1" t="n">
        <v>0.13</v>
      </c>
      <c r="C54" s="1" t="n">
        <v>0.69</v>
      </c>
      <c r="D54" s="1" t="n">
        <v>4.71</v>
      </c>
      <c r="E54" s="1" t="n">
        <v>-0.02</v>
      </c>
      <c r="F54" s="1" t="n">
        <v>50.5</v>
      </c>
      <c r="G54" s="1" t="n">
        <v>7.5</v>
      </c>
      <c r="H54" s="1" t="n">
        <v>32.9</v>
      </c>
      <c r="I54" s="1" t="n">
        <v>9.9</v>
      </c>
      <c r="J54" s="1" t="n">
        <v>76.3</v>
      </c>
      <c r="K54" s="22" t="n">
        <v>9.85563997453049</v>
      </c>
      <c r="L54" s="1" t="n">
        <v>9.84</v>
      </c>
      <c r="M54" s="23" t="n">
        <v>-0.0156399745304938</v>
      </c>
      <c r="P54" s="12" t="n">
        <v>4</v>
      </c>
      <c r="Q54" s="13" t="s">
        <v>49</v>
      </c>
      <c r="R54" s="13" t="n">
        <v>10.27</v>
      </c>
      <c r="S54" s="13" t="n">
        <v>6.99</v>
      </c>
      <c r="T54" s="13" t="n">
        <v>-0.63</v>
      </c>
      <c r="U54" s="13" t="n">
        <v>-0.8</v>
      </c>
      <c r="V54" s="13" t="n">
        <v>4.71</v>
      </c>
      <c r="W54" s="13" t="n">
        <v>0.02</v>
      </c>
      <c r="X54" s="13" t="n">
        <v>55.9</v>
      </c>
      <c r="Y54" s="13" t="n">
        <v>24.4</v>
      </c>
      <c r="Z54" s="13" t="n">
        <v>33.2</v>
      </c>
      <c r="AA54" s="13" t="n">
        <v>9</v>
      </c>
      <c r="AB54" s="13" t="n">
        <v>81.7</v>
      </c>
    </row>
    <row r="55" customFormat="false" ht="12.8" hidden="false" customHeight="false" outlineLevel="0" collapsed="false">
      <c r="A55" s="1" t="n">
        <v>4.85</v>
      </c>
      <c r="B55" s="1" t="n">
        <v>-0.05</v>
      </c>
      <c r="C55" s="1" t="n">
        <v>0.44</v>
      </c>
      <c r="D55" s="1" t="n">
        <v>4.71</v>
      </c>
      <c r="E55" s="1" t="n">
        <v>0.04</v>
      </c>
      <c r="F55" s="1" t="n">
        <v>46.1</v>
      </c>
      <c r="G55" s="1" t="n">
        <v>8.9</v>
      </c>
      <c r="H55" s="1" t="n">
        <v>32.1</v>
      </c>
      <c r="I55" s="1" t="n">
        <v>10.4</v>
      </c>
      <c r="J55" s="1" t="n">
        <v>76.8</v>
      </c>
      <c r="K55" s="22" t="n">
        <v>10.0228554206561</v>
      </c>
      <c r="L55" s="1" t="n">
        <v>9.99</v>
      </c>
      <c r="M55" s="23" t="n">
        <v>-0.0328554206560607</v>
      </c>
      <c r="P55" s="18" t="n">
        <v>4</v>
      </c>
      <c r="Q55" s="13" t="s">
        <v>50</v>
      </c>
      <c r="R55" s="13" t="n">
        <v>9.99</v>
      </c>
      <c r="S55" s="13" t="n">
        <v>6.1</v>
      </c>
      <c r="T55" s="13" t="n">
        <v>-0.27</v>
      </c>
      <c r="U55" s="13" t="n">
        <v>-0.5</v>
      </c>
      <c r="V55" s="13" t="n">
        <v>4.71</v>
      </c>
      <c r="W55" s="13" t="n">
        <v>0</v>
      </c>
      <c r="X55" s="13" t="n">
        <v>73</v>
      </c>
      <c r="Y55" s="13" t="n">
        <v>22.7</v>
      </c>
      <c r="Z55" s="13" t="n">
        <v>33.3</v>
      </c>
      <c r="AA55" s="13" t="n">
        <v>10.8</v>
      </c>
      <c r="AB55" s="13" t="n">
        <v>83.3</v>
      </c>
    </row>
    <row r="56" customFormat="false" ht="12.8" hidden="false" customHeight="false" outlineLevel="0" collapsed="false">
      <c r="A56" s="1" t="n">
        <v>5.28</v>
      </c>
      <c r="B56" s="1" t="n">
        <v>-0.14</v>
      </c>
      <c r="C56" s="1" t="n">
        <v>-0.32</v>
      </c>
      <c r="D56" s="1" t="n">
        <v>4.71</v>
      </c>
      <c r="E56" s="1" t="n">
        <v>-0.01</v>
      </c>
      <c r="F56" s="1" t="n">
        <v>66.4</v>
      </c>
      <c r="G56" s="1" t="n">
        <v>17.7</v>
      </c>
      <c r="H56" s="1" t="n">
        <v>33.4</v>
      </c>
      <c r="I56" s="1" t="n">
        <v>10.6</v>
      </c>
      <c r="J56" s="1" t="n">
        <v>79.3</v>
      </c>
      <c r="K56" s="22" t="n">
        <v>9.49311029489884</v>
      </c>
      <c r="L56" s="1" t="n">
        <v>9.5</v>
      </c>
      <c r="M56" s="23" t="n">
        <v>0.00688970510115894</v>
      </c>
      <c r="P56" s="12" t="n">
        <v>4</v>
      </c>
      <c r="Q56" s="13" t="s">
        <v>51</v>
      </c>
      <c r="R56" s="13" t="n">
        <v>9.65</v>
      </c>
      <c r="S56" s="13" t="n">
        <v>5.37</v>
      </c>
      <c r="T56" s="13" t="n">
        <v>-0.16</v>
      </c>
      <c r="U56" s="13" t="n">
        <v>-0.27</v>
      </c>
      <c r="V56" s="13" t="n">
        <v>4.71</v>
      </c>
      <c r="W56" s="13" t="n">
        <v>0.03</v>
      </c>
      <c r="X56" s="13" t="n">
        <v>53.1</v>
      </c>
      <c r="Y56" s="13" t="n">
        <v>24.9</v>
      </c>
      <c r="Z56" s="13" t="n">
        <v>33.5</v>
      </c>
      <c r="AA56" s="13" t="n">
        <v>10.3</v>
      </c>
      <c r="AB56" s="13" t="n">
        <v>81.8</v>
      </c>
    </row>
    <row r="57" customFormat="false" ht="12.8" hidden="false" customHeight="false" outlineLevel="0" collapsed="false">
      <c r="A57" s="1" t="n">
        <v>4.91</v>
      </c>
      <c r="B57" s="1" t="n">
        <v>-0.09</v>
      </c>
      <c r="C57" s="1" t="n">
        <v>0.13</v>
      </c>
      <c r="D57" s="1" t="n">
        <v>4.71</v>
      </c>
      <c r="E57" s="1" t="n">
        <v>0</v>
      </c>
      <c r="F57" s="1" t="n">
        <v>66.3</v>
      </c>
      <c r="G57" s="1" t="n">
        <v>29.3</v>
      </c>
      <c r="H57" s="1" t="n">
        <v>31.4</v>
      </c>
      <c r="I57" s="1" t="n">
        <v>14.4</v>
      </c>
      <c r="J57" s="1" t="n">
        <v>78.8</v>
      </c>
      <c r="K57" s="22" t="n">
        <v>9.64794619335706</v>
      </c>
      <c r="L57" s="1" t="n">
        <v>9.59</v>
      </c>
      <c r="M57" s="23" t="n">
        <v>-0.0579461933570613</v>
      </c>
      <c r="P57" s="18" t="n">
        <v>4</v>
      </c>
      <c r="Q57" s="13" t="s">
        <v>52</v>
      </c>
      <c r="R57" s="13" t="n">
        <v>9.77</v>
      </c>
      <c r="S57" s="13" t="n">
        <v>5.05</v>
      </c>
      <c r="T57" s="13" t="n">
        <v>-0.04</v>
      </c>
      <c r="U57" s="13" t="n">
        <v>0.04</v>
      </c>
      <c r="V57" s="13" t="n">
        <v>4.71</v>
      </c>
      <c r="W57" s="13" t="n">
        <v>-0.01</v>
      </c>
      <c r="X57" s="13" t="n">
        <v>52.3</v>
      </c>
      <c r="Y57" s="13" t="n">
        <v>13.9</v>
      </c>
      <c r="Z57" s="13" t="n">
        <v>31.7</v>
      </c>
      <c r="AA57" s="13" t="n">
        <v>12</v>
      </c>
      <c r="AB57" s="13" t="n">
        <v>78.8</v>
      </c>
    </row>
    <row r="58" customFormat="false" ht="12.8" hidden="false" customHeight="false" outlineLevel="0" collapsed="false">
      <c r="A58" s="1" t="n">
        <v>5.36</v>
      </c>
      <c r="B58" s="1" t="n">
        <v>-0.03</v>
      </c>
      <c r="C58" s="1" t="n">
        <v>0.02</v>
      </c>
      <c r="D58" s="1" t="n">
        <v>4.71</v>
      </c>
      <c r="E58" s="1" t="n">
        <v>0.04</v>
      </c>
      <c r="F58" s="1" t="n">
        <v>63.7</v>
      </c>
      <c r="G58" s="1" t="n">
        <v>21.1</v>
      </c>
      <c r="H58" s="1" t="n">
        <v>31.5</v>
      </c>
      <c r="I58" s="1" t="n">
        <v>12.1</v>
      </c>
      <c r="J58" s="1" t="n">
        <v>77.8</v>
      </c>
      <c r="K58" s="22" t="n">
        <v>10.0982844510663</v>
      </c>
      <c r="L58" s="1" t="n">
        <v>10.11</v>
      </c>
      <c r="M58" s="23" t="n">
        <v>0.0117155489337382</v>
      </c>
      <c r="P58" s="12" t="n">
        <v>4</v>
      </c>
      <c r="Q58" s="13" t="s">
        <v>53</v>
      </c>
      <c r="R58" s="13" t="n">
        <v>9.9</v>
      </c>
      <c r="S58" s="13" t="n">
        <v>5.29</v>
      </c>
      <c r="T58" s="13" t="n">
        <v>-0.06</v>
      </c>
      <c r="U58" s="13" t="n">
        <v>-0.05</v>
      </c>
      <c r="V58" s="13" t="n">
        <v>4.71</v>
      </c>
      <c r="W58" s="13" t="n">
        <v>0.04</v>
      </c>
      <c r="X58" s="13" t="n">
        <v>53.4</v>
      </c>
      <c r="Y58" s="13" t="n">
        <v>23.5</v>
      </c>
      <c r="Z58" s="13" t="n">
        <v>32.4</v>
      </c>
      <c r="AA58" s="13" t="n">
        <v>10.5</v>
      </c>
      <c r="AB58" s="13" t="n">
        <v>79.5</v>
      </c>
    </row>
    <row r="59" customFormat="false" ht="12.8" hidden="false" customHeight="false" outlineLevel="0" collapsed="false">
      <c r="A59" s="1" t="n">
        <v>5.42</v>
      </c>
      <c r="B59" s="1" t="n">
        <v>-0.12</v>
      </c>
      <c r="C59" s="1" t="n">
        <v>-0.04</v>
      </c>
      <c r="D59" s="1" t="n">
        <v>4.71</v>
      </c>
      <c r="E59" s="1" t="n">
        <v>0.06</v>
      </c>
      <c r="F59" s="1" t="n">
        <v>61.2</v>
      </c>
      <c r="G59" s="1" t="n">
        <v>19.6</v>
      </c>
      <c r="H59" s="1" t="n">
        <v>33.7</v>
      </c>
      <c r="I59" s="1" t="n">
        <v>17.3</v>
      </c>
      <c r="J59" s="1" t="n">
        <v>77.5</v>
      </c>
      <c r="K59" s="22" t="n">
        <v>10.0112936109061</v>
      </c>
      <c r="L59" s="1" t="n">
        <v>9.98</v>
      </c>
      <c r="M59" s="23" t="n">
        <v>-0.0312936109060917</v>
      </c>
      <c r="P59" s="18" t="n">
        <v>4</v>
      </c>
      <c r="Q59" s="13" t="s">
        <v>54</v>
      </c>
      <c r="R59" s="13" t="n">
        <v>9.73</v>
      </c>
      <c r="S59" s="13" t="n">
        <v>5.15</v>
      </c>
      <c r="T59" s="13" t="n">
        <v>-0.02</v>
      </c>
      <c r="U59" s="13" t="n">
        <v>-0.08</v>
      </c>
      <c r="V59" s="13" t="n">
        <v>4.71</v>
      </c>
      <c r="W59" s="13" t="n">
        <v>-0.04</v>
      </c>
      <c r="X59" s="13" t="n">
        <v>51.2</v>
      </c>
      <c r="Y59" s="13" t="n">
        <v>10.6</v>
      </c>
      <c r="Z59" s="13" t="n">
        <v>31.7</v>
      </c>
      <c r="AA59" s="13" t="n">
        <v>9.3</v>
      </c>
      <c r="AB59" s="13" t="n">
        <v>80.3</v>
      </c>
    </row>
    <row r="60" customFormat="false" ht="12.8" hidden="false" customHeight="false" outlineLevel="0" collapsed="false">
      <c r="A60" s="1" t="n">
        <v>5.45</v>
      </c>
      <c r="B60" s="1" t="n">
        <v>-0.14</v>
      </c>
      <c r="C60" s="1" t="n">
        <v>-0.17</v>
      </c>
      <c r="D60" s="1" t="n">
        <v>4.71</v>
      </c>
      <c r="E60" s="1" t="n">
        <v>-0.07</v>
      </c>
      <c r="F60" s="1" t="n">
        <v>65.1</v>
      </c>
      <c r="G60" s="1" t="n">
        <v>18.9</v>
      </c>
      <c r="H60" s="1" t="n">
        <v>31.7</v>
      </c>
      <c r="I60" s="1" t="n">
        <v>9.2</v>
      </c>
      <c r="J60" s="1" t="n">
        <v>74.8</v>
      </c>
      <c r="K60" s="22" t="n">
        <v>9.77506877122273</v>
      </c>
      <c r="L60" s="1" t="n">
        <v>9.79</v>
      </c>
      <c r="M60" s="23" t="n">
        <v>0.0149312287772734</v>
      </c>
      <c r="P60" s="12" t="n">
        <v>4</v>
      </c>
      <c r="Q60" s="13" t="s">
        <v>56</v>
      </c>
      <c r="R60" s="13" t="n">
        <v>9.71</v>
      </c>
      <c r="S60" s="13" t="n">
        <v>4.91</v>
      </c>
      <c r="T60" s="13" t="n">
        <v>-0.02</v>
      </c>
      <c r="U60" s="13" t="n">
        <v>0.14</v>
      </c>
      <c r="V60" s="13" t="n">
        <v>4.71</v>
      </c>
      <c r="W60" s="13" t="n">
        <v>-0.04</v>
      </c>
      <c r="X60" s="13" t="n">
        <v>43</v>
      </c>
      <c r="Y60" s="13" t="n">
        <v>6.6</v>
      </c>
      <c r="Z60" s="13" t="n">
        <v>31.8</v>
      </c>
      <c r="AA60" s="13" t="n">
        <v>8.7</v>
      </c>
      <c r="AB60" s="13" t="n">
        <v>79.8</v>
      </c>
    </row>
    <row r="61" customFormat="false" ht="12.8" hidden="false" customHeight="false" outlineLevel="0" collapsed="false">
      <c r="A61" s="1" t="n">
        <v>5.24</v>
      </c>
      <c r="B61" s="1" t="n">
        <v>-0.07</v>
      </c>
      <c r="C61" s="1" t="n">
        <v>-0.21</v>
      </c>
      <c r="D61" s="1" t="n">
        <v>4.71</v>
      </c>
      <c r="E61" s="1" t="n">
        <v>0.04</v>
      </c>
      <c r="F61" s="1" t="n">
        <v>58.7</v>
      </c>
      <c r="G61" s="1" t="n">
        <v>22.5</v>
      </c>
      <c r="H61" s="1" t="n">
        <v>33.1</v>
      </c>
      <c r="I61" s="1" t="n">
        <v>9.9</v>
      </c>
      <c r="J61" s="1" t="n">
        <v>79.1</v>
      </c>
      <c r="K61" s="22" t="n">
        <v>9.69419756706434</v>
      </c>
      <c r="L61" s="1" t="n">
        <v>9.71</v>
      </c>
      <c r="M61" s="23" t="n">
        <v>0.0158024329356596</v>
      </c>
      <c r="P61" s="18" t="n">
        <v>4</v>
      </c>
      <c r="Q61" s="13" t="s">
        <v>58</v>
      </c>
      <c r="R61" s="13" t="n">
        <v>9.76</v>
      </c>
      <c r="S61" s="13" t="n">
        <v>5.02</v>
      </c>
      <c r="T61" s="13" t="n">
        <v>-0.11</v>
      </c>
      <c r="U61" s="13" t="n">
        <v>0.14</v>
      </c>
      <c r="V61" s="13" t="n">
        <v>4.71</v>
      </c>
      <c r="W61" s="13" t="n">
        <v>-0.01</v>
      </c>
      <c r="X61" s="13" t="n">
        <v>40</v>
      </c>
      <c r="Y61" s="13" t="n">
        <v>12.6</v>
      </c>
      <c r="Z61" s="13" t="n">
        <v>31.4</v>
      </c>
      <c r="AA61" s="13" t="n">
        <v>9.7</v>
      </c>
      <c r="AB61" s="13" t="n">
        <v>80.1</v>
      </c>
    </row>
    <row r="62" customFormat="false" ht="12.8" hidden="false" customHeight="false" outlineLevel="0" collapsed="false">
      <c r="A62" s="1" t="n">
        <v>5.19</v>
      </c>
      <c r="B62" s="1" t="n">
        <v>0.01</v>
      </c>
      <c r="C62" s="1" t="n">
        <v>-0.06</v>
      </c>
      <c r="D62" s="1" t="n">
        <v>4.71</v>
      </c>
      <c r="E62" s="1" t="n">
        <v>-0.03</v>
      </c>
      <c r="F62" s="1" t="n">
        <v>57</v>
      </c>
      <c r="G62" s="1" t="n">
        <v>27.4</v>
      </c>
      <c r="H62" s="1" t="n">
        <v>33.6</v>
      </c>
      <c r="I62" s="1" t="n">
        <v>9.6</v>
      </c>
      <c r="J62" s="1" t="n">
        <v>75.5</v>
      </c>
      <c r="K62" s="22" t="n">
        <v>9.80352963109412</v>
      </c>
      <c r="L62" s="1" t="n">
        <v>9.83</v>
      </c>
      <c r="M62" s="23" t="n">
        <v>0.0264703689058798</v>
      </c>
      <c r="P62" s="12" t="n">
        <v>4</v>
      </c>
      <c r="Q62" s="13" t="s">
        <v>60</v>
      </c>
      <c r="R62" s="13" t="n">
        <v>9.81</v>
      </c>
      <c r="S62" s="13" t="n">
        <v>4.31</v>
      </c>
      <c r="T62" s="13" t="n">
        <v>0.13</v>
      </c>
      <c r="U62" s="13" t="n">
        <v>0.67</v>
      </c>
      <c r="V62" s="13" t="n">
        <v>4.71</v>
      </c>
      <c r="W62" s="13" t="n">
        <v>-0.02</v>
      </c>
      <c r="X62" s="13" t="n">
        <v>47.2</v>
      </c>
      <c r="Y62" s="13" t="n">
        <v>7.7</v>
      </c>
      <c r="Z62" s="13" t="n">
        <v>32.4</v>
      </c>
      <c r="AA62" s="13" t="n">
        <v>9.2</v>
      </c>
      <c r="AB62" s="13" t="n">
        <v>78.4</v>
      </c>
    </row>
    <row r="63" customFormat="false" ht="12.8" hidden="false" customHeight="false" outlineLevel="0" collapsed="false">
      <c r="A63" s="1" t="n">
        <v>4.94</v>
      </c>
      <c r="B63" s="1" t="n">
        <v>-0.06</v>
      </c>
      <c r="C63" s="1" t="n">
        <v>0.12</v>
      </c>
      <c r="D63" s="1" t="n">
        <v>4.71</v>
      </c>
      <c r="E63" s="1" t="n">
        <v>0.02</v>
      </c>
      <c r="F63" s="1" t="n">
        <v>55.1</v>
      </c>
      <c r="G63" s="1" t="n">
        <v>14.7</v>
      </c>
      <c r="H63" s="1" t="n">
        <v>33.7</v>
      </c>
      <c r="I63" s="1" t="n">
        <v>10.3</v>
      </c>
      <c r="J63" s="1" t="n">
        <v>78.2</v>
      </c>
      <c r="K63" s="22" t="n">
        <v>9.72514527669867</v>
      </c>
      <c r="L63" s="1" t="n">
        <v>9.72</v>
      </c>
      <c r="M63" s="23" t="n">
        <v>-0.0051452766986646</v>
      </c>
      <c r="P63" s="18" t="n">
        <v>4</v>
      </c>
      <c r="Q63" s="13" t="s">
        <v>62</v>
      </c>
      <c r="R63" s="13" t="n">
        <v>9.85</v>
      </c>
      <c r="S63" s="13" t="n">
        <v>4.82</v>
      </c>
      <c r="T63" s="13" t="n">
        <v>-0.06</v>
      </c>
      <c r="U63" s="13" t="n">
        <v>0.41</v>
      </c>
      <c r="V63" s="13" t="n">
        <v>4.71</v>
      </c>
      <c r="W63" s="13" t="n">
        <v>-0.04</v>
      </c>
      <c r="X63" s="13" t="n">
        <v>41.7</v>
      </c>
      <c r="Y63" s="13" t="n">
        <v>8.9</v>
      </c>
      <c r="Z63" s="13" t="n">
        <v>31.7</v>
      </c>
      <c r="AA63" s="13" t="n">
        <v>10.2</v>
      </c>
      <c r="AB63" s="13" t="n">
        <v>79</v>
      </c>
    </row>
    <row r="64" customFormat="false" ht="12.8" hidden="false" customHeight="false" outlineLevel="0" collapsed="false">
      <c r="A64" s="1" t="n">
        <v>4.68</v>
      </c>
      <c r="B64" s="1" t="n">
        <v>0.19</v>
      </c>
      <c r="C64" s="1" t="n">
        <v>0.31</v>
      </c>
      <c r="D64" s="1" t="n">
        <v>4.71</v>
      </c>
      <c r="E64" s="1" t="n">
        <v>0.01</v>
      </c>
      <c r="F64" s="1" t="n">
        <v>50.3</v>
      </c>
      <c r="G64" s="1" t="n">
        <v>11.8</v>
      </c>
      <c r="H64" s="1" t="n">
        <v>33.3</v>
      </c>
      <c r="I64" s="1" t="n">
        <v>10.2</v>
      </c>
      <c r="J64" s="1" t="n">
        <v>76.2</v>
      </c>
      <c r="K64" s="22" t="n">
        <v>9.91486859194789</v>
      </c>
      <c r="L64" s="1" t="n">
        <v>9.91</v>
      </c>
      <c r="M64" s="23" t="n">
        <v>-0.00486859194788636</v>
      </c>
      <c r="P64" s="12" t="n">
        <v>4</v>
      </c>
      <c r="Q64" s="13" t="s">
        <v>64</v>
      </c>
      <c r="R64" s="13" t="n">
        <v>9.51</v>
      </c>
      <c r="S64" s="13" t="n">
        <v>5.28</v>
      </c>
      <c r="T64" s="13" t="n">
        <v>-0.14</v>
      </c>
      <c r="U64" s="13" t="n">
        <v>-0.31</v>
      </c>
      <c r="V64" s="13" t="n">
        <v>4.71</v>
      </c>
      <c r="W64" s="13" t="n">
        <v>0</v>
      </c>
      <c r="X64" s="13" t="n">
        <v>65.2</v>
      </c>
      <c r="Y64" s="13" t="n">
        <v>17.5</v>
      </c>
      <c r="Z64" s="13" t="n">
        <v>33.1</v>
      </c>
      <c r="AA64" s="13" t="n">
        <v>11.1</v>
      </c>
      <c r="AB64" s="13" t="n">
        <v>81.5</v>
      </c>
    </row>
    <row r="65" customFormat="false" ht="12.8" hidden="false" customHeight="false" outlineLevel="0" collapsed="false">
      <c r="A65" s="1" t="n">
        <v>5.04</v>
      </c>
      <c r="B65" s="1" t="n">
        <v>0.04</v>
      </c>
      <c r="C65" s="1" t="n">
        <v>0.04</v>
      </c>
      <c r="D65" s="1" t="n">
        <v>4.71</v>
      </c>
      <c r="E65" s="1" t="n">
        <v>-0.02</v>
      </c>
      <c r="F65" s="1" t="n">
        <v>58.1</v>
      </c>
      <c r="G65" s="1" t="n">
        <v>15.2</v>
      </c>
      <c r="H65" s="1" t="n">
        <v>32.8</v>
      </c>
      <c r="I65" s="1" t="n">
        <v>12.7</v>
      </c>
      <c r="J65" s="1" t="n">
        <v>76.4</v>
      </c>
      <c r="K65" s="22" t="n">
        <v>9.81171457610992</v>
      </c>
      <c r="L65" s="1" t="n">
        <v>9.81</v>
      </c>
      <c r="M65" s="23" t="n">
        <v>-0.00171457610992221</v>
      </c>
      <c r="P65" s="18" t="n">
        <v>4</v>
      </c>
      <c r="Q65" s="13" t="s">
        <v>66</v>
      </c>
      <c r="R65" s="13" t="n">
        <v>9.61</v>
      </c>
      <c r="S65" s="13" t="n">
        <v>4.88</v>
      </c>
      <c r="T65" s="13" t="n">
        <v>-0.09</v>
      </c>
      <c r="U65" s="13" t="n">
        <v>0.13</v>
      </c>
      <c r="V65" s="13" t="n">
        <v>4.71</v>
      </c>
      <c r="W65" s="13" t="n">
        <v>0.02</v>
      </c>
      <c r="X65" s="13" t="n">
        <v>67.2</v>
      </c>
      <c r="Y65" s="13" t="n">
        <v>27.6</v>
      </c>
      <c r="Z65" s="13" t="n">
        <v>31.6</v>
      </c>
      <c r="AA65" s="13" t="n">
        <v>15.9</v>
      </c>
      <c r="AB65" s="13" t="n">
        <v>80.8</v>
      </c>
    </row>
    <row r="66" customFormat="false" ht="12.8" hidden="false" customHeight="false" outlineLevel="0" collapsed="false">
      <c r="A66" s="1" t="n">
        <v>5.22</v>
      </c>
      <c r="B66" s="1" t="n">
        <v>0.05</v>
      </c>
      <c r="C66" s="1" t="n">
        <v>-0.15</v>
      </c>
      <c r="D66" s="1" t="n">
        <v>4.71</v>
      </c>
      <c r="E66" s="1" t="n">
        <v>-0.02</v>
      </c>
      <c r="F66" s="1" t="n">
        <v>57.8</v>
      </c>
      <c r="G66" s="1" t="n">
        <v>23.5</v>
      </c>
      <c r="H66" s="1" t="n">
        <v>35.5</v>
      </c>
      <c r="I66" s="1" t="n">
        <v>10.7</v>
      </c>
      <c r="J66" s="1" t="n">
        <v>78.3</v>
      </c>
      <c r="K66" s="22" t="n">
        <v>9.77720786634362</v>
      </c>
      <c r="L66" s="1" t="n">
        <v>9.78</v>
      </c>
      <c r="M66" s="23" t="n">
        <v>0.00279213365638142</v>
      </c>
      <c r="P66" s="12" t="n">
        <v>4</v>
      </c>
      <c r="Q66" s="13" t="s">
        <v>67</v>
      </c>
      <c r="R66" s="13" t="n">
        <v>9.89</v>
      </c>
      <c r="S66" s="13" t="n">
        <v>5.27</v>
      </c>
      <c r="T66" s="13" t="n">
        <v>-0.03</v>
      </c>
      <c r="U66" s="13" t="n">
        <v>0</v>
      </c>
      <c r="V66" s="13" t="n">
        <v>4.71</v>
      </c>
      <c r="W66" s="13" t="n">
        <v>-0.06</v>
      </c>
      <c r="X66" s="13" t="n">
        <v>61.1</v>
      </c>
      <c r="Y66" s="13" t="n">
        <v>15.4</v>
      </c>
      <c r="Z66" s="13" t="n">
        <v>31</v>
      </c>
      <c r="AA66" s="13" t="n">
        <v>13.1</v>
      </c>
      <c r="AB66" s="13" t="n">
        <v>79.5</v>
      </c>
    </row>
    <row r="67" customFormat="false" ht="12.8" hidden="false" customHeight="false" outlineLevel="0" collapsed="false">
      <c r="A67" s="1" t="n">
        <v>5.23</v>
      </c>
      <c r="B67" s="1" t="n">
        <v>0.06</v>
      </c>
      <c r="C67" s="1" t="n">
        <v>0.05</v>
      </c>
      <c r="D67" s="1" t="n">
        <v>4.71</v>
      </c>
      <c r="E67" s="1" t="n">
        <v>0.01</v>
      </c>
      <c r="F67" s="1" t="n">
        <v>55.6</v>
      </c>
      <c r="G67" s="1" t="n">
        <v>15.6</v>
      </c>
      <c r="H67" s="1" t="n">
        <v>34.3</v>
      </c>
      <c r="I67" s="1" t="n">
        <v>10.7</v>
      </c>
      <c r="J67" s="1" t="n">
        <v>74</v>
      </c>
      <c r="K67" s="22" t="n">
        <v>10.0512864712389</v>
      </c>
      <c r="L67" s="1" t="n">
        <v>10.06</v>
      </c>
      <c r="M67" s="23" t="n">
        <v>0.00871352876106712</v>
      </c>
      <c r="P67" s="18" t="n">
        <v>4</v>
      </c>
      <c r="Q67" s="13" t="s">
        <v>69</v>
      </c>
      <c r="R67" s="13" t="n">
        <v>9.96</v>
      </c>
      <c r="S67" s="13" t="n">
        <v>5.4</v>
      </c>
      <c r="T67" s="13" t="n">
        <v>-0.12</v>
      </c>
      <c r="U67" s="13" t="n">
        <v>-0.03</v>
      </c>
      <c r="V67" s="13" t="n">
        <v>4.71</v>
      </c>
      <c r="W67" s="13" t="n">
        <v>0</v>
      </c>
      <c r="X67" s="13" t="n">
        <v>58.3</v>
      </c>
      <c r="Y67" s="13" t="n">
        <v>17</v>
      </c>
      <c r="Z67" s="13" t="n">
        <v>32.7</v>
      </c>
      <c r="AA67" s="13" t="n">
        <v>13.9</v>
      </c>
      <c r="AB67" s="13" t="n">
        <v>79.1</v>
      </c>
    </row>
    <row r="68" customFormat="false" ht="12.8" hidden="false" customHeight="false" outlineLevel="0" collapsed="false">
      <c r="A68" s="1" t="n">
        <v>5.22</v>
      </c>
      <c r="B68" s="1" t="n">
        <v>0.17</v>
      </c>
      <c r="C68" s="1" t="n">
        <v>0.16</v>
      </c>
      <c r="D68" s="1" t="n">
        <v>4.71</v>
      </c>
      <c r="E68" s="1" t="n">
        <v>0.02</v>
      </c>
      <c r="F68" s="1" t="n">
        <v>45.2</v>
      </c>
      <c r="G68" s="1" t="n">
        <v>12.5</v>
      </c>
      <c r="H68" s="1" t="n">
        <v>33.5</v>
      </c>
      <c r="I68" s="1" t="n">
        <v>10.9</v>
      </c>
      <c r="J68" s="1" t="n">
        <v>74.3</v>
      </c>
      <c r="K68" s="22" t="n">
        <v>10.3005151542235</v>
      </c>
      <c r="L68" s="1" t="n">
        <v>10.29</v>
      </c>
      <c r="M68" s="23" t="n">
        <v>-0.0105151542235422</v>
      </c>
      <c r="P68" s="12" t="n">
        <v>4</v>
      </c>
      <c r="Q68" s="13" t="s">
        <v>75</v>
      </c>
      <c r="R68" s="13" t="n">
        <v>9.66</v>
      </c>
      <c r="S68" s="13" t="n">
        <v>5.37</v>
      </c>
      <c r="T68" s="13" t="n">
        <v>-0.14</v>
      </c>
      <c r="U68" s="13" t="n">
        <v>-0.18</v>
      </c>
      <c r="V68" s="13" t="n">
        <v>4.71</v>
      </c>
      <c r="W68" s="13" t="n">
        <v>-0.09</v>
      </c>
      <c r="X68" s="13" t="n">
        <v>62.9</v>
      </c>
      <c r="Y68" s="13" t="n">
        <v>16.2</v>
      </c>
      <c r="Z68" s="13" t="n">
        <v>31.6</v>
      </c>
      <c r="AA68" s="13" t="n">
        <v>10.6</v>
      </c>
      <c r="AB68" s="13" t="n">
        <v>78.9</v>
      </c>
    </row>
    <row r="69" customFormat="false" ht="12.8" hidden="false" customHeight="false" outlineLevel="0" collapsed="false">
      <c r="A69" s="1" t="n">
        <v>5.47</v>
      </c>
      <c r="B69" s="1" t="n">
        <v>0.03</v>
      </c>
      <c r="C69" s="1" t="n">
        <v>-0.01</v>
      </c>
      <c r="D69" s="1" t="n">
        <v>4.71</v>
      </c>
      <c r="E69" s="1" t="n">
        <v>0.04</v>
      </c>
      <c r="F69" s="1" t="n">
        <v>50.9</v>
      </c>
      <c r="G69" s="1" t="n">
        <v>14.3</v>
      </c>
      <c r="H69" s="1" t="n">
        <v>33.2</v>
      </c>
      <c r="I69" s="1" t="n">
        <v>10.9</v>
      </c>
      <c r="J69" s="1" t="n">
        <v>76.9</v>
      </c>
      <c r="K69" s="22" t="n">
        <v>10.24872094975</v>
      </c>
      <c r="L69" s="1" t="n">
        <v>10.24</v>
      </c>
      <c r="M69" s="23" t="n">
        <v>-0.0087209497499714</v>
      </c>
      <c r="P69" s="18" t="n">
        <v>4</v>
      </c>
      <c r="Q69" s="13" t="s">
        <v>76</v>
      </c>
      <c r="R69" s="13" t="n">
        <v>9.67</v>
      </c>
      <c r="S69" s="13" t="n">
        <v>5.26</v>
      </c>
      <c r="T69" s="13" t="n">
        <v>-0.08</v>
      </c>
      <c r="U69" s="13" t="n">
        <v>-0.24</v>
      </c>
      <c r="V69" s="13" t="n">
        <v>4.71</v>
      </c>
      <c r="W69" s="13" t="n">
        <v>0.03</v>
      </c>
      <c r="X69" s="13" t="n">
        <v>58.8</v>
      </c>
      <c r="Y69" s="13" t="n">
        <v>18.7</v>
      </c>
      <c r="Z69" s="13" t="n">
        <v>32.3</v>
      </c>
      <c r="AA69" s="13" t="n">
        <v>9.9</v>
      </c>
      <c r="AB69" s="13" t="n">
        <v>81.2</v>
      </c>
    </row>
    <row r="70" customFormat="false" ht="12.8" hidden="false" customHeight="false" outlineLevel="0" collapsed="false">
      <c r="A70" s="1" t="n">
        <v>5.81</v>
      </c>
      <c r="B70" s="1" t="n">
        <v>-0.03</v>
      </c>
      <c r="C70" s="1" t="n">
        <v>-0.44</v>
      </c>
      <c r="D70" s="1" t="n">
        <v>4.71</v>
      </c>
      <c r="E70" s="1" t="n">
        <v>-0.03</v>
      </c>
      <c r="F70" s="1" t="n">
        <v>49.6</v>
      </c>
      <c r="G70" s="1" t="n">
        <v>23.5</v>
      </c>
      <c r="H70" s="1" t="n">
        <v>35.4</v>
      </c>
      <c r="I70" s="1" t="n">
        <v>10.8</v>
      </c>
      <c r="J70" s="1" t="n">
        <v>71.7</v>
      </c>
      <c r="K70" s="22" t="n">
        <v>9.99895162556415</v>
      </c>
      <c r="L70" s="1" t="n">
        <v>10</v>
      </c>
      <c r="M70" s="23" t="n">
        <v>0.00104837443584849</v>
      </c>
      <c r="P70" s="12" t="n">
        <v>4</v>
      </c>
      <c r="Q70" s="13" t="s">
        <v>78</v>
      </c>
      <c r="R70" s="13" t="n">
        <v>9.82</v>
      </c>
      <c r="S70" s="13" t="n">
        <v>5.21</v>
      </c>
      <c r="T70" s="13" t="n">
        <v>0.01</v>
      </c>
      <c r="U70" s="13" t="n">
        <v>-0.08</v>
      </c>
      <c r="V70" s="13" t="n">
        <v>4.71</v>
      </c>
      <c r="W70" s="13" t="n">
        <v>-0.04</v>
      </c>
      <c r="X70" s="13" t="n">
        <v>56.6</v>
      </c>
      <c r="Y70" s="13" t="n">
        <v>21.8</v>
      </c>
      <c r="Z70" s="13" t="n">
        <v>33.2</v>
      </c>
      <c r="AA70" s="13" t="n">
        <v>8.9</v>
      </c>
      <c r="AB70" s="13" t="n">
        <v>77.9</v>
      </c>
    </row>
    <row r="71" customFormat="false" ht="12.8" hidden="false" customHeight="false" outlineLevel="0" collapsed="false">
      <c r="A71" s="1" t="n">
        <v>5.96</v>
      </c>
      <c r="B71" s="1" t="n">
        <v>-0.01</v>
      </c>
      <c r="C71" s="1" t="n">
        <v>-0.52</v>
      </c>
      <c r="D71" s="1" t="n">
        <v>4.71</v>
      </c>
      <c r="E71" s="1" t="n">
        <v>-0.01</v>
      </c>
      <c r="F71" s="1" t="n">
        <v>49.4</v>
      </c>
      <c r="G71" s="1" t="n">
        <v>19.6</v>
      </c>
      <c r="H71" s="1" t="n">
        <v>34</v>
      </c>
      <c r="I71" s="1" t="n">
        <v>12.5</v>
      </c>
      <c r="J71" s="1" t="n">
        <v>72.7</v>
      </c>
      <c r="K71" s="22" t="n">
        <v>10.1255491036057</v>
      </c>
      <c r="L71" s="1" t="n">
        <v>10.11</v>
      </c>
      <c r="M71" s="23" t="n">
        <v>-0.0155491036056539</v>
      </c>
      <c r="P71" s="18" t="n">
        <v>4</v>
      </c>
      <c r="Q71" s="13" t="s">
        <v>80</v>
      </c>
      <c r="R71" s="13" t="n">
        <v>9.75</v>
      </c>
      <c r="S71" s="13" t="n">
        <v>4.96</v>
      </c>
      <c r="T71" s="13" t="n">
        <v>-0.05</v>
      </c>
      <c r="U71" s="13" t="n">
        <v>0.1</v>
      </c>
      <c r="V71" s="13" t="n">
        <v>4.71</v>
      </c>
      <c r="W71" s="13" t="n">
        <v>0.03</v>
      </c>
      <c r="X71" s="13" t="n">
        <v>54.6</v>
      </c>
      <c r="Y71" s="13" t="n">
        <v>15.6</v>
      </c>
      <c r="Z71" s="13" t="n">
        <v>33.5</v>
      </c>
      <c r="AA71" s="13" t="n">
        <v>10.5</v>
      </c>
      <c r="AB71" s="13" t="n">
        <v>80.4</v>
      </c>
    </row>
    <row r="72" customFormat="false" ht="12.8" hidden="false" customHeight="false" outlineLevel="0" collapsed="false">
      <c r="A72" s="1" t="n">
        <v>6.14</v>
      </c>
      <c r="B72" s="1" t="n">
        <v>-0.16</v>
      </c>
      <c r="C72" s="1" t="n">
        <v>-0.72</v>
      </c>
      <c r="D72" s="1" t="n">
        <v>4.71</v>
      </c>
      <c r="E72" s="1" t="n">
        <v>-0.01</v>
      </c>
      <c r="F72" s="1" t="n">
        <v>53.1</v>
      </c>
      <c r="G72" s="1" t="n">
        <v>16.1</v>
      </c>
      <c r="H72" s="1" t="n">
        <v>32.8</v>
      </c>
      <c r="I72" s="1" t="n">
        <v>10.4</v>
      </c>
      <c r="J72" s="1" t="n">
        <v>79.1</v>
      </c>
      <c r="K72" s="22" t="n">
        <v>9.95881755736273</v>
      </c>
      <c r="L72" s="1" t="n">
        <v>9.97</v>
      </c>
      <c r="M72" s="23" t="n">
        <v>0.011182442637276</v>
      </c>
      <c r="P72" s="12" t="n">
        <v>4</v>
      </c>
      <c r="Q72" s="13" t="s">
        <v>81</v>
      </c>
      <c r="R72" s="13" t="n">
        <v>9.93</v>
      </c>
      <c r="S72" s="13" t="n">
        <v>4.71</v>
      </c>
      <c r="T72" s="13" t="n">
        <v>0.2</v>
      </c>
      <c r="U72" s="13" t="n">
        <v>0.27</v>
      </c>
      <c r="V72" s="13" t="n">
        <v>4.71</v>
      </c>
      <c r="W72" s="13" t="n">
        <v>0.02</v>
      </c>
      <c r="X72" s="13" t="n">
        <v>49.7</v>
      </c>
      <c r="Y72" s="13" t="n">
        <v>11.2</v>
      </c>
      <c r="Z72" s="13" t="n">
        <v>31.8</v>
      </c>
      <c r="AA72" s="13" t="n">
        <v>9.8</v>
      </c>
      <c r="AB72" s="13" t="n">
        <v>78.3</v>
      </c>
    </row>
    <row r="73" customFormat="false" ht="12.8" hidden="false" customHeight="false" outlineLevel="0" collapsed="false">
      <c r="A73" s="1" t="n">
        <v>6.3</v>
      </c>
      <c r="B73" s="1" t="n">
        <v>-0.29</v>
      </c>
      <c r="C73" s="1" t="n">
        <v>-0.6</v>
      </c>
      <c r="D73" s="1" t="n">
        <v>4.71</v>
      </c>
      <c r="E73" s="1" t="n">
        <v>-0.02</v>
      </c>
      <c r="F73" s="1" t="n">
        <v>65.3</v>
      </c>
      <c r="G73" s="1" t="n">
        <v>25.8</v>
      </c>
      <c r="H73" s="1" t="n">
        <v>34.2</v>
      </c>
      <c r="I73" s="1" t="n">
        <v>11.2</v>
      </c>
      <c r="J73" s="1" t="n">
        <v>80.6</v>
      </c>
      <c r="K73" s="22" t="n">
        <v>10.0594455748822</v>
      </c>
      <c r="L73" s="1" t="n">
        <v>10.03</v>
      </c>
      <c r="M73" s="23" t="n">
        <v>-0.0294455748821534</v>
      </c>
      <c r="P73" s="18" t="n">
        <v>4</v>
      </c>
      <c r="Q73" s="13" t="s">
        <v>83</v>
      </c>
      <c r="R73" s="13" t="n">
        <v>9.91</v>
      </c>
      <c r="S73" s="13" t="n">
        <v>5.08</v>
      </c>
      <c r="T73" s="13" t="n">
        <v>0.03</v>
      </c>
      <c r="U73" s="13" t="n">
        <v>0.03</v>
      </c>
      <c r="V73" s="13" t="n">
        <v>4.71</v>
      </c>
      <c r="W73" s="13" t="n">
        <v>0.05</v>
      </c>
      <c r="X73" s="13" t="n">
        <v>57.7</v>
      </c>
      <c r="Y73" s="13" t="n">
        <v>14.4</v>
      </c>
      <c r="Z73" s="13" t="n">
        <v>32.4</v>
      </c>
      <c r="AA73" s="13" t="n">
        <v>9.6</v>
      </c>
      <c r="AB73" s="13" t="n">
        <v>78.3</v>
      </c>
    </row>
    <row r="74" customFormat="false" ht="12.8" hidden="false" customHeight="false" outlineLevel="0" collapsed="false">
      <c r="A74" s="1" t="n">
        <v>5.64</v>
      </c>
      <c r="B74" s="1" t="n">
        <v>0.06</v>
      </c>
      <c r="C74" s="1" t="n">
        <v>-0.2</v>
      </c>
      <c r="D74" s="1" t="n">
        <v>4.71</v>
      </c>
      <c r="E74" s="1" t="n">
        <v>-0.02</v>
      </c>
      <c r="F74" s="1" t="n">
        <v>56.8</v>
      </c>
      <c r="G74" s="1" t="n">
        <v>31.6</v>
      </c>
      <c r="H74" s="1" t="n">
        <v>32.4</v>
      </c>
      <c r="I74" s="1" t="n">
        <v>11.7</v>
      </c>
      <c r="J74" s="1" t="n">
        <v>76.2</v>
      </c>
      <c r="K74" s="22" t="n">
        <v>10.1828358952609</v>
      </c>
      <c r="L74" s="1" t="n">
        <v>10.18</v>
      </c>
      <c r="M74" s="23" t="n">
        <v>-0.00283589526089756</v>
      </c>
      <c r="P74" s="12" t="n">
        <v>4</v>
      </c>
      <c r="Q74" s="13" t="s">
        <v>84</v>
      </c>
      <c r="R74" s="13" t="n">
        <v>9.83</v>
      </c>
      <c r="S74" s="13" t="n">
        <v>5.2</v>
      </c>
      <c r="T74" s="13" t="n">
        <v>0.07</v>
      </c>
      <c r="U74" s="13" t="n">
        <v>-0.15</v>
      </c>
      <c r="V74" s="13" t="n">
        <v>4.71</v>
      </c>
      <c r="W74" s="13" t="n">
        <v>0.02</v>
      </c>
      <c r="X74" s="13" t="n">
        <v>57</v>
      </c>
      <c r="Y74" s="13" t="n">
        <v>19.8</v>
      </c>
      <c r="Z74" s="13" t="n">
        <v>33.9</v>
      </c>
      <c r="AA74" s="13" t="n">
        <v>10.9</v>
      </c>
      <c r="AB74" s="13" t="n">
        <v>80.3</v>
      </c>
    </row>
    <row r="75" customFormat="false" ht="12.8" hidden="false" customHeight="false" outlineLevel="0" collapsed="false">
      <c r="A75" s="1" t="n">
        <v>5.41</v>
      </c>
      <c r="B75" s="1" t="n">
        <v>0.03</v>
      </c>
      <c r="C75" s="1" t="n">
        <v>-0.12</v>
      </c>
      <c r="D75" s="1" t="n">
        <v>4.71</v>
      </c>
      <c r="E75" s="1" t="n">
        <v>0</v>
      </c>
      <c r="F75" s="1" t="n">
        <v>54.7</v>
      </c>
      <c r="G75" s="1" t="n">
        <v>19.7</v>
      </c>
      <c r="H75" s="1" t="n">
        <v>32.9</v>
      </c>
      <c r="I75" s="1" t="n">
        <v>10.9</v>
      </c>
      <c r="J75" s="1" t="n">
        <v>75.7</v>
      </c>
      <c r="K75" s="22" t="n">
        <v>10.030409035256</v>
      </c>
      <c r="L75" s="1" t="n">
        <v>10.04</v>
      </c>
      <c r="M75" s="23" t="n">
        <v>0.00959096474397825</v>
      </c>
      <c r="P75" s="18" t="n">
        <v>4</v>
      </c>
      <c r="Q75" s="13" t="s">
        <v>88</v>
      </c>
      <c r="R75" s="13" t="n">
        <v>9.95</v>
      </c>
      <c r="S75" s="13" t="n">
        <v>5.18</v>
      </c>
      <c r="T75" s="13" t="n">
        <v>0.07</v>
      </c>
      <c r="U75" s="13" t="n">
        <v>0.02</v>
      </c>
      <c r="V75" s="13" t="n">
        <v>4.71</v>
      </c>
      <c r="W75" s="13" t="n">
        <v>-0.04</v>
      </c>
      <c r="X75" s="13" t="n">
        <v>55.9</v>
      </c>
      <c r="Y75" s="13" t="n">
        <v>11.3</v>
      </c>
      <c r="Z75" s="13" t="n">
        <v>33.7</v>
      </c>
      <c r="AA75" s="13" t="n">
        <v>8.9</v>
      </c>
      <c r="AB75" s="13" t="n">
        <v>76.1</v>
      </c>
    </row>
    <row r="76" customFormat="false" ht="12.8" hidden="false" customHeight="false" outlineLevel="0" collapsed="false">
      <c r="A76" s="1" t="n">
        <v>5.87</v>
      </c>
      <c r="B76" s="1" t="n">
        <v>-0.2</v>
      </c>
      <c r="C76" s="1" t="n">
        <v>-0.15</v>
      </c>
      <c r="D76" s="1" t="n">
        <v>4.71</v>
      </c>
      <c r="E76" s="1" t="n">
        <v>-0.01</v>
      </c>
      <c r="F76" s="1" t="n">
        <v>51.2</v>
      </c>
      <c r="G76" s="1" t="n">
        <v>18.8</v>
      </c>
      <c r="H76" s="1" t="n">
        <v>33.1</v>
      </c>
      <c r="I76" s="1" t="n">
        <v>10.4</v>
      </c>
      <c r="J76" s="1" t="n">
        <v>78.2</v>
      </c>
      <c r="K76" s="22" t="n">
        <v>10.2228462769013</v>
      </c>
      <c r="L76" s="1" t="n">
        <v>10.22</v>
      </c>
      <c r="M76" s="23" t="n">
        <v>-0.00284627690125916</v>
      </c>
      <c r="P76" s="12" t="n">
        <v>4</v>
      </c>
      <c r="Q76" s="13" t="s">
        <v>89</v>
      </c>
      <c r="R76" s="13" t="n">
        <v>10.22</v>
      </c>
      <c r="S76" s="13" t="n">
        <v>5.18</v>
      </c>
      <c r="T76" s="13" t="n">
        <v>0.18</v>
      </c>
      <c r="U76" s="13" t="n">
        <v>0.15</v>
      </c>
      <c r="V76" s="13" t="n">
        <v>4.71</v>
      </c>
      <c r="W76" s="13" t="n">
        <v>-0.01</v>
      </c>
      <c r="X76" s="13" t="n">
        <v>42.8</v>
      </c>
      <c r="Y76" s="13" t="n">
        <v>11.7</v>
      </c>
      <c r="Z76" s="13" t="n">
        <v>32.9</v>
      </c>
      <c r="AA76" s="13" t="n">
        <v>10.2</v>
      </c>
      <c r="AB76" s="13" t="n">
        <v>76.4</v>
      </c>
    </row>
    <row r="77" customFormat="false" ht="12.8" hidden="false" customHeight="false" outlineLevel="0" collapsed="false">
      <c r="A77" s="1" t="n">
        <v>6.14</v>
      </c>
      <c r="B77" s="1" t="n">
        <v>-0.11</v>
      </c>
      <c r="C77" s="1" t="n">
        <v>-0.43</v>
      </c>
      <c r="D77" s="1" t="n">
        <v>4.71</v>
      </c>
      <c r="E77" s="1" t="n">
        <v>-0.03</v>
      </c>
      <c r="F77" s="1" t="n">
        <v>54.7</v>
      </c>
      <c r="G77" s="1" t="n">
        <v>24.2</v>
      </c>
      <c r="H77" s="1" t="n">
        <v>34</v>
      </c>
      <c r="I77" s="1" t="n">
        <v>10.4</v>
      </c>
      <c r="J77" s="1" t="n">
        <v>68</v>
      </c>
      <c r="K77" s="22" t="n">
        <v>10.264476444257</v>
      </c>
      <c r="L77" s="1" t="n">
        <v>10.29</v>
      </c>
      <c r="M77" s="23" t="n">
        <v>0.0255235557429518</v>
      </c>
      <c r="P77" s="18" t="n">
        <v>4</v>
      </c>
      <c r="Q77" s="13" t="s">
        <v>90</v>
      </c>
      <c r="R77" s="13" t="n">
        <v>10.13</v>
      </c>
      <c r="S77" s="13" t="n">
        <v>5.4</v>
      </c>
      <c r="T77" s="13" t="n">
        <v>0.03</v>
      </c>
      <c r="U77" s="13" t="n">
        <v>-0.01</v>
      </c>
      <c r="V77" s="13" t="n">
        <v>4.71</v>
      </c>
      <c r="W77" s="13" t="n">
        <v>-0.01</v>
      </c>
      <c r="X77" s="13" t="n">
        <v>49.1</v>
      </c>
      <c r="Y77" s="13" t="n">
        <v>11.5</v>
      </c>
      <c r="Z77" s="13" t="n">
        <v>32.6</v>
      </c>
      <c r="AA77" s="13" t="n">
        <v>10.6</v>
      </c>
      <c r="AB77" s="13" t="n">
        <v>78.9</v>
      </c>
    </row>
    <row r="78" customFormat="false" ht="12.8" hidden="false" customHeight="false" outlineLevel="0" collapsed="false">
      <c r="A78" s="1" t="n">
        <v>6.02</v>
      </c>
      <c r="B78" s="1" t="n">
        <v>-0.07</v>
      </c>
      <c r="C78" s="1" t="n">
        <v>-0.33</v>
      </c>
      <c r="D78" s="1" t="n">
        <v>4.71</v>
      </c>
      <c r="E78" s="1" t="n">
        <v>-0.05</v>
      </c>
      <c r="F78" s="1" t="n">
        <v>52.3</v>
      </c>
      <c r="G78" s="1" t="n">
        <v>36.1</v>
      </c>
      <c r="H78" s="1" t="n">
        <v>32.5</v>
      </c>
      <c r="I78" s="1" t="n">
        <v>11.6</v>
      </c>
      <c r="J78" s="1" t="n">
        <v>73.8</v>
      </c>
      <c r="K78" s="22" t="n">
        <v>10.2738034861838</v>
      </c>
      <c r="L78" s="1" t="n">
        <v>10.28</v>
      </c>
      <c r="M78" s="23" t="n">
        <v>0.00619651381623676</v>
      </c>
      <c r="P78" s="12" t="n">
        <v>4</v>
      </c>
      <c r="Q78" s="13" t="s">
        <v>91</v>
      </c>
      <c r="R78" s="13" t="n">
        <v>9.96</v>
      </c>
      <c r="S78" s="13" t="n">
        <v>5.79</v>
      </c>
      <c r="T78" s="13" t="n">
        <v>-0.02</v>
      </c>
      <c r="U78" s="13" t="n">
        <v>-0.44</v>
      </c>
      <c r="V78" s="13" t="n">
        <v>4.71</v>
      </c>
      <c r="W78" s="13" t="n">
        <v>-0.07</v>
      </c>
      <c r="X78" s="13" t="n">
        <v>50.1</v>
      </c>
      <c r="Y78" s="13" t="n">
        <v>17.8</v>
      </c>
      <c r="Z78" s="13" t="n">
        <v>35.1</v>
      </c>
      <c r="AA78" s="13" t="n">
        <v>11.2</v>
      </c>
      <c r="AB78" s="13" t="n">
        <v>74</v>
      </c>
    </row>
    <row r="79" customFormat="false" ht="12.8" hidden="false" customHeight="false" outlineLevel="0" collapsed="false">
      <c r="A79" s="1" t="n">
        <v>5.93</v>
      </c>
      <c r="B79" s="1" t="n">
        <v>0.03</v>
      </c>
      <c r="C79" s="1" t="n">
        <v>-0.51</v>
      </c>
      <c r="D79" s="1" t="n">
        <v>4.71</v>
      </c>
      <c r="E79" s="1" t="n">
        <v>0.06</v>
      </c>
      <c r="F79" s="1" t="n">
        <v>58.3</v>
      </c>
      <c r="G79" s="1" t="n">
        <v>22.1</v>
      </c>
      <c r="H79" s="1" t="n">
        <v>32.2</v>
      </c>
      <c r="I79" s="1" t="n">
        <v>10.6</v>
      </c>
      <c r="J79" s="1" t="n">
        <v>74.1</v>
      </c>
      <c r="K79" s="22" t="n">
        <v>10.2145451917075</v>
      </c>
      <c r="L79" s="1" t="n">
        <v>10.22</v>
      </c>
      <c r="M79" s="23" t="n">
        <v>0.0054548082925443</v>
      </c>
      <c r="P79" s="18" t="n">
        <v>4</v>
      </c>
      <c r="Q79" s="13" t="s">
        <v>92</v>
      </c>
      <c r="R79" s="13" t="n">
        <v>10.18</v>
      </c>
      <c r="S79" s="13" t="n">
        <v>5.96</v>
      </c>
      <c r="T79" s="13" t="n">
        <v>-0.03</v>
      </c>
      <c r="U79" s="13" t="n">
        <v>-0.48</v>
      </c>
      <c r="V79" s="13" t="n">
        <v>4.71</v>
      </c>
      <c r="W79" s="13" t="n">
        <v>0.03</v>
      </c>
      <c r="X79" s="13" t="n">
        <v>49.8</v>
      </c>
      <c r="Y79" s="13" t="n">
        <v>13.7</v>
      </c>
      <c r="Z79" s="13" t="n">
        <v>34.8</v>
      </c>
      <c r="AA79" s="13" t="n">
        <v>11.4</v>
      </c>
      <c r="AB79" s="13" t="n">
        <v>74.8</v>
      </c>
    </row>
    <row r="80" customFormat="false" ht="12.8" hidden="false" customHeight="false" outlineLevel="0" collapsed="false">
      <c r="A80" s="1" t="n">
        <v>6.1</v>
      </c>
      <c r="B80" s="1" t="n">
        <v>-0.14</v>
      </c>
      <c r="C80" s="1" t="n">
        <v>-0.46</v>
      </c>
      <c r="D80" s="1" t="n">
        <v>4.71</v>
      </c>
      <c r="E80" s="1" t="n">
        <v>-0.04</v>
      </c>
      <c r="F80" s="1" t="n">
        <v>61.2</v>
      </c>
      <c r="G80" s="1" t="n">
        <v>17.7</v>
      </c>
      <c r="H80" s="1" t="n">
        <v>30.6</v>
      </c>
      <c r="I80" s="1" t="n">
        <v>9.4</v>
      </c>
      <c r="J80" s="1" t="n">
        <v>71.7</v>
      </c>
      <c r="K80" s="22" t="n">
        <v>10.1809484094153</v>
      </c>
      <c r="L80" s="1" t="n">
        <v>10.17</v>
      </c>
      <c r="M80" s="23" t="n">
        <v>-0.0109484094152741</v>
      </c>
      <c r="P80" s="12" t="n">
        <v>4</v>
      </c>
      <c r="Q80" s="13" t="s">
        <v>93</v>
      </c>
      <c r="R80" s="13" t="n">
        <v>9.94</v>
      </c>
      <c r="S80" s="13" t="n">
        <v>6.07</v>
      </c>
      <c r="T80" s="13" t="n">
        <v>-0.15</v>
      </c>
      <c r="U80" s="13" t="n">
        <v>-0.67</v>
      </c>
      <c r="V80" s="13" t="n">
        <v>4.71</v>
      </c>
      <c r="W80" s="13" t="n">
        <v>-0.01</v>
      </c>
      <c r="X80" s="13" t="n">
        <v>50</v>
      </c>
      <c r="Y80" s="13" t="n">
        <v>15.8</v>
      </c>
      <c r="Z80" s="13" t="n">
        <v>32.6</v>
      </c>
      <c r="AA80" s="13" t="n">
        <v>9.4</v>
      </c>
      <c r="AB80" s="13" t="n">
        <v>81.2</v>
      </c>
    </row>
    <row r="81" customFormat="false" ht="12.8" hidden="false" customHeight="false" outlineLevel="0" collapsed="false">
      <c r="A81" s="1" t="n">
        <v>5.84</v>
      </c>
      <c r="B81" s="1" t="n">
        <v>0.02</v>
      </c>
      <c r="C81" s="1" t="n">
        <v>-0.3</v>
      </c>
      <c r="D81" s="1" t="n">
        <v>4.71</v>
      </c>
      <c r="E81" s="1" t="n">
        <v>-0.04</v>
      </c>
      <c r="F81" s="1" t="n">
        <v>51.5</v>
      </c>
      <c r="G81" s="1" t="n">
        <v>17.3</v>
      </c>
      <c r="H81" s="1" t="n">
        <v>33</v>
      </c>
      <c r="I81" s="1" t="n">
        <v>13.5</v>
      </c>
      <c r="J81" s="1" t="n">
        <v>78.6</v>
      </c>
      <c r="K81" s="22" t="n">
        <v>10.23778202502</v>
      </c>
      <c r="L81" s="1" t="n">
        <v>10.22</v>
      </c>
      <c r="M81" s="23" t="n">
        <v>-0.0177820250199865</v>
      </c>
      <c r="P81" s="18" t="n">
        <v>4</v>
      </c>
      <c r="Q81" s="13" t="s">
        <v>94</v>
      </c>
      <c r="R81" s="13" t="n">
        <v>10.35</v>
      </c>
      <c r="S81" s="13" t="n">
        <v>6.4</v>
      </c>
      <c r="T81" s="13" t="n">
        <v>-0.29</v>
      </c>
      <c r="U81" s="13" t="n">
        <v>-0.55</v>
      </c>
      <c r="V81" s="13" t="n">
        <v>4.71</v>
      </c>
      <c r="W81" s="13" t="n">
        <v>0.1</v>
      </c>
      <c r="X81" s="13" t="n">
        <v>64.8</v>
      </c>
      <c r="Y81" s="13" t="n">
        <v>23.2</v>
      </c>
      <c r="Z81" s="13" t="n">
        <v>32.8</v>
      </c>
      <c r="AA81" s="13" t="n">
        <v>8.6</v>
      </c>
      <c r="AB81" s="13" t="n">
        <v>82.7</v>
      </c>
    </row>
    <row r="82" customFormat="false" ht="12.8" hidden="false" customHeight="false" outlineLevel="0" collapsed="false">
      <c r="A82" s="1" t="n">
        <v>7.05</v>
      </c>
      <c r="B82" s="1" t="n">
        <v>-0.19</v>
      </c>
      <c r="C82" s="1" t="n">
        <v>-0.79</v>
      </c>
      <c r="D82" s="1" t="n">
        <v>4.71</v>
      </c>
      <c r="E82" s="1" t="n">
        <v>-0.07</v>
      </c>
      <c r="F82" s="1" t="n">
        <v>53.4</v>
      </c>
      <c r="G82" s="1" t="n">
        <v>19.9</v>
      </c>
      <c r="H82" s="1" t="n">
        <v>35.3</v>
      </c>
      <c r="I82" s="1" t="n">
        <v>13.2</v>
      </c>
      <c r="J82" s="1" t="n">
        <v>80.4</v>
      </c>
      <c r="K82" s="22" t="n">
        <v>10.6876329468754</v>
      </c>
      <c r="L82" s="1" t="n">
        <v>10.68</v>
      </c>
      <c r="M82" s="23" t="n">
        <v>-0.00763294687539329</v>
      </c>
      <c r="P82" s="12" t="n">
        <v>4</v>
      </c>
      <c r="Q82" s="13" t="s">
        <v>95</v>
      </c>
      <c r="R82" s="13" t="n">
        <v>10.25</v>
      </c>
      <c r="S82" s="13" t="n">
        <v>5.61</v>
      </c>
      <c r="T82" s="13" t="n">
        <v>0.07</v>
      </c>
      <c r="U82" s="13" t="n">
        <v>-0.18</v>
      </c>
      <c r="V82" s="13" t="n">
        <v>4.71</v>
      </c>
      <c r="W82" s="13" t="n">
        <v>0.02</v>
      </c>
      <c r="X82" s="13" t="n">
        <v>56</v>
      </c>
      <c r="Y82" s="13" t="n">
        <v>28.8</v>
      </c>
      <c r="Z82" s="13" t="n">
        <v>31.6</v>
      </c>
      <c r="AA82" s="13" t="n">
        <v>8</v>
      </c>
      <c r="AB82" s="13" t="n">
        <v>78.2</v>
      </c>
    </row>
    <row r="83" customFormat="false" ht="12.8" hidden="false" customHeight="false" outlineLevel="0" collapsed="false">
      <c r="A83" s="1" t="n">
        <v>6.58</v>
      </c>
      <c r="B83" s="1" t="n">
        <v>-0.2</v>
      </c>
      <c r="C83" s="1" t="n">
        <v>-0.79</v>
      </c>
      <c r="D83" s="1" t="n">
        <v>4.71</v>
      </c>
      <c r="E83" s="1" t="n">
        <v>-0.01</v>
      </c>
      <c r="F83" s="1" t="n">
        <v>55.3</v>
      </c>
      <c r="G83" s="1" t="n">
        <v>22.5</v>
      </c>
      <c r="H83" s="1" t="n">
        <v>33.3</v>
      </c>
      <c r="I83" s="1" t="n">
        <v>10.7</v>
      </c>
      <c r="J83" s="1" t="n">
        <v>79.7</v>
      </c>
      <c r="K83" s="22" t="n">
        <v>10.2758876287572</v>
      </c>
      <c r="L83" s="1" t="n">
        <v>10.26</v>
      </c>
      <c r="M83" s="23" t="n">
        <v>-0.0158876287571932</v>
      </c>
      <c r="P83" s="18" t="n">
        <v>4</v>
      </c>
      <c r="Q83" s="13" t="s">
        <v>97</v>
      </c>
      <c r="R83" s="13" t="n">
        <v>10.09</v>
      </c>
      <c r="S83" s="13" t="n">
        <v>5.41</v>
      </c>
      <c r="T83" s="13" t="n">
        <v>0.05</v>
      </c>
      <c r="U83" s="13" t="n">
        <v>-0.12</v>
      </c>
      <c r="V83" s="13" t="n">
        <v>4.71</v>
      </c>
      <c r="W83" s="13" t="n">
        <v>0.03</v>
      </c>
      <c r="X83" s="13" t="n">
        <v>53.3</v>
      </c>
      <c r="Y83" s="13" t="n">
        <v>15.4</v>
      </c>
      <c r="Z83" s="13" t="n">
        <v>31.8</v>
      </c>
      <c r="AA83" s="13" t="n">
        <v>8.6</v>
      </c>
      <c r="AB83" s="13" t="n">
        <v>77.9</v>
      </c>
    </row>
    <row r="84" customFormat="false" ht="12.8" hidden="false" customHeight="false" outlineLevel="0" collapsed="false">
      <c r="A84" s="1" t="n">
        <v>6.33</v>
      </c>
      <c r="B84" s="1" t="n">
        <v>-0.07</v>
      </c>
      <c r="C84" s="1" t="n">
        <v>-0.66</v>
      </c>
      <c r="D84" s="1" t="n">
        <v>4.71</v>
      </c>
      <c r="E84" s="1" t="n">
        <v>0.03</v>
      </c>
      <c r="F84" s="1" t="n">
        <v>58.5</v>
      </c>
      <c r="G84" s="1" t="n">
        <v>30.1</v>
      </c>
      <c r="H84" s="1" t="n">
        <v>33.2</v>
      </c>
      <c r="I84" s="1" t="n">
        <v>11.1</v>
      </c>
      <c r="J84" s="1" t="n">
        <v>79.6</v>
      </c>
      <c r="K84" s="22" t="n">
        <v>10.3168270934677</v>
      </c>
      <c r="L84" s="1" t="n">
        <v>10.29</v>
      </c>
      <c r="M84" s="23" t="n">
        <v>-0.0268270934677464</v>
      </c>
      <c r="P84" s="12" t="n">
        <v>4</v>
      </c>
      <c r="Q84" s="13" t="s">
        <v>98</v>
      </c>
      <c r="R84" s="13" t="n">
        <v>10.15</v>
      </c>
      <c r="S84" s="13" t="n">
        <v>5.78</v>
      </c>
      <c r="T84" s="13" t="n">
        <v>-0.2</v>
      </c>
      <c r="U84" s="13" t="n">
        <v>-0.1</v>
      </c>
      <c r="V84" s="13" t="n">
        <v>4.71</v>
      </c>
      <c r="W84" s="13" t="n">
        <v>-0.03</v>
      </c>
      <c r="X84" s="13" t="n">
        <v>53.4</v>
      </c>
      <c r="Y84" s="13" t="n">
        <v>17</v>
      </c>
      <c r="Z84" s="13" t="n">
        <v>33</v>
      </c>
      <c r="AA84" s="13" t="n">
        <v>8.4</v>
      </c>
      <c r="AB84" s="13" t="n">
        <v>81</v>
      </c>
    </row>
    <row r="85" customFormat="false" ht="12.8" hidden="false" customHeight="false" outlineLevel="0" collapsed="false">
      <c r="A85" s="1" t="n">
        <v>6.41</v>
      </c>
      <c r="B85" s="1" t="n">
        <v>-0.19</v>
      </c>
      <c r="C85" s="1" t="n">
        <v>-0.64</v>
      </c>
      <c r="D85" s="1" t="n">
        <v>4.71</v>
      </c>
      <c r="E85" s="1" t="n">
        <v>0.02</v>
      </c>
      <c r="F85" s="1" t="n">
        <v>63.8</v>
      </c>
      <c r="G85" s="1" t="n">
        <v>26.5</v>
      </c>
      <c r="H85" s="1" t="n">
        <v>33.7</v>
      </c>
      <c r="I85" s="1" t="n">
        <v>8.5</v>
      </c>
      <c r="J85" s="1" t="n">
        <v>76.9</v>
      </c>
      <c r="K85" s="22" t="n">
        <v>10.2757832842312</v>
      </c>
      <c r="L85" s="1" t="n">
        <v>10.3</v>
      </c>
      <c r="M85" s="23" t="n">
        <v>0.0242167157688513</v>
      </c>
      <c r="P85" s="18" t="n">
        <v>4</v>
      </c>
      <c r="Q85" s="13" t="s">
        <v>99</v>
      </c>
      <c r="R85" s="13" t="n">
        <v>10.43</v>
      </c>
      <c r="S85" s="13" t="n">
        <v>6.17</v>
      </c>
      <c r="T85" s="13" t="n">
        <v>-0.11</v>
      </c>
      <c r="U85" s="13" t="n">
        <v>-0.38</v>
      </c>
      <c r="V85" s="13" t="n">
        <v>4.71</v>
      </c>
      <c r="W85" s="13" t="n">
        <v>0.05</v>
      </c>
      <c r="X85" s="13" t="n">
        <v>55.2</v>
      </c>
      <c r="Y85" s="13" t="n">
        <v>20.3</v>
      </c>
      <c r="Z85" s="13" t="n">
        <v>34.7</v>
      </c>
      <c r="AA85" s="13" t="n">
        <v>10</v>
      </c>
      <c r="AB85" s="13" t="n">
        <v>72.1</v>
      </c>
    </row>
    <row r="86" customFormat="false" ht="12.8" hidden="false" customHeight="false" outlineLevel="0" collapsed="false">
      <c r="A86" s="1" t="n">
        <v>6.14</v>
      </c>
      <c r="B86" s="1" t="n">
        <v>-0.08</v>
      </c>
      <c r="C86" s="1" t="n">
        <v>-0.85</v>
      </c>
      <c r="D86" s="1" t="n">
        <v>4.71</v>
      </c>
      <c r="E86" s="1" t="n">
        <v>-0.07</v>
      </c>
      <c r="F86" s="1" t="n">
        <v>51.9</v>
      </c>
      <c r="G86" s="1" t="n">
        <v>21.7</v>
      </c>
      <c r="H86" s="1" t="n">
        <v>34.2</v>
      </c>
      <c r="I86" s="1" t="n">
        <v>11.3</v>
      </c>
      <c r="J86" s="1" t="n">
        <v>80.5</v>
      </c>
      <c r="K86" s="22" t="n">
        <v>9.83409311317879</v>
      </c>
      <c r="L86" s="1" t="n">
        <v>9.83</v>
      </c>
      <c r="M86" s="23" t="n">
        <v>-0.00409311317878824</v>
      </c>
      <c r="P86" s="12" t="n">
        <v>4</v>
      </c>
      <c r="Q86" s="13" t="s">
        <v>100</v>
      </c>
      <c r="R86" s="13" t="n">
        <v>10.34</v>
      </c>
      <c r="S86" s="13" t="n">
        <v>6</v>
      </c>
      <c r="T86" s="13" t="n">
        <v>-0.07</v>
      </c>
      <c r="U86" s="13" t="n">
        <v>-0.3</v>
      </c>
      <c r="V86" s="13" t="n">
        <v>4.71</v>
      </c>
      <c r="W86" s="13" t="n">
        <v>-0.02</v>
      </c>
      <c r="X86" s="13" t="n">
        <v>51.3</v>
      </c>
      <c r="Y86" s="13" t="n">
        <v>29.1</v>
      </c>
      <c r="Z86" s="13" t="n">
        <v>32.5</v>
      </c>
      <c r="AA86" s="13" t="n">
        <v>8.8</v>
      </c>
      <c r="AB86" s="13" t="n">
        <v>76.5</v>
      </c>
    </row>
    <row r="87" customFormat="false" ht="12.8" hidden="false" customHeight="false" outlineLevel="0" collapsed="false">
      <c r="A87" s="1" t="n">
        <v>6.53</v>
      </c>
      <c r="B87" s="1" t="n">
        <v>-0.05</v>
      </c>
      <c r="C87" s="1" t="n">
        <v>-0.91</v>
      </c>
      <c r="D87" s="1" t="n">
        <v>4.71</v>
      </c>
      <c r="E87" s="1" t="n">
        <v>0.07</v>
      </c>
      <c r="F87" s="1" t="n">
        <v>50.5</v>
      </c>
      <c r="G87" s="1" t="n">
        <v>16.9</v>
      </c>
      <c r="H87" s="1" t="n">
        <v>33.1</v>
      </c>
      <c r="I87" s="1" t="n">
        <v>10.5</v>
      </c>
      <c r="J87" s="1" t="n">
        <v>83</v>
      </c>
      <c r="K87" s="22" t="n">
        <v>10.3476467784266</v>
      </c>
      <c r="L87" s="1" t="n">
        <v>10.36</v>
      </c>
      <c r="M87" s="23" t="n">
        <v>0.0123532215734237</v>
      </c>
      <c r="P87" s="18" t="n">
        <v>4</v>
      </c>
      <c r="Q87" s="13" t="s">
        <v>101</v>
      </c>
      <c r="R87" s="13" t="n">
        <v>10.26</v>
      </c>
      <c r="S87" s="13" t="n">
        <v>5.89</v>
      </c>
      <c r="T87" s="13" t="n">
        <v>0.03</v>
      </c>
      <c r="U87" s="13" t="n">
        <v>-0.46</v>
      </c>
      <c r="V87" s="13" t="n">
        <v>4.71</v>
      </c>
      <c r="W87" s="13" t="n">
        <v>0.07</v>
      </c>
      <c r="X87" s="13" t="n">
        <v>56.7</v>
      </c>
      <c r="Y87" s="13" t="n">
        <v>16.1</v>
      </c>
      <c r="Z87" s="13" t="n">
        <v>32.2</v>
      </c>
      <c r="AA87" s="13" t="n">
        <v>8.2</v>
      </c>
      <c r="AB87" s="13" t="n">
        <v>76.4</v>
      </c>
    </row>
    <row r="88" customFormat="false" ht="12.8" hidden="false" customHeight="false" outlineLevel="0" collapsed="false">
      <c r="A88" s="1" t="n">
        <v>6.56</v>
      </c>
      <c r="B88" s="1" t="n">
        <v>0.28</v>
      </c>
      <c r="C88" s="1" t="n">
        <v>-1.58</v>
      </c>
      <c r="D88" s="1" t="n">
        <v>4.71</v>
      </c>
      <c r="E88" s="1" t="n">
        <v>0.01</v>
      </c>
      <c r="F88" s="1" t="n">
        <v>55.8</v>
      </c>
      <c r="G88" s="1" t="n">
        <v>30.8</v>
      </c>
      <c r="H88" s="1" t="n">
        <v>33.2</v>
      </c>
      <c r="I88" s="1" t="n">
        <v>10.3</v>
      </c>
      <c r="J88" s="1" t="n">
        <v>87.6</v>
      </c>
      <c r="K88" s="22" t="n">
        <v>9.95389262064153</v>
      </c>
      <c r="L88" s="1" t="n">
        <v>9.95</v>
      </c>
      <c r="M88" s="23" t="n">
        <v>-0.00389262064152973</v>
      </c>
      <c r="P88" s="12" t="n">
        <v>4</v>
      </c>
      <c r="Q88" s="13" t="s">
        <v>102</v>
      </c>
      <c r="R88" s="13" t="n">
        <v>10.3</v>
      </c>
      <c r="S88" s="13" t="n">
        <v>6.11</v>
      </c>
      <c r="T88" s="13" t="n">
        <v>-0.16</v>
      </c>
      <c r="U88" s="13" t="n">
        <v>-0.38</v>
      </c>
      <c r="V88" s="13" t="n">
        <v>4.71</v>
      </c>
      <c r="W88" s="13" t="n">
        <v>0</v>
      </c>
      <c r="X88" s="13" t="n">
        <v>60.8</v>
      </c>
      <c r="Y88" s="13" t="n">
        <v>14.2</v>
      </c>
      <c r="Z88" s="13" t="n">
        <v>29.3</v>
      </c>
      <c r="AA88" s="13" t="n">
        <v>9.2</v>
      </c>
      <c r="AB88" s="13" t="n">
        <v>74.9</v>
      </c>
    </row>
    <row r="89" customFormat="false" ht="12.8" hidden="false" customHeight="false" outlineLevel="0" collapsed="false">
      <c r="A89" s="1" t="n">
        <v>6.26</v>
      </c>
      <c r="B89" s="1" t="n">
        <v>-0.31</v>
      </c>
      <c r="C89" s="1" t="n">
        <v>-0.26</v>
      </c>
      <c r="D89" s="1" t="n">
        <v>4.71</v>
      </c>
      <c r="E89" s="1" t="n">
        <v>-0.03</v>
      </c>
      <c r="F89" s="1" t="n">
        <v>45</v>
      </c>
      <c r="G89" s="1" t="n">
        <v>9.8</v>
      </c>
      <c r="H89" s="1" t="n">
        <v>31.7</v>
      </c>
      <c r="I89" s="1" t="n">
        <v>9.2</v>
      </c>
      <c r="J89" s="1" t="n">
        <v>81.5</v>
      </c>
      <c r="K89" s="22" t="n">
        <v>10.4021604577425</v>
      </c>
      <c r="L89" s="1" t="n">
        <v>10.39</v>
      </c>
      <c r="M89" s="23" t="n">
        <v>-0.012160457742457</v>
      </c>
      <c r="P89" s="18" t="n">
        <v>4</v>
      </c>
      <c r="Q89" s="13" t="s">
        <v>103</v>
      </c>
      <c r="R89" s="13" t="n">
        <v>10.21</v>
      </c>
      <c r="S89" s="13" t="n">
        <v>5.79</v>
      </c>
      <c r="T89" s="13" t="n">
        <v>0.05</v>
      </c>
      <c r="U89" s="13" t="n">
        <v>-0.28</v>
      </c>
      <c r="V89" s="13" t="n">
        <v>4.71</v>
      </c>
      <c r="W89" s="13" t="n">
        <v>-0.07</v>
      </c>
      <c r="X89" s="13" t="n">
        <v>50.1</v>
      </c>
      <c r="Y89" s="13" t="n">
        <v>14.3</v>
      </c>
      <c r="Z89" s="13" t="n">
        <v>32.9</v>
      </c>
      <c r="AA89" s="13" t="n">
        <v>12</v>
      </c>
      <c r="AB89" s="13" t="n">
        <v>80.5</v>
      </c>
    </row>
    <row r="90" customFormat="false" ht="12.8" hidden="false" customHeight="false" outlineLevel="0" collapsed="false">
      <c r="A90" s="1" t="n">
        <v>6.37</v>
      </c>
      <c r="B90" s="1" t="n">
        <v>-0.3</v>
      </c>
      <c r="C90" s="1" t="n">
        <v>-0.81</v>
      </c>
      <c r="D90" s="1" t="n">
        <v>4.71</v>
      </c>
      <c r="E90" s="1" t="n">
        <v>0.04</v>
      </c>
      <c r="F90" s="1" t="n">
        <v>55.8</v>
      </c>
      <c r="G90" s="1" t="n">
        <v>17.6</v>
      </c>
      <c r="H90" s="1" t="n">
        <v>31.4</v>
      </c>
      <c r="I90" s="1" t="n">
        <v>9.2</v>
      </c>
      <c r="J90" s="1" t="n">
        <v>82.1</v>
      </c>
      <c r="K90" s="22" t="n">
        <v>10.0119467281263</v>
      </c>
      <c r="L90" s="1" t="n">
        <v>10.03</v>
      </c>
      <c r="M90" s="23" t="n">
        <v>0.0180532718736934</v>
      </c>
      <c r="P90" s="12" t="n">
        <v>4</v>
      </c>
      <c r="Q90" s="13" t="s">
        <v>104</v>
      </c>
      <c r="R90" s="13" t="n">
        <v>11</v>
      </c>
      <c r="S90" s="13" t="n">
        <v>7.13</v>
      </c>
      <c r="T90" s="13" t="n">
        <v>-0.19</v>
      </c>
      <c r="U90" s="13" t="n">
        <v>-0.74</v>
      </c>
      <c r="V90" s="13" t="n">
        <v>4.71</v>
      </c>
      <c r="W90" s="13" t="n">
        <v>0.07</v>
      </c>
      <c r="X90" s="13" t="n">
        <v>49.3</v>
      </c>
      <c r="Y90" s="13" t="n">
        <v>17.9</v>
      </c>
      <c r="Z90" s="13" t="n">
        <v>33.4</v>
      </c>
      <c r="AA90" s="13" t="n">
        <v>9</v>
      </c>
      <c r="AB90" s="13" t="n">
        <v>82</v>
      </c>
    </row>
    <row r="91" customFormat="false" ht="12.8" hidden="false" customHeight="false" outlineLevel="0" collapsed="false">
      <c r="A91" s="1" t="n">
        <v>6.01</v>
      </c>
      <c r="B91" s="1" t="n">
        <v>-0.32</v>
      </c>
      <c r="C91" s="1" t="n">
        <v>-0.57</v>
      </c>
      <c r="D91" s="1" t="n">
        <v>4.71</v>
      </c>
      <c r="E91" s="1" t="n">
        <v>0.06</v>
      </c>
      <c r="F91" s="1" t="n">
        <v>55.7</v>
      </c>
      <c r="G91" s="1" t="n">
        <v>14.5</v>
      </c>
      <c r="H91" s="1" t="n">
        <v>31.4</v>
      </c>
      <c r="I91" s="1" t="n">
        <v>9</v>
      </c>
      <c r="J91" s="1" t="n">
        <v>85</v>
      </c>
      <c r="K91" s="22" t="n">
        <v>9.89517380329444</v>
      </c>
      <c r="L91" s="1" t="n">
        <v>9.91</v>
      </c>
      <c r="M91" s="23" t="n">
        <v>0.0148261967055561</v>
      </c>
      <c r="P91" s="18" t="n">
        <v>4</v>
      </c>
      <c r="Q91" s="13" t="s">
        <v>105</v>
      </c>
      <c r="R91" s="13" t="n">
        <v>10.47</v>
      </c>
      <c r="S91" s="13" t="n">
        <v>6.62</v>
      </c>
      <c r="T91" s="13" t="n">
        <v>-0.21</v>
      </c>
      <c r="U91" s="13" t="n">
        <v>-0.74</v>
      </c>
      <c r="V91" s="13" t="n">
        <v>4.71</v>
      </c>
      <c r="W91" s="13" t="n">
        <v>0.09</v>
      </c>
      <c r="X91" s="13" t="n">
        <v>54</v>
      </c>
      <c r="Y91" s="13" t="n">
        <v>21</v>
      </c>
      <c r="Z91" s="13" t="n">
        <v>33.1</v>
      </c>
      <c r="AA91" s="13" t="n">
        <v>9.1</v>
      </c>
      <c r="AB91" s="13" t="n">
        <v>81.6</v>
      </c>
    </row>
    <row r="92" customFormat="false" ht="12.8" hidden="false" customHeight="false" outlineLevel="0" collapsed="false">
      <c r="A92" s="1" t="n">
        <v>5.91</v>
      </c>
      <c r="B92" s="1" t="n">
        <v>-0.17</v>
      </c>
      <c r="C92" s="1" t="n">
        <v>-0.32</v>
      </c>
      <c r="D92" s="1" t="n">
        <v>4.71</v>
      </c>
      <c r="E92" s="1" t="n">
        <v>0.07</v>
      </c>
      <c r="F92" s="1" t="n">
        <v>58.5</v>
      </c>
      <c r="G92" s="1" t="n">
        <v>22.9</v>
      </c>
      <c r="H92" s="1" t="n">
        <v>31.6</v>
      </c>
      <c r="I92" s="1" t="n">
        <v>11.6</v>
      </c>
      <c r="J92" s="1" t="n">
        <v>83.1</v>
      </c>
      <c r="K92" s="22" t="n">
        <v>10.1978098802642</v>
      </c>
      <c r="L92" s="1" t="n">
        <v>10.18</v>
      </c>
      <c r="M92" s="23" t="n">
        <v>-0.0178098802642186</v>
      </c>
      <c r="P92" s="12" t="n">
        <v>4</v>
      </c>
      <c r="Q92" s="13" t="s">
        <v>106</v>
      </c>
      <c r="R92" s="13" t="n">
        <v>10.45</v>
      </c>
      <c r="S92" s="13" t="n">
        <v>6.39</v>
      </c>
      <c r="T92" s="13" t="n">
        <v>-0.06</v>
      </c>
      <c r="U92" s="13" t="n">
        <v>-0.63</v>
      </c>
      <c r="V92" s="13" t="n">
        <v>4.71</v>
      </c>
      <c r="W92" s="13" t="n">
        <v>0.08</v>
      </c>
      <c r="X92" s="13" t="n">
        <v>57.9</v>
      </c>
      <c r="Y92" s="13" t="n">
        <v>29.1</v>
      </c>
      <c r="Z92" s="13" t="n">
        <v>32.8</v>
      </c>
      <c r="AA92" s="13" t="n">
        <v>11.2</v>
      </c>
      <c r="AB92" s="13" t="n">
        <v>81.7</v>
      </c>
    </row>
    <row r="93" customFormat="false" ht="12.8" hidden="false" customHeight="false" outlineLevel="0" collapsed="false">
      <c r="A93" s="1" t="n">
        <v>6.99</v>
      </c>
      <c r="B93" s="1" t="n">
        <v>-0.63</v>
      </c>
      <c r="C93" s="1" t="n">
        <v>-0.8</v>
      </c>
      <c r="D93" s="1" t="n">
        <v>4.71</v>
      </c>
      <c r="E93" s="1" t="n">
        <v>0.02</v>
      </c>
      <c r="F93" s="1" t="n">
        <v>55.9</v>
      </c>
      <c r="G93" s="1" t="n">
        <v>24.4</v>
      </c>
      <c r="H93" s="1" t="n">
        <v>33.2</v>
      </c>
      <c r="I93" s="1" t="n">
        <v>9</v>
      </c>
      <c r="J93" s="1" t="n">
        <v>81.7</v>
      </c>
      <c r="K93" s="22" t="n">
        <v>10.2674304232318</v>
      </c>
      <c r="L93" s="1" t="n">
        <v>10.27</v>
      </c>
      <c r="M93" s="23" t="n">
        <v>0.00256957676817393</v>
      </c>
      <c r="P93" s="18" t="n">
        <v>4</v>
      </c>
      <c r="Q93" s="13" t="s">
        <v>107</v>
      </c>
      <c r="R93" s="13" t="n">
        <v>10.52</v>
      </c>
      <c r="S93" s="13" t="n">
        <v>6.49</v>
      </c>
      <c r="T93" s="13" t="n">
        <v>-0.21</v>
      </c>
      <c r="U93" s="13" t="n">
        <v>-0.6</v>
      </c>
      <c r="V93" s="13" t="n">
        <v>4.71</v>
      </c>
      <c r="W93" s="13" t="n">
        <v>0.13</v>
      </c>
      <c r="X93" s="13" t="n">
        <v>61</v>
      </c>
      <c r="Y93" s="13" t="n">
        <v>24.3</v>
      </c>
      <c r="Z93" s="13" t="n">
        <v>33.1</v>
      </c>
      <c r="AA93" s="13" t="n">
        <v>8.9</v>
      </c>
      <c r="AB93" s="13" t="n">
        <v>79.3</v>
      </c>
    </row>
    <row r="94" customFormat="false" ht="12.8" hidden="false" customHeight="false" outlineLevel="0" collapsed="false">
      <c r="A94" s="1" t="n">
        <v>6.1</v>
      </c>
      <c r="B94" s="1" t="n">
        <v>-0.27</v>
      </c>
      <c r="C94" s="1" t="n">
        <v>-0.5</v>
      </c>
      <c r="D94" s="1" t="n">
        <v>4.71</v>
      </c>
      <c r="E94" s="1" t="n">
        <v>0</v>
      </c>
      <c r="F94" s="1" t="n">
        <v>73</v>
      </c>
      <c r="G94" s="1" t="n">
        <v>22.7</v>
      </c>
      <c r="H94" s="1" t="n">
        <v>33.3</v>
      </c>
      <c r="I94" s="1" t="n">
        <v>10.8</v>
      </c>
      <c r="J94" s="1" t="n">
        <v>83.3</v>
      </c>
      <c r="K94" s="22" t="n">
        <v>9.99874164694445</v>
      </c>
      <c r="L94" s="1" t="n">
        <v>9.99</v>
      </c>
      <c r="M94" s="23" t="n">
        <v>-0.00874164694445234</v>
      </c>
      <c r="P94" s="12" t="n">
        <v>4</v>
      </c>
      <c r="Q94" s="13" t="s">
        <v>108</v>
      </c>
      <c r="R94" s="13" t="n">
        <v>10.14</v>
      </c>
      <c r="S94" s="13" t="n">
        <v>6.17</v>
      </c>
      <c r="T94" s="13" t="n">
        <v>-0.08</v>
      </c>
      <c r="U94" s="13" t="n">
        <v>-0.76</v>
      </c>
      <c r="V94" s="13" t="n">
        <v>4.71</v>
      </c>
      <c r="W94" s="13" t="n">
        <v>0.1</v>
      </c>
      <c r="X94" s="13" t="n">
        <v>52.2</v>
      </c>
      <c r="Y94" s="13" t="n">
        <v>14.6</v>
      </c>
      <c r="Z94" s="13" t="n">
        <v>34.3</v>
      </c>
      <c r="AA94" s="13" t="n">
        <v>8.9</v>
      </c>
      <c r="AB94" s="13" t="n">
        <v>82.3</v>
      </c>
    </row>
    <row r="95" customFormat="false" ht="12.8" hidden="false" customHeight="false" outlineLevel="0" collapsed="false">
      <c r="A95" s="1" t="n">
        <v>5.37</v>
      </c>
      <c r="B95" s="1" t="n">
        <v>-0.16</v>
      </c>
      <c r="C95" s="1" t="n">
        <v>-0.27</v>
      </c>
      <c r="D95" s="1" t="n">
        <v>4.71</v>
      </c>
      <c r="E95" s="1" t="n">
        <v>0.03</v>
      </c>
      <c r="F95" s="1" t="n">
        <v>53.1</v>
      </c>
      <c r="G95" s="1" t="n">
        <v>24.9</v>
      </c>
      <c r="H95" s="1" t="n">
        <v>33.5</v>
      </c>
      <c r="I95" s="1" t="n">
        <v>10.3</v>
      </c>
      <c r="J95" s="1" t="n">
        <v>81.8</v>
      </c>
      <c r="K95" s="22" t="n">
        <v>9.66536643558329</v>
      </c>
      <c r="L95" s="1" t="n">
        <v>9.65</v>
      </c>
      <c r="M95" s="23" t="n">
        <v>-0.0153664355832852</v>
      </c>
      <c r="P95" s="18" t="n">
        <v>4</v>
      </c>
      <c r="Q95" s="13" t="s">
        <v>109</v>
      </c>
      <c r="R95" s="13" t="n">
        <v>10.65</v>
      </c>
      <c r="S95" s="13" t="n">
        <v>6.62</v>
      </c>
      <c r="T95" s="13" t="n">
        <v>-0.03</v>
      </c>
      <c r="U95" s="13" t="n">
        <v>-0.85</v>
      </c>
      <c r="V95" s="13" t="n">
        <v>4.71</v>
      </c>
      <c r="W95" s="13" t="n">
        <v>0.2</v>
      </c>
      <c r="X95" s="13" t="n">
        <v>49.2</v>
      </c>
      <c r="Y95" s="13" t="n">
        <v>12.9</v>
      </c>
      <c r="Z95" s="13" t="n">
        <v>32.2</v>
      </c>
      <c r="AA95" s="13" t="n">
        <v>9.6</v>
      </c>
      <c r="AB95" s="13" t="n">
        <v>84.7</v>
      </c>
    </row>
    <row r="96" customFormat="false" ht="12.8" hidden="false" customHeight="false" outlineLevel="0" collapsed="false">
      <c r="A96" s="1" t="n">
        <v>5.05</v>
      </c>
      <c r="B96" s="1" t="n">
        <v>-0.04</v>
      </c>
      <c r="C96" s="1" t="n">
        <v>0.04</v>
      </c>
      <c r="D96" s="1" t="n">
        <v>4.71</v>
      </c>
      <c r="E96" s="1" t="n">
        <v>-0.01</v>
      </c>
      <c r="F96" s="1" t="n">
        <v>52.3</v>
      </c>
      <c r="G96" s="1" t="n">
        <v>13.9</v>
      </c>
      <c r="H96" s="1" t="n">
        <v>31.7</v>
      </c>
      <c r="I96" s="1" t="n">
        <v>12</v>
      </c>
      <c r="J96" s="1" t="n">
        <v>78.8</v>
      </c>
      <c r="K96" s="22" t="n">
        <v>9.77002867575864</v>
      </c>
      <c r="L96" s="1" t="n">
        <v>9.77</v>
      </c>
      <c r="M96" s="23" t="n">
        <v>-2.86757586387409E-005</v>
      </c>
      <c r="P96" s="12" t="n">
        <v>4</v>
      </c>
      <c r="Q96" s="13" t="s">
        <v>110</v>
      </c>
      <c r="R96" s="13" t="n">
        <v>10.09</v>
      </c>
      <c r="S96" s="13" t="n">
        <v>6.6</v>
      </c>
      <c r="T96" s="13" t="n">
        <v>0.3</v>
      </c>
      <c r="U96" s="13" t="n">
        <v>-1.56</v>
      </c>
      <c r="V96" s="13" t="n">
        <v>4.71</v>
      </c>
      <c r="W96" s="13" t="n">
        <v>0.06</v>
      </c>
      <c r="X96" s="13" t="n">
        <v>55.8</v>
      </c>
      <c r="Y96" s="13" t="n">
        <v>25.9</v>
      </c>
      <c r="Z96" s="13" t="n">
        <v>33.1</v>
      </c>
      <c r="AA96" s="13" t="n">
        <v>9.6</v>
      </c>
      <c r="AB96" s="13" t="n">
        <v>88.6</v>
      </c>
    </row>
    <row r="97" customFormat="false" ht="12.8" hidden="false" customHeight="false" outlineLevel="0" collapsed="false">
      <c r="A97" s="1" t="n">
        <v>5.29</v>
      </c>
      <c r="B97" s="1" t="n">
        <v>-0.06</v>
      </c>
      <c r="C97" s="1" t="n">
        <v>-0.05</v>
      </c>
      <c r="D97" s="1" t="n">
        <v>4.71</v>
      </c>
      <c r="E97" s="1" t="n">
        <v>0.04</v>
      </c>
      <c r="F97" s="1" t="n">
        <v>53.4</v>
      </c>
      <c r="G97" s="1" t="n">
        <v>23.5</v>
      </c>
      <c r="H97" s="1" t="n">
        <v>32.4</v>
      </c>
      <c r="I97" s="1" t="n">
        <v>10.5</v>
      </c>
      <c r="J97" s="1" t="n">
        <v>79.5</v>
      </c>
      <c r="K97" s="22" t="n">
        <v>9.93089664752057</v>
      </c>
      <c r="L97" s="1" t="n">
        <v>9.9</v>
      </c>
      <c r="M97" s="23" t="n">
        <v>-0.0308966475205672</v>
      </c>
      <c r="P97" s="12" t="n">
        <v>5</v>
      </c>
      <c r="Q97" s="13" t="s">
        <v>42</v>
      </c>
      <c r="R97" s="13" t="n">
        <v>10.29</v>
      </c>
      <c r="S97" s="13" t="n">
        <v>6.28</v>
      </c>
      <c r="T97" s="13" t="n">
        <v>-0.31</v>
      </c>
      <c r="U97" s="13" t="n">
        <v>-0.26</v>
      </c>
      <c r="V97" s="13" t="n">
        <v>4.64</v>
      </c>
      <c r="W97" s="13" t="n">
        <v>-0.07</v>
      </c>
      <c r="X97" s="13" t="n">
        <v>47.3</v>
      </c>
      <c r="Y97" s="13" t="n">
        <v>11.6</v>
      </c>
      <c r="Z97" s="13" t="n">
        <v>34.5</v>
      </c>
      <c r="AA97" s="13" t="n">
        <v>9.7</v>
      </c>
      <c r="AB97" s="13" t="n">
        <v>82.3</v>
      </c>
    </row>
    <row r="98" customFormat="false" ht="12.8" hidden="false" customHeight="false" outlineLevel="0" collapsed="false">
      <c r="A98" s="1" t="n">
        <v>5.15</v>
      </c>
      <c r="B98" s="1" t="n">
        <v>-0.02</v>
      </c>
      <c r="C98" s="1" t="n">
        <v>-0.08</v>
      </c>
      <c r="D98" s="1" t="n">
        <v>4.71</v>
      </c>
      <c r="E98" s="1" t="n">
        <v>-0.04</v>
      </c>
      <c r="F98" s="1" t="n">
        <v>51.2</v>
      </c>
      <c r="G98" s="1" t="n">
        <v>10.6</v>
      </c>
      <c r="H98" s="1" t="n">
        <v>31.7</v>
      </c>
      <c r="I98" s="1" t="n">
        <v>9.3</v>
      </c>
      <c r="J98" s="1" t="n">
        <v>80.3</v>
      </c>
      <c r="K98" s="22" t="n">
        <v>9.74394933295482</v>
      </c>
      <c r="L98" s="1" t="n">
        <v>9.73</v>
      </c>
      <c r="M98" s="23" t="n">
        <v>-0.0139493329548159</v>
      </c>
      <c r="P98" s="12" t="n">
        <v>5</v>
      </c>
      <c r="Q98" s="13" t="s">
        <v>45</v>
      </c>
      <c r="R98" s="13" t="n">
        <v>9.79</v>
      </c>
      <c r="S98" s="13" t="n">
        <v>6.33</v>
      </c>
      <c r="T98" s="13" t="n">
        <v>-0.31</v>
      </c>
      <c r="U98" s="13" t="n">
        <v>-0.8</v>
      </c>
      <c r="V98" s="13" t="n">
        <v>4.64</v>
      </c>
      <c r="W98" s="13" t="n">
        <v>-0.07</v>
      </c>
      <c r="X98" s="13" t="n">
        <v>58.1</v>
      </c>
      <c r="Y98" s="13" t="n">
        <v>19.2</v>
      </c>
      <c r="Z98" s="13" t="n">
        <v>34.3</v>
      </c>
      <c r="AA98" s="13" t="n">
        <v>9.3</v>
      </c>
      <c r="AB98" s="13" t="n">
        <v>82.5</v>
      </c>
    </row>
    <row r="99" customFormat="false" ht="12.8" hidden="false" customHeight="false" outlineLevel="0" collapsed="false">
      <c r="A99" s="1" t="n">
        <v>4.91</v>
      </c>
      <c r="B99" s="1" t="n">
        <v>-0.02</v>
      </c>
      <c r="C99" s="1" t="n">
        <v>0.14</v>
      </c>
      <c r="D99" s="1" t="n">
        <v>4.71</v>
      </c>
      <c r="E99" s="1" t="n">
        <v>-0.04</v>
      </c>
      <c r="F99" s="1" t="n">
        <v>43</v>
      </c>
      <c r="G99" s="1" t="n">
        <v>6.6</v>
      </c>
      <c r="H99" s="1" t="n">
        <v>31.8</v>
      </c>
      <c r="I99" s="1" t="n">
        <v>8.7</v>
      </c>
      <c r="J99" s="1" t="n">
        <v>79.8</v>
      </c>
      <c r="K99" s="22" t="n">
        <v>9.74081400142853</v>
      </c>
      <c r="L99" s="1" t="n">
        <v>9.71</v>
      </c>
      <c r="M99" s="23" t="n">
        <v>-0.0308140014285296</v>
      </c>
      <c r="P99" s="12" t="n">
        <v>5</v>
      </c>
      <c r="Q99" s="13" t="s">
        <v>46</v>
      </c>
      <c r="R99" s="13" t="n">
        <v>9.77</v>
      </c>
      <c r="S99" s="13" t="n">
        <v>6</v>
      </c>
      <c r="T99" s="13" t="n">
        <v>-0.32</v>
      </c>
      <c r="U99" s="13" t="n">
        <v>-0.57</v>
      </c>
      <c r="V99" s="13" t="n">
        <v>4.64</v>
      </c>
      <c r="W99" s="13" t="n">
        <v>0.01</v>
      </c>
      <c r="X99" s="13" t="n">
        <v>61.1</v>
      </c>
      <c r="Y99" s="13" t="n">
        <v>17</v>
      </c>
      <c r="Z99" s="13" t="n">
        <v>33.3</v>
      </c>
      <c r="AA99" s="13" t="n">
        <v>10.6</v>
      </c>
      <c r="AB99" s="13" t="n">
        <v>85.3</v>
      </c>
    </row>
    <row r="100" customFormat="false" ht="12.8" hidden="false" customHeight="false" outlineLevel="0" collapsed="false">
      <c r="A100" s="1" t="n">
        <v>5.02</v>
      </c>
      <c r="B100" s="1" t="n">
        <v>-0.11</v>
      </c>
      <c r="C100" s="1" t="n">
        <v>0.14</v>
      </c>
      <c r="D100" s="1" t="n">
        <v>4.71</v>
      </c>
      <c r="E100" s="1" t="n">
        <v>-0.01</v>
      </c>
      <c r="F100" s="1" t="n">
        <v>40</v>
      </c>
      <c r="G100" s="1" t="n">
        <v>12.6</v>
      </c>
      <c r="H100" s="1" t="n">
        <v>31.4</v>
      </c>
      <c r="I100" s="1" t="n">
        <v>9.7</v>
      </c>
      <c r="J100" s="1" t="n">
        <v>80.1</v>
      </c>
      <c r="K100" s="22" t="n">
        <v>9.79213351262008</v>
      </c>
      <c r="L100" s="1" t="n">
        <v>9.76</v>
      </c>
      <c r="M100" s="23" t="n">
        <v>-0.0321335126200761</v>
      </c>
      <c r="P100" s="12" t="n">
        <v>5</v>
      </c>
      <c r="Q100" s="13" t="s">
        <v>48</v>
      </c>
      <c r="R100" s="13" t="n">
        <v>10.05</v>
      </c>
      <c r="S100" s="13" t="n">
        <v>5.91</v>
      </c>
      <c r="T100" s="13" t="n">
        <v>-0.17</v>
      </c>
      <c r="U100" s="13" t="n">
        <v>-0.32</v>
      </c>
      <c r="V100" s="13" t="n">
        <v>4.64</v>
      </c>
      <c r="W100" s="13" t="n">
        <v>0.01</v>
      </c>
      <c r="X100" s="13" t="n">
        <v>60.6</v>
      </c>
      <c r="Y100" s="13" t="n">
        <v>24.3</v>
      </c>
      <c r="Z100" s="13" t="n">
        <v>35</v>
      </c>
      <c r="AA100" s="13" t="n">
        <v>11.9</v>
      </c>
      <c r="AB100" s="13" t="n">
        <v>83.6</v>
      </c>
    </row>
    <row r="101" customFormat="false" ht="12.8" hidden="false" customHeight="false" outlineLevel="0" collapsed="false">
      <c r="A101" s="1" t="n">
        <v>4.31</v>
      </c>
      <c r="B101" s="1" t="n">
        <v>0.13</v>
      </c>
      <c r="C101" s="1" t="n">
        <v>0.67</v>
      </c>
      <c r="D101" s="1" t="n">
        <v>4.71</v>
      </c>
      <c r="E101" s="1" t="n">
        <v>-0.02</v>
      </c>
      <c r="F101" s="1" t="n">
        <v>47.2</v>
      </c>
      <c r="G101" s="1" t="n">
        <v>7.7</v>
      </c>
      <c r="H101" s="1" t="n">
        <v>32.4</v>
      </c>
      <c r="I101" s="1" t="n">
        <v>9.2</v>
      </c>
      <c r="J101" s="1" t="n">
        <v>78.4</v>
      </c>
      <c r="K101" s="22" t="n">
        <v>9.83451335558724</v>
      </c>
      <c r="L101" s="1" t="n">
        <v>9.81</v>
      </c>
      <c r="M101" s="23" t="n">
        <v>-0.0245133555872386</v>
      </c>
      <c r="P101" s="12" t="n">
        <v>5</v>
      </c>
      <c r="Q101" s="13" t="s">
        <v>49</v>
      </c>
      <c r="R101" s="13" t="n">
        <v>9.86</v>
      </c>
      <c r="S101" s="13" t="n">
        <v>6.8</v>
      </c>
      <c r="T101" s="13" t="n">
        <v>-0.64</v>
      </c>
      <c r="U101" s="13" t="n">
        <v>-0.76</v>
      </c>
      <c r="V101" s="13" t="n">
        <v>4.64</v>
      </c>
      <c r="W101" s="13" t="n">
        <v>-0.14</v>
      </c>
      <c r="X101" s="13" t="n">
        <v>59.2</v>
      </c>
      <c r="Y101" s="13" t="n">
        <v>36.2</v>
      </c>
      <c r="Z101" s="13" t="n">
        <v>34.5</v>
      </c>
      <c r="AA101" s="13" t="n">
        <v>9</v>
      </c>
      <c r="AB101" s="13" t="n">
        <v>82.5</v>
      </c>
    </row>
    <row r="102" customFormat="false" ht="12.8" hidden="false" customHeight="false" outlineLevel="0" collapsed="false">
      <c r="A102" s="1" t="n">
        <v>4.82</v>
      </c>
      <c r="B102" s="1" t="n">
        <v>-0.06</v>
      </c>
      <c r="C102" s="1" t="n">
        <v>0.41</v>
      </c>
      <c r="D102" s="1" t="n">
        <v>4.71</v>
      </c>
      <c r="E102" s="1" t="n">
        <v>-0.04</v>
      </c>
      <c r="F102" s="1" t="n">
        <v>41.7</v>
      </c>
      <c r="G102" s="1" t="n">
        <v>8.9</v>
      </c>
      <c r="H102" s="1" t="n">
        <v>31.7</v>
      </c>
      <c r="I102" s="1" t="n">
        <v>10.2</v>
      </c>
      <c r="J102" s="1" t="n">
        <v>79</v>
      </c>
      <c r="K102" s="22" t="n">
        <v>9.88494751599844</v>
      </c>
      <c r="L102" s="1" t="n">
        <v>9.85</v>
      </c>
      <c r="M102" s="23" t="n">
        <v>-0.0349475159984376</v>
      </c>
      <c r="P102" s="12" t="n">
        <v>5</v>
      </c>
      <c r="Q102" s="13" t="s">
        <v>50</v>
      </c>
      <c r="R102" s="13" t="n">
        <v>9.98</v>
      </c>
      <c r="S102" s="13" t="n">
        <v>6.15</v>
      </c>
      <c r="T102" s="13" t="n">
        <v>-0.28</v>
      </c>
      <c r="U102" s="13" t="n">
        <v>-0.48</v>
      </c>
      <c r="V102" s="13" t="n">
        <v>4.64</v>
      </c>
      <c r="W102" s="13" t="n">
        <v>-0.01</v>
      </c>
      <c r="X102" s="13" t="n">
        <v>75.1</v>
      </c>
      <c r="Y102" s="13" t="n">
        <v>27.3</v>
      </c>
      <c r="Z102" s="13" t="n">
        <v>34.7</v>
      </c>
      <c r="AA102" s="13" t="n">
        <v>10.5</v>
      </c>
      <c r="AB102" s="13" t="n">
        <v>84</v>
      </c>
    </row>
    <row r="103" customFormat="false" ht="12.8" hidden="false" customHeight="false" outlineLevel="0" collapsed="false">
      <c r="A103" s="1" t="n">
        <v>5.28</v>
      </c>
      <c r="B103" s="1" t="n">
        <v>-0.14</v>
      </c>
      <c r="C103" s="1" t="n">
        <v>-0.31</v>
      </c>
      <c r="D103" s="1" t="n">
        <v>4.71</v>
      </c>
      <c r="E103" s="1" t="n">
        <v>0</v>
      </c>
      <c r="F103" s="1" t="n">
        <v>65.2</v>
      </c>
      <c r="G103" s="1" t="n">
        <v>17.5</v>
      </c>
      <c r="H103" s="1" t="n">
        <v>33.1</v>
      </c>
      <c r="I103" s="1" t="n">
        <v>11.1</v>
      </c>
      <c r="J103" s="1" t="n">
        <v>81.5</v>
      </c>
      <c r="K103" s="22" t="n">
        <v>9.51773796584524</v>
      </c>
      <c r="L103" s="1" t="n">
        <v>9.51</v>
      </c>
      <c r="M103" s="23" t="n">
        <v>-0.00773796584524256</v>
      </c>
      <c r="P103" s="12" t="n">
        <v>5</v>
      </c>
      <c r="Q103" s="13" t="s">
        <v>51</v>
      </c>
      <c r="R103" s="13" t="n">
        <v>9.53</v>
      </c>
      <c r="S103" s="13" t="n">
        <v>5.42</v>
      </c>
      <c r="T103" s="13" t="n">
        <v>-0.18</v>
      </c>
      <c r="U103" s="13" t="n">
        <v>-0.27</v>
      </c>
      <c r="V103" s="13" t="n">
        <v>4.64</v>
      </c>
      <c r="W103" s="13" t="n">
        <v>-0.06</v>
      </c>
      <c r="X103" s="13" t="n">
        <v>57.4</v>
      </c>
      <c r="Y103" s="13" t="n">
        <v>26.4</v>
      </c>
      <c r="Z103" s="13" t="n">
        <v>35.1</v>
      </c>
      <c r="AA103" s="14" t="n">
        <v>48</v>
      </c>
      <c r="AB103" s="14" t="n">
        <v>9.9</v>
      </c>
    </row>
    <row r="104" customFormat="false" ht="12.8" hidden="false" customHeight="false" outlineLevel="0" collapsed="false">
      <c r="A104" s="1" t="n">
        <v>4.88</v>
      </c>
      <c r="B104" s="1" t="n">
        <v>-0.09</v>
      </c>
      <c r="C104" s="1" t="n">
        <v>0.13</v>
      </c>
      <c r="D104" s="1" t="n">
        <v>4.71</v>
      </c>
      <c r="E104" s="1" t="n">
        <v>0.02</v>
      </c>
      <c r="F104" s="1" t="n">
        <v>67.2</v>
      </c>
      <c r="G104" s="1" t="n">
        <v>27.6</v>
      </c>
      <c r="H104" s="1" t="n">
        <v>31.6</v>
      </c>
      <c r="I104" s="1" t="n">
        <v>15.9</v>
      </c>
      <c r="J104" s="1" t="n">
        <v>80.8</v>
      </c>
      <c r="K104" s="22" t="n">
        <v>9.63563183117346</v>
      </c>
      <c r="L104" s="1" t="n">
        <v>9.61</v>
      </c>
      <c r="M104" s="23" t="n">
        <v>-0.0256318311734614</v>
      </c>
      <c r="P104" s="12" t="n">
        <v>5</v>
      </c>
      <c r="Q104" s="13" t="s">
        <v>52</v>
      </c>
      <c r="R104" s="13" t="n">
        <v>9.73</v>
      </c>
      <c r="S104" s="13" t="n">
        <v>5.12</v>
      </c>
      <c r="T104" s="13" t="n">
        <v>-0.04</v>
      </c>
      <c r="U104" s="13" t="n">
        <v>0.03</v>
      </c>
      <c r="V104" s="13" t="n">
        <v>4.64</v>
      </c>
      <c r="W104" s="13" t="n">
        <v>-0.03</v>
      </c>
      <c r="X104" s="13" t="n">
        <v>55.9</v>
      </c>
      <c r="Y104" s="13" t="n">
        <v>14.9</v>
      </c>
      <c r="Z104" s="13" t="n">
        <v>33</v>
      </c>
      <c r="AA104" s="14" t="n">
        <v>55.1</v>
      </c>
      <c r="AB104" s="14" t="n">
        <v>17.8</v>
      </c>
    </row>
    <row r="105" customFormat="false" ht="12.8" hidden="false" customHeight="false" outlineLevel="0" collapsed="false">
      <c r="A105" s="1" t="n">
        <v>5.27</v>
      </c>
      <c r="B105" s="1" t="n">
        <v>-0.03</v>
      </c>
      <c r="C105" s="1" t="n">
        <v>0</v>
      </c>
      <c r="D105" s="1" t="n">
        <v>4.71</v>
      </c>
      <c r="E105" s="1" t="n">
        <v>-0.06</v>
      </c>
      <c r="F105" s="1" t="n">
        <v>61.1</v>
      </c>
      <c r="G105" s="1" t="n">
        <v>15.4</v>
      </c>
      <c r="H105" s="1" t="n">
        <v>31</v>
      </c>
      <c r="I105" s="1" t="n">
        <v>13.1</v>
      </c>
      <c r="J105" s="1" t="n">
        <v>79.5</v>
      </c>
      <c r="K105" s="22" t="n">
        <v>9.90459255413621</v>
      </c>
      <c r="L105" s="1" t="n">
        <v>9.89</v>
      </c>
      <c r="M105" s="23" t="n">
        <v>-0.0145925541362129</v>
      </c>
      <c r="P105" s="12" t="n">
        <v>5</v>
      </c>
      <c r="Q105" s="13" t="s">
        <v>53</v>
      </c>
      <c r="R105" s="13" t="n">
        <v>9.96</v>
      </c>
      <c r="S105" s="13" t="n">
        <v>5.4</v>
      </c>
      <c r="T105" s="13" t="n">
        <v>-0.06</v>
      </c>
      <c r="U105" s="13" t="n">
        <v>-0.05</v>
      </c>
      <c r="V105" s="13" t="n">
        <v>4.64</v>
      </c>
      <c r="W105" s="13" t="n">
        <v>0.04</v>
      </c>
      <c r="X105" s="13" t="n">
        <v>58.3</v>
      </c>
      <c r="Y105" s="13" t="n">
        <v>23.9</v>
      </c>
      <c r="Z105" s="13" t="n">
        <v>34.9</v>
      </c>
      <c r="AA105" s="14" t="n">
        <v>57.9</v>
      </c>
      <c r="AB105" s="14" t="n">
        <v>14.6</v>
      </c>
    </row>
    <row r="106" customFormat="false" ht="12.8" hidden="false" customHeight="false" outlineLevel="0" collapsed="false">
      <c r="A106" s="1" t="n">
        <v>5.4</v>
      </c>
      <c r="B106" s="1" t="n">
        <v>-0.12</v>
      </c>
      <c r="C106" s="1" t="n">
        <v>-0.03</v>
      </c>
      <c r="D106" s="1" t="n">
        <v>4.71</v>
      </c>
      <c r="E106" s="1" t="n">
        <v>0</v>
      </c>
      <c r="F106" s="1" t="n">
        <v>58.3</v>
      </c>
      <c r="G106" s="1" t="n">
        <v>17</v>
      </c>
      <c r="H106" s="1" t="n">
        <v>32.7</v>
      </c>
      <c r="I106" s="1" t="n">
        <v>13.9</v>
      </c>
      <c r="J106" s="1" t="n">
        <v>79.1</v>
      </c>
      <c r="K106" s="22" t="n">
        <v>9.95844605190196</v>
      </c>
      <c r="L106" s="1" t="n">
        <v>9.96</v>
      </c>
      <c r="M106" s="23" t="n">
        <v>0.00155394809804399</v>
      </c>
      <c r="P106" s="12" t="n">
        <v>5</v>
      </c>
      <c r="Q106" s="13" t="s">
        <v>54</v>
      </c>
      <c r="R106" s="13" t="n">
        <v>9.76</v>
      </c>
      <c r="S106" s="13" t="n">
        <v>5.21</v>
      </c>
      <c r="T106" s="13" t="n">
        <v>-0.02</v>
      </c>
      <c r="U106" s="13" t="n">
        <v>-0.08</v>
      </c>
      <c r="V106" s="13" t="n">
        <v>4.64</v>
      </c>
      <c r="W106" s="13" t="n">
        <v>0</v>
      </c>
      <c r="X106" s="13" t="n">
        <v>54.2</v>
      </c>
      <c r="Y106" s="13" t="n">
        <v>12.4</v>
      </c>
      <c r="Z106" s="13" t="n">
        <v>33.6</v>
      </c>
      <c r="AA106" s="14" t="n">
        <v>60</v>
      </c>
      <c r="AB106" s="14" t="n">
        <v>27.4</v>
      </c>
    </row>
    <row r="107" customFormat="false" ht="12.8" hidden="false" customHeight="false" outlineLevel="0" collapsed="false">
      <c r="A107" s="1" t="n">
        <v>5.37</v>
      </c>
      <c r="B107" s="1" t="n">
        <v>-0.14</v>
      </c>
      <c r="C107" s="1" t="n">
        <v>-0.18</v>
      </c>
      <c r="D107" s="1" t="n">
        <v>4.71</v>
      </c>
      <c r="E107" s="1" t="n">
        <v>-0.09</v>
      </c>
      <c r="F107" s="1" t="n">
        <v>62.9</v>
      </c>
      <c r="G107" s="1" t="n">
        <v>16.2</v>
      </c>
      <c r="H107" s="1" t="n">
        <v>31.6</v>
      </c>
      <c r="I107" s="1" t="n">
        <v>10.6</v>
      </c>
      <c r="J107" s="1" t="n">
        <v>78.9</v>
      </c>
      <c r="K107" s="22" t="n">
        <v>9.67189409422499</v>
      </c>
      <c r="L107" s="1" t="n">
        <v>9.66</v>
      </c>
      <c r="M107" s="23" t="n">
        <v>-0.0118940942249939</v>
      </c>
      <c r="P107" s="12" t="n">
        <v>5</v>
      </c>
      <c r="Q107" s="13" t="s">
        <v>56</v>
      </c>
      <c r="R107" s="13" t="n">
        <v>9.82</v>
      </c>
      <c r="S107" s="13" t="n">
        <v>5.03</v>
      </c>
      <c r="T107" s="13" t="n">
        <v>-0.01</v>
      </c>
      <c r="U107" s="13" t="n">
        <v>0.14</v>
      </c>
      <c r="V107" s="13" t="n">
        <v>4.64</v>
      </c>
      <c r="W107" s="13" t="n">
        <v>0.01</v>
      </c>
      <c r="X107" s="13" t="n">
        <v>48</v>
      </c>
      <c r="Y107" s="13" t="n">
        <v>9.4</v>
      </c>
      <c r="Z107" s="13" t="n">
        <v>34.4</v>
      </c>
      <c r="AA107" s="14" t="n">
        <v>53.8</v>
      </c>
      <c r="AB107" s="14" t="n">
        <v>28.7</v>
      </c>
    </row>
    <row r="108" customFormat="false" ht="12.8" hidden="false" customHeight="false" outlineLevel="0" collapsed="false">
      <c r="A108" s="1" t="n">
        <v>5.26</v>
      </c>
      <c r="B108" s="1" t="n">
        <v>-0.08</v>
      </c>
      <c r="C108" s="1" t="n">
        <v>-0.24</v>
      </c>
      <c r="D108" s="1" t="n">
        <v>4.71</v>
      </c>
      <c r="E108" s="1" t="n">
        <v>0.03</v>
      </c>
      <c r="F108" s="1" t="n">
        <v>58.8</v>
      </c>
      <c r="G108" s="1" t="n">
        <v>18.7</v>
      </c>
      <c r="H108" s="1" t="n">
        <v>32.3</v>
      </c>
      <c r="I108" s="1" t="n">
        <v>9.9</v>
      </c>
      <c r="J108" s="1" t="n">
        <v>81.2</v>
      </c>
      <c r="K108" s="22" t="n">
        <v>9.67460961984126</v>
      </c>
      <c r="L108" s="1" t="n">
        <v>9.67</v>
      </c>
      <c r="M108" s="23" t="n">
        <v>-0.00460961984126307</v>
      </c>
      <c r="P108" s="12" t="n">
        <v>5</v>
      </c>
      <c r="Q108" s="13" t="s">
        <v>58</v>
      </c>
      <c r="R108" s="13" t="n">
        <v>9.87</v>
      </c>
      <c r="S108" s="13" t="n">
        <v>5.16</v>
      </c>
      <c r="T108" s="13" t="n">
        <v>-0.1</v>
      </c>
      <c r="U108" s="13" t="n">
        <v>0.13</v>
      </c>
      <c r="V108" s="13" t="n">
        <v>4.64</v>
      </c>
      <c r="W108" s="13" t="n">
        <v>0.03</v>
      </c>
      <c r="X108" s="13" t="n">
        <v>44.8</v>
      </c>
      <c r="Y108" s="13" t="n">
        <v>14.5</v>
      </c>
      <c r="Z108" s="13" t="n">
        <v>34.8</v>
      </c>
      <c r="AA108" s="14" t="n">
        <v>73.8</v>
      </c>
      <c r="AB108" s="14" t="n">
        <v>24</v>
      </c>
    </row>
    <row r="109" customFormat="false" ht="12.8" hidden="false" customHeight="false" outlineLevel="0" collapsed="false">
      <c r="A109" s="1" t="n">
        <v>5.21</v>
      </c>
      <c r="B109" s="1" t="n">
        <v>0.01</v>
      </c>
      <c r="C109" s="1" t="n">
        <v>-0.08</v>
      </c>
      <c r="D109" s="1" t="n">
        <v>4.71</v>
      </c>
      <c r="E109" s="1" t="n">
        <v>-0.04</v>
      </c>
      <c r="F109" s="1" t="n">
        <v>56.6</v>
      </c>
      <c r="G109" s="1" t="n">
        <v>21.8</v>
      </c>
      <c r="H109" s="1" t="n">
        <v>33.2</v>
      </c>
      <c r="I109" s="1" t="n">
        <v>8.9</v>
      </c>
      <c r="J109" s="1" t="n">
        <v>77.9</v>
      </c>
      <c r="K109" s="22" t="n">
        <v>9.80266280963975</v>
      </c>
      <c r="L109" s="1" t="n">
        <v>9.82</v>
      </c>
      <c r="M109" s="23" t="n">
        <v>0.0173371903602497</v>
      </c>
      <c r="P109" s="12" t="n">
        <v>5</v>
      </c>
      <c r="Q109" s="13" t="s">
        <v>60</v>
      </c>
      <c r="R109" s="13" t="n">
        <v>10</v>
      </c>
      <c r="S109" s="13" t="n">
        <v>4.47</v>
      </c>
      <c r="T109" s="13" t="n">
        <v>0.14</v>
      </c>
      <c r="U109" s="13" t="n">
        <v>0.67</v>
      </c>
      <c r="V109" s="13" t="n">
        <v>4.64</v>
      </c>
      <c r="W109" s="13" t="n">
        <v>0.07</v>
      </c>
      <c r="X109" s="13" t="n">
        <v>51.5</v>
      </c>
      <c r="Y109" s="13" t="n">
        <v>8.9</v>
      </c>
      <c r="Z109" s="13" t="n">
        <v>35.5</v>
      </c>
      <c r="AA109" s="14" t="n">
        <v>55</v>
      </c>
      <c r="AB109" s="14" t="n">
        <v>23.9</v>
      </c>
    </row>
    <row r="110" customFormat="false" ht="12.8" hidden="false" customHeight="false" outlineLevel="0" collapsed="false">
      <c r="A110" s="1" t="n">
        <v>4.96</v>
      </c>
      <c r="B110" s="1" t="n">
        <v>-0.05</v>
      </c>
      <c r="C110" s="1" t="n">
        <v>0.1</v>
      </c>
      <c r="D110" s="1" t="n">
        <v>4.71</v>
      </c>
      <c r="E110" s="1" t="n">
        <v>0.03</v>
      </c>
      <c r="F110" s="1" t="n">
        <v>54.6</v>
      </c>
      <c r="G110" s="1" t="n">
        <v>15.6</v>
      </c>
      <c r="H110" s="1" t="n">
        <v>33.5</v>
      </c>
      <c r="I110" s="1" t="n">
        <v>10.5</v>
      </c>
      <c r="J110" s="1" t="n">
        <v>80.4</v>
      </c>
      <c r="K110" s="22" t="n">
        <v>9.74656104774861</v>
      </c>
      <c r="L110" s="1" t="n">
        <v>9.75</v>
      </c>
      <c r="M110" s="23" t="n">
        <v>0.00343895225138979</v>
      </c>
      <c r="P110" s="12" t="n">
        <v>5</v>
      </c>
      <c r="Q110" s="13" t="s">
        <v>62</v>
      </c>
      <c r="R110" s="13" t="n">
        <v>10.02</v>
      </c>
      <c r="S110" s="13" t="n">
        <v>5</v>
      </c>
      <c r="T110" s="13" t="n">
        <v>-0.06</v>
      </c>
      <c r="U110" s="13" t="n">
        <v>0.39</v>
      </c>
      <c r="V110" s="13" t="n">
        <v>4.64</v>
      </c>
      <c r="W110" s="13" t="n">
        <v>0.03</v>
      </c>
      <c r="X110" s="13" t="n">
        <v>46.5</v>
      </c>
      <c r="Y110" s="13" t="n">
        <v>10.5</v>
      </c>
      <c r="Z110" s="13" t="n">
        <v>35.1</v>
      </c>
      <c r="AA110" s="14" t="n">
        <v>52.8</v>
      </c>
      <c r="AB110" s="14" t="n">
        <v>20.2</v>
      </c>
    </row>
    <row r="111" customFormat="false" ht="12.8" hidden="false" customHeight="false" outlineLevel="0" collapsed="false">
      <c r="A111" s="1" t="n">
        <v>4.71</v>
      </c>
      <c r="B111" s="1" t="n">
        <v>0.2</v>
      </c>
      <c r="C111" s="1" t="n">
        <v>0.27</v>
      </c>
      <c r="D111" s="1" t="n">
        <v>4.71</v>
      </c>
      <c r="E111" s="1" t="n">
        <v>0.02</v>
      </c>
      <c r="F111" s="1" t="n">
        <v>49.7</v>
      </c>
      <c r="G111" s="1" t="n">
        <v>11.2</v>
      </c>
      <c r="H111" s="1" t="n">
        <v>31.8</v>
      </c>
      <c r="I111" s="1" t="n">
        <v>9.8</v>
      </c>
      <c r="J111" s="1" t="n">
        <v>78.3</v>
      </c>
      <c r="K111" s="22" t="n">
        <v>9.93958599459113</v>
      </c>
      <c r="L111" s="1" t="n">
        <v>9.93</v>
      </c>
      <c r="M111" s="23" t="n">
        <v>-0.00958599459112897</v>
      </c>
      <c r="P111" s="12" t="n">
        <v>5</v>
      </c>
      <c r="Q111" s="13" t="s">
        <v>64</v>
      </c>
      <c r="R111" s="13" t="n">
        <v>9.33</v>
      </c>
      <c r="S111" s="13" t="n">
        <v>5.24</v>
      </c>
      <c r="T111" s="13" t="n">
        <v>-0.14</v>
      </c>
      <c r="U111" s="13" t="n">
        <v>-0.3</v>
      </c>
      <c r="V111" s="13" t="n">
        <v>4.64</v>
      </c>
      <c r="W111" s="13" t="n">
        <v>-0.1</v>
      </c>
      <c r="X111" s="13" t="n">
        <v>67.5</v>
      </c>
      <c r="Y111" s="13" t="n">
        <v>21.9</v>
      </c>
      <c r="Z111" s="13" t="n">
        <v>34.9</v>
      </c>
      <c r="AA111" s="14" t="n">
        <v>53.3</v>
      </c>
      <c r="AB111" s="14" t="n">
        <v>22.7</v>
      </c>
    </row>
    <row r="112" customFormat="false" ht="12.8" hidden="false" customHeight="false" outlineLevel="0" collapsed="false">
      <c r="A112" s="1" t="n">
        <v>5.08</v>
      </c>
      <c r="B112" s="1" t="n">
        <v>0.03</v>
      </c>
      <c r="C112" s="1" t="n">
        <v>0.03</v>
      </c>
      <c r="D112" s="1" t="n">
        <v>4.71</v>
      </c>
      <c r="E112" s="1" t="n">
        <v>0.05</v>
      </c>
      <c r="F112" s="1" t="n">
        <v>57.7</v>
      </c>
      <c r="G112" s="1" t="n">
        <v>14.4</v>
      </c>
      <c r="H112" s="1" t="n">
        <v>32.4</v>
      </c>
      <c r="I112" s="1" t="n">
        <v>9.6</v>
      </c>
      <c r="J112" s="1" t="n">
        <v>78.3</v>
      </c>
      <c r="K112" s="22" t="n">
        <v>9.90350013446711</v>
      </c>
      <c r="L112" s="1" t="n">
        <v>9.91</v>
      </c>
      <c r="M112" s="23" t="n">
        <v>0.00649986553288606</v>
      </c>
      <c r="P112" s="12" t="n">
        <v>5</v>
      </c>
      <c r="Q112" s="13" t="s">
        <v>66</v>
      </c>
      <c r="R112" s="13" t="n">
        <v>9.57</v>
      </c>
      <c r="S112" s="13" t="n">
        <v>4.94</v>
      </c>
      <c r="T112" s="13" t="n">
        <v>-0.09</v>
      </c>
      <c r="U112" s="13" t="n">
        <v>0.11</v>
      </c>
      <c r="V112" s="13" t="n">
        <v>4.64</v>
      </c>
      <c r="W112" s="13" t="n">
        <v>-0.05</v>
      </c>
      <c r="X112" s="13" t="n">
        <v>69.1</v>
      </c>
      <c r="Y112" s="13" t="n">
        <v>33.1</v>
      </c>
      <c r="Z112" s="13" t="n">
        <v>33.7</v>
      </c>
      <c r="AA112" s="14" t="n">
        <v>51.2</v>
      </c>
      <c r="AB112" s="14" t="n">
        <v>13.5</v>
      </c>
    </row>
    <row r="113" customFormat="false" ht="12.8" hidden="false" customHeight="false" outlineLevel="0" collapsed="false">
      <c r="A113" s="1" t="n">
        <v>5.2</v>
      </c>
      <c r="B113" s="1" t="n">
        <v>0.07</v>
      </c>
      <c r="C113" s="1" t="n">
        <v>-0.15</v>
      </c>
      <c r="D113" s="1" t="n">
        <v>4.71</v>
      </c>
      <c r="E113" s="1" t="n">
        <v>0.02</v>
      </c>
      <c r="F113" s="1" t="n">
        <v>57</v>
      </c>
      <c r="G113" s="1" t="n">
        <v>19.8</v>
      </c>
      <c r="H113" s="1" t="n">
        <v>33.9</v>
      </c>
      <c r="I113" s="1" t="n">
        <v>10.9</v>
      </c>
      <c r="J113" s="1" t="n">
        <v>80.3</v>
      </c>
      <c r="K113" s="22" t="n">
        <v>9.83556827076185</v>
      </c>
      <c r="L113" s="1" t="n">
        <v>9.83</v>
      </c>
      <c r="M113" s="23" t="n">
        <v>-0.00556827076185407</v>
      </c>
      <c r="P113" s="12" t="n">
        <v>5</v>
      </c>
      <c r="Q113" s="13" t="s">
        <v>67</v>
      </c>
      <c r="R113" s="13" t="n">
        <v>9.66</v>
      </c>
      <c r="S113" s="13" t="n">
        <v>5.26</v>
      </c>
      <c r="T113" s="13" t="n">
        <v>-0.03</v>
      </c>
      <c r="U113" s="13" t="n">
        <v>0</v>
      </c>
      <c r="V113" s="13" t="n">
        <v>4.64</v>
      </c>
      <c r="W113" s="13" t="n">
        <v>-0.19</v>
      </c>
      <c r="X113" s="13" t="n">
        <v>65.4</v>
      </c>
      <c r="Y113" s="13" t="n">
        <v>22.5</v>
      </c>
      <c r="Z113" s="13" t="n">
        <v>35.1</v>
      </c>
      <c r="AA113" s="14" t="n">
        <v>47</v>
      </c>
      <c r="AB113" s="14" t="n">
        <v>8.4</v>
      </c>
    </row>
    <row r="114" customFormat="false" ht="12.8" hidden="false" customHeight="false" outlineLevel="0" collapsed="false">
      <c r="A114" s="1" t="n">
        <v>5.18</v>
      </c>
      <c r="B114" s="1" t="n">
        <v>0.07</v>
      </c>
      <c r="C114" s="1" t="n">
        <v>0.02</v>
      </c>
      <c r="D114" s="1" t="n">
        <v>4.71</v>
      </c>
      <c r="E114" s="1" t="n">
        <v>-0.04</v>
      </c>
      <c r="F114" s="1" t="n">
        <v>55.9</v>
      </c>
      <c r="G114" s="1" t="n">
        <v>11.3</v>
      </c>
      <c r="H114" s="1" t="n">
        <v>33.7</v>
      </c>
      <c r="I114" s="1" t="n">
        <v>8.9</v>
      </c>
      <c r="J114" s="1" t="n">
        <v>76.1</v>
      </c>
      <c r="K114" s="22" t="n">
        <v>9.94077514747395</v>
      </c>
      <c r="L114" s="1" t="n">
        <v>9.95</v>
      </c>
      <c r="M114" s="23" t="n">
        <v>0.00922485252605121</v>
      </c>
      <c r="P114" s="12" t="n">
        <v>5</v>
      </c>
      <c r="Q114" s="13" t="s">
        <v>69</v>
      </c>
      <c r="R114" s="13" t="n">
        <v>9.91</v>
      </c>
      <c r="S114" s="13" t="n">
        <v>5.47</v>
      </c>
      <c r="T114" s="13" t="n">
        <v>-0.13</v>
      </c>
      <c r="U114" s="13" t="n">
        <v>-0.03</v>
      </c>
      <c r="V114" s="13" t="n">
        <v>4.64</v>
      </c>
      <c r="W114" s="13" t="n">
        <v>-0.03</v>
      </c>
      <c r="X114" s="13" t="n">
        <v>64.2</v>
      </c>
      <c r="Y114" s="13" t="n">
        <v>20.8</v>
      </c>
      <c r="Z114" s="13" t="n">
        <v>35.2</v>
      </c>
      <c r="AA114" s="14" t="n">
        <v>43.8</v>
      </c>
      <c r="AB114" s="14" t="n">
        <v>12.9</v>
      </c>
    </row>
    <row r="115" customFormat="false" ht="12.8" hidden="false" customHeight="false" outlineLevel="0" collapsed="false">
      <c r="A115" s="1" t="n">
        <v>5.18</v>
      </c>
      <c r="B115" s="1" t="n">
        <v>0.18</v>
      </c>
      <c r="C115" s="1" t="n">
        <v>0.15</v>
      </c>
      <c r="D115" s="1" t="n">
        <v>4.71</v>
      </c>
      <c r="E115" s="1" t="n">
        <v>-0.01</v>
      </c>
      <c r="F115" s="1" t="n">
        <v>42.8</v>
      </c>
      <c r="G115" s="1" t="n">
        <v>11.7</v>
      </c>
      <c r="H115" s="1" t="n">
        <v>32.9</v>
      </c>
      <c r="I115" s="1" t="n">
        <v>10.2</v>
      </c>
      <c r="J115" s="1" t="n">
        <v>76.4</v>
      </c>
      <c r="K115" s="22" t="n">
        <v>10.2409830977611</v>
      </c>
      <c r="L115" s="1" t="n">
        <v>10.22</v>
      </c>
      <c r="M115" s="23" t="n">
        <v>-0.0209830977611212</v>
      </c>
      <c r="P115" s="12" t="n">
        <v>5</v>
      </c>
      <c r="Q115" s="13" t="s">
        <v>75</v>
      </c>
      <c r="R115" s="13" t="n">
        <v>9.67</v>
      </c>
      <c r="S115" s="13" t="n">
        <v>5.43</v>
      </c>
      <c r="T115" s="13" t="n">
        <v>-0.15</v>
      </c>
      <c r="U115" s="13" t="n">
        <v>-0.16</v>
      </c>
      <c r="V115" s="13" t="n">
        <v>4.64</v>
      </c>
      <c r="W115" s="13" t="n">
        <v>-0.1</v>
      </c>
      <c r="X115" s="13" t="n">
        <v>64.5</v>
      </c>
      <c r="Y115" s="13" t="n">
        <v>21</v>
      </c>
      <c r="Z115" s="13" t="n">
        <v>33.4</v>
      </c>
      <c r="AA115" s="14" t="n">
        <v>50.5</v>
      </c>
      <c r="AB115" s="14" t="n">
        <v>7.5</v>
      </c>
    </row>
    <row r="116" customFormat="false" ht="12.8" hidden="false" customHeight="false" outlineLevel="0" collapsed="false">
      <c r="A116" s="1" t="n">
        <v>5.4</v>
      </c>
      <c r="B116" s="1" t="n">
        <v>0.03</v>
      </c>
      <c r="C116" s="1" t="n">
        <v>-0.01</v>
      </c>
      <c r="D116" s="1" t="n">
        <v>4.71</v>
      </c>
      <c r="E116" s="1" t="n">
        <v>-0.01</v>
      </c>
      <c r="F116" s="1" t="n">
        <v>49.1</v>
      </c>
      <c r="G116" s="1" t="n">
        <v>11.5</v>
      </c>
      <c r="H116" s="1" t="n">
        <v>32.6</v>
      </c>
      <c r="I116" s="1" t="n">
        <v>10.6</v>
      </c>
      <c r="J116" s="1" t="n">
        <v>78.9</v>
      </c>
      <c r="K116" s="22" t="n">
        <v>10.140616490097</v>
      </c>
      <c r="L116" s="1" t="n">
        <v>10.13</v>
      </c>
      <c r="M116" s="23" t="n">
        <v>-0.0106164900970374</v>
      </c>
      <c r="P116" s="12" t="n">
        <v>5</v>
      </c>
      <c r="Q116" s="13" t="s">
        <v>76</v>
      </c>
      <c r="R116" s="13" t="n">
        <v>9.49</v>
      </c>
      <c r="S116" s="13" t="n">
        <v>5.24</v>
      </c>
      <c r="T116" s="13" t="n">
        <v>-0.08</v>
      </c>
      <c r="U116" s="13" t="n">
        <v>-0.2</v>
      </c>
      <c r="V116" s="13" t="n">
        <v>4.64</v>
      </c>
      <c r="W116" s="13" t="n">
        <v>-0.07</v>
      </c>
      <c r="X116" s="13" t="n">
        <v>61.4</v>
      </c>
      <c r="Y116" s="13" t="n">
        <v>29.8</v>
      </c>
      <c r="Z116" s="13" t="n">
        <v>35.2</v>
      </c>
      <c r="AA116" s="14" t="n">
        <v>46.1</v>
      </c>
      <c r="AB116" s="14" t="n">
        <v>8.9</v>
      </c>
    </row>
    <row r="117" customFormat="false" ht="12.8" hidden="false" customHeight="false" outlineLevel="0" collapsed="false">
      <c r="A117" s="1" t="n">
        <v>5.79</v>
      </c>
      <c r="B117" s="1" t="n">
        <v>-0.02</v>
      </c>
      <c r="C117" s="1" t="n">
        <v>-0.44</v>
      </c>
      <c r="D117" s="1" t="n">
        <v>4.71</v>
      </c>
      <c r="E117" s="1" t="n">
        <v>-0.07</v>
      </c>
      <c r="F117" s="1" t="n">
        <v>50.1</v>
      </c>
      <c r="G117" s="1" t="n">
        <v>17.8</v>
      </c>
      <c r="H117" s="1" t="n">
        <v>35.1</v>
      </c>
      <c r="I117" s="1" t="n">
        <v>11.2</v>
      </c>
      <c r="J117" s="1" t="n">
        <v>74</v>
      </c>
      <c r="K117" s="22" t="n">
        <v>9.95737958475301</v>
      </c>
      <c r="L117" s="1" t="n">
        <v>9.96</v>
      </c>
      <c r="M117" s="23" t="n">
        <v>0.00262041524699264</v>
      </c>
      <c r="P117" s="12" t="n">
        <v>5</v>
      </c>
      <c r="Q117" s="13" t="s">
        <v>78</v>
      </c>
      <c r="R117" s="13" t="n">
        <v>9.8</v>
      </c>
      <c r="S117" s="13" t="n">
        <v>5.31</v>
      </c>
      <c r="T117" s="13" t="n">
        <v>0.01</v>
      </c>
      <c r="U117" s="13" t="n">
        <v>-0.09</v>
      </c>
      <c r="V117" s="13" t="n">
        <v>4.64</v>
      </c>
      <c r="W117" s="13" t="n">
        <v>0.02</v>
      </c>
      <c r="X117" s="13" t="n">
        <v>63.4</v>
      </c>
      <c r="Y117" s="13" t="n">
        <v>26</v>
      </c>
      <c r="Z117" s="13" t="n">
        <v>36.1</v>
      </c>
      <c r="AA117" s="14" t="n">
        <v>66.4</v>
      </c>
      <c r="AB117" s="14" t="n">
        <v>17.7</v>
      </c>
    </row>
    <row r="118" customFormat="false" ht="12.8" hidden="false" customHeight="false" outlineLevel="0" collapsed="false">
      <c r="A118" s="1" t="n">
        <v>5.96</v>
      </c>
      <c r="B118" s="1" t="n">
        <v>-0.03</v>
      </c>
      <c r="C118" s="1" t="n">
        <v>-0.48</v>
      </c>
      <c r="D118" s="1" t="n">
        <v>4.71</v>
      </c>
      <c r="E118" s="1" t="n">
        <v>0.03</v>
      </c>
      <c r="F118" s="1" t="n">
        <v>49.8</v>
      </c>
      <c r="G118" s="1" t="n">
        <v>13.7</v>
      </c>
      <c r="H118" s="1" t="n">
        <v>34.8</v>
      </c>
      <c r="I118" s="1" t="n">
        <v>11.4</v>
      </c>
      <c r="J118" s="1" t="n">
        <v>74.8</v>
      </c>
      <c r="K118" s="22" t="n">
        <v>10.1811765912997</v>
      </c>
      <c r="L118" s="1" t="n">
        <v>10.18</v>
      </c>
      <c r="M118" s="23" t="n">
        <v>-0.00117659129968573</v>
      </c>
      <c r="P118" s="12" t="n">
        <v>5</v>
      </c>
      <c r="Q118" s="13" t="s">
        <v>80</v>
      </c>
      <c r="R118" s="13" t="n">
        <v>9.75</v>
      </c>
      <c r="S118" s="13" t="n">
        <v>5.03</v>
      </c>
      <c r="T118" s="13" t="n">
        <v>-0.04</v>
      </c>
      <c r="U118" s="13" t="n">
        <v>0.11</v>
      </c>
      <c r="V118" s="13" t="n">
        <v>4.64</v>
      </c>
      <c r="W118" s="13" t="n">
        <v>0.03</v>
      </c>
      <c r="X118" s="13" t="n">
        <v>56.5</v>
      </c>
      <c r="Y118" s="13" t="n">
        <v>16.7</v>
      </c>
      <c r="Z118" s="13" t="n">
        <v>35.5</v>
      </c>
      <c r="AA118" s="14" t="n">
        <v>66.3</v>
      </c>
      <c r="AB118" s="14" t="n">
        <v>29.3</v>
      </c>
    </row>
    <row r="119" customFormat="false" ht="12.8" hidden="false" customHeight="false" outlineLevel="0" collapsed="false">
      <c r="A119" s="1" t="n">
        <v>6.07</v>
      </c>
      <c r="B119" s="1" t="n">
        <v>-0.15</v>
      </c>
      <c r="C119" s="1" t="n">
        <v>-0.67</v>
      </c>
      <c r="D119" s="1" t="n">
        <v>4.71</v>
      </c>
      <c r="E119" s="1" t="n">
        <v>-0.01</v>
      </c>
      <c r="F119" s="1" t="n">
        <v>50</v>
      </c>
      <c r="G119" s="1" t="n">
        <v>15.8</v>
      </c>
      <c r="H119" s="1" t="n">
        <v>32.6</v>
      </c>
      <c r="I119" s="1" t="n">
        <v>9.4</v>
      </c>
      <c r="J119" s="1" t="n">
        <v>81.2</v>
      </c>
      <c r="K119" s="22" t="n">
        <v>9.95581643750982</v>
      </c>
      <c r="L119" s="1" t="n">
        <v>9.94</v>
      </c>
      <c r="M119" s="23" t="n">
        <v>-0.0158164375098249</v>
      </c>
      <c r="P119" s="12" t="n">
        <v>5</v>
      </c>
      <c r="Q119" s="13" t="s">
        <v>81</v>
      </c>
      <c r="R119" s="13" t="n">
        <v>10.01</v>
      </c>
      <c r="S119" s="13" t="n">
        <v>4.84</v>
      </c>
      <c r="T119" s="13" t="n">
        <v>0.2</v>
      </c>
      <c r="U119" s="13" t="n">
        <v>0.27</v>
      </c>
      <c r="V119" s="13" t="n">
        <v>4.64</v>
      </c>
      <c r="W119" s="13" t="n">
        <v>0.05</v>
      </c>
      <c r="X119" s="13" t="n">
        <v>53.1</v>
      </c>
      <c r="Y119" s="13" t="n">
        <v>13.6</v>
      </c>
      <c r="Z119" s="13" t="n">
        <v>34.7</v>
      </c>
      <c r="AA119" s="14" t="n">
        <v>63.7</v>
      </c>
      <c r="AB119" s="14" t="n">
        <v>21.1</v>
      </c>
    </row>
    <row r="120" customFormat="false" ht="12.8" hidden="false" customHeight="false" outlineLevel="0" collapsed="false">
      <c r="A120" s="1" t="n">
        <v>6.4</v>
      </c>
      <c r="B120" s="1" t="n">
        <v>-0.29</v>
      </c>
      <c r="C120" s="1" t="n">
        <v>-0.55</v>
      </c>
      <c r="D120" s="1" t="n">
        <v>4.71</v>
      </c>
      <c r="E120" s="1" t="n">
        <v>0.1</v>
      </c>
      <c r="F120" s="1" t="n">
        <v>64.8</v>
      </c>
      <c r="G120" s="1" t="n">
        <v>23.2</v>
      </c>
      <c r="H120" s="1" t="n">
        <v>32.8</v>
      </c>
      <c r="I120" s="1" t="n">
        <v>8.6</v>
      </c>
      <c r="J120" s="1" t="n">
        <v>82.7</v>
      </c>
      <c r="K120" s="22" t="n">
        <v>10.3422390205923</v>
      </c>
      <c r="L120" s="1" t="n">
        <v>10.35</v>
      </c>
      <c r="M120" s="23" t="n">
        <v>0.00776097940766896</v>
      </c>
      <c r="P120" s="12" t="n">
        <v>5</v>
      </c>
      <c r="Q120" s="13" t="s">
        <v>83</v>
      </c>
      <c r="R120" s="13" t="n">
        <v>9.81</v>
      </c>
      <c r="S120" s="13" t="n">
        <v>5.15</v>
      </c>
      <c r="T120" s="13" t="n">
        <v>0.01</v>
      </c>
      <c r="U120" s="13" t="n">
        <v>0.01</v>
      </c>
      <c r="V120" s="13" t="n">
        <v>4.64</v>
      </c>
      <c r="W120" s="13" t="n">
        <v>-0.02</v>
      </c>
      <c r="X120" s="13" t="n">
        <v>60.4</v>
      </c>
      <c r="Y120" s="13" t="n">
        <v>18.4</v>
      </c>
      <c r="Z120" s="13" t="n">
        <v>33.8</v>
      </c>
      <c r="AA120" s="14" t="n">
        <v>61.2</v>
      </c>
      <c r="AB120" s="14" t="n">
        <v>19.6</v>
      </c>
    </row>
    <row r="121" customFormat="false" ht="12.8" hidden="false" customHeight="false" outlineLevel="0" collapsed="false">
      <c r="A121" s="1" t="n">
        <v>5.61</v>
      </c>
      <c r="B121" s="1" t="n">
        <v>0.07</v>
      </c>
      <c r="C121" s="1" t="n">
        <v>-0.18</v>
      </c>
      <c r="D121" s="1" t="n">
        <v>4.71</v>
      </c>
      <c r="E121" s="1" t="n">
        <v>0.02</v>
      </c>
      <c r="F121" s="1" t="n">
        <v>56</v>
      </c>
      <c r="G121" s="1" t="n">
        <v>28.8</v>
      </c>
      <c r="H121" s="1" t="n">
        <v>31.6</v>
      </c>
      <c r="I121" s="1" t="n">
        <v>8</v>
      </c>
      <c r="J121" s="1" t="n">
        <v>78.2</v>
      </c>
      <c r="K121" s="22" t="n">
        <v>10.2319824522036</v>
      </c>
      <c r="L121" s="1" t="n">
        <v>10.25</v>
      </c>
      <c r="M121" s="23" t="n">
        <v>0.0180175477963775</v>
      </c>
      <c r="P121" s="12" t="n">
        <v>5</v>
      </c>
      <c r="Q121" s="13" t="s">
        <v>84</v>
      </c>
      <c r="R121" s="13" t="n">
        <v>9.73</v>
      </c>
      <c r="S121" s="13" t="n">
        <v>5.22</v>
      </c>
      <c r="T121" s="13" t="n">
        <v>0.07</v>
      </c>
      <c r="U121" s="13" t="n">
        <v>-0.15</v>
      </c>
      <c r="V121" s="13" t="n">
        <v>4.64</v>
      </c>
      <c r="W121" s="13" t="n">
        <v>-0.06</v>
      </c>
      <c r="X121" s="13" t="n">
        <v>62.2</v>
      </c>
      <c r="Y121" s="13" t="n">
        <v>20.1</v>
      </c>
      <c r="Z121" s="13" t="n">
        <v>34.9</v>
      </c>
      <c r="AA121" s="14" t="n">
        <v>65.1</v>
      </c>
      <c r="AB121" s="14" t="n">
        <v>18.9</v>
      </c>
    </row>
    <row r="122" customFormat="false" ht="12.8" hidden="false" customHeight="false" outlineLevel="0" collapsed="false">
      <c r="A122" s="1" t="n">
        <v>5.41</v>
      </c>
      <c r="B122" s="1" t="n">
        <v>0.05</v>
      </c>
      <c r="C122" s="1" t="n">
        <v>-0.12</v>
      </c>
      <c r="D122" s="1" t="n">
        <v>4.71</v>
      </c>
      <c r="E122" s="1" t="n">
        <v>0.03</v>
      </c>
      <c r="F122" s="1" t="n">
        <v>53.3</v>
      </c>
      <c r="G122" s="1" t="n">
        <v>15.4</v>
      </c>
      <c r="H122" s="1" t="n">
        <v>31.8</v>
      </c>
      <c r="I122" s="1" t="n">
        <v>8.6</v>
      </c>
      <c r="J122" s="1" t="n">
        <v>77.9</v>
      </c>
      <c r="K122" s="22" t="n">
        <v>10.0953176451629</v>
      </c>
      <c r="L122" s="1" t="n">
        <v>10.09</v>
      </c>
      <c r="M122" s="23" t="n">
        <v>-0.00531764516285449</v>
      </c>
      <c r="P122" s="12" t="n">
        <v>5</v>
      </c>
      <c r="Q122" s="13" t="s">
        <v>88</v>
      </c>
      <c r="R122" s="13" t="n">
        <v>10.09</v>
      </c>
      <c r="S122" s="13" t="n">
        <v>5.36</v>
      </c>
      <c r="T122" s="13" t="n">
        <v>0.06</v>
      </c>
      <c r="U122" s="13" t="n">
        <v>0.01</v>
      </c>
      <c r="V122" s="13" t="n">
        <v>4.64</v>
      </c>
      <c r="W122" s="13" t="n">
        <v>0.02</v>
      </c>
      <c r="X122" s="13" t="n">
        <v>58.6</v>
      </c>
      <c r="Y122" s="13" t="n">
        <v>17.6</v>
      </c>
      <c r="Z122" s="13" t="n">
        <v>36.1</v>
      </c>
      <c r="AA122" s="14" t="n">
        <v>58.7</v>
      </c>
      <c r="AB122" s="14" t="n">
        <v>22.5</v>
      </c>
    </row>
    <row r="123" customFormat="false" ht="12.8" hidden="false" customHeight="false" outlineLevel="0" collapsed="false">
      <c r="A123" s="1" t="n">
        <v>5.78</v>
      </c>
      <c r="B123" s="1" t="n">
        <v>-0.2</v>
      </c>
      <c r="C123" s="1" t="n">
        <v>-0.1</v>
      </c>
      <c r="D123" s="1" t="n">
        <v>4.71</v>
      </c>
      <c r="E123" s="1" t="n">
        <v>-0.03</v>
      </c>
      <c r="F123" s="1" t="n">
        <v>53.4</v>
      </c>
      <c r="G123" s="1" t="n">
        <v>17</v>
      </c>
      <c r="H123" s="1" t="n">
        <v>33</v>
      </c>
      <c r="I123" s="1" t="n">
        <v>8.4</v>
      </c>
      <c r="J123" s="1" t="n">
        <v>81</v>
      </c>
      <c r="K123" s="22" t="n">
        <v>10.1622628516796</v>
      </c>
      <c r="L123" s="1" t="n">
        <v>10.15</v>
      </c>
      <c r="M123" s="23" t="n">
        <v>-0.0122628516795835</v>
      </c>
      <c r="P123" s="12" t="n">
        <v>5</v>
      </c>
      <c r="Q123" s="13" t="s">
        <v>89</v>
      </c>
      <c r="R123" s="13" t="n">
        <v>10.29</v>
      </c>
      <c r="S123" s="13" t="n">
        <v>5.33</v>
      </c>
      <c r="T123" s="13" t="n">
        <v>0.17</v>
      </c>
      <c r="U123" s="13" t="n">
        <v>0.13</v>
      </c>
      <c r="V123" s="13" t="n">
        <v>4.64</v>
      </c>
      <c r="W123" s="13" t="n">
        <v>0.01</v>
      </c>
      <c r="X123" s="13" t="n">
        <v>46.8</v>
      </c>
      <c r="Y123" s="13" t="n">
        <v>12.6</v>
      </c>
      <c r="Z123" s="13" t="n">
        <v>35.5</v>
      </c>
      <c r="AA123" s="14" t="n">
        <v>57</v>
      </c>
      <c r="AB123" s="14" t="n">
        <v>27.4</v>
      </c>
    </row>
    <row r="124" customFormat="false" ht="12.8" hidden="false" customHeight="false" outlineLevel="0" collapsed="false">
      <c r="A124" s="1" t="n">
        <v>6.17</v>
      </c>
      <c r="B124" s="1" t="n">
        <v>-0.11</v>
      </c>
      <c r="C124" s="1" t="n">
        <v>-0.38</v>
      </c>
      <c r="D124" s="1" t="n">
        <v>4.71</v>
      </c>
      <c r="E124" s="1" t="n">
        <v>0.05</v>
      </c>
      <c r="F124" s="1" t="n">
        <v>55.2</v>
      </c>
      <c r="G124" s="1" t="n">
        <v>20.3</v>
      </c>
      <c r="H124" s="1" t="n">
        <v>34.7</v>
      </c>
      <c r="I124" s="1" t="n">
        <v>10</v>
      </c>
      <c r="J124" s="1" t="n">
        <v>72.1</v>
      </c>
      <c r="K124" s="22" t="n">
        <v>10.4185251177708</v>
      </c>
      <c r="L124" s="1" t="n">
        <v>10.43</v>
      </c>
      <c r="M124" s="23" t="n">
        <v>0.0114748822291979</v>
      </c>
      <c r="P124" s="12" t="n">
        <v>5</v>
      </c>
      <c r="Q124" s="13" t="s">
        <v>90</v>
      </c>
      <c r="R124" s="13" t="n">
        <v>10.17</v>
      </c>
      <c r="S124" s="13" t="n">
        <v>5.53</v>
      </c>
      <c r="T124" s="13" t="n">
        <v>0.03</v>
      </c>
      <c r="U124" s="13" t="n">
        <v>-0.02</v>
      </c>
      <c r="V124" s="13" t="n">
        <v>4.64</v>
      </c>
      <c r="W124" s="13" t="n">
        <v>-0.02</v>
      </c>
      <c r="X124" s="13" t="n">
        <v>54</v>
      </c>
      <c r="Y124" s="13" t="n">
        <v>15.9</v>
      </c>
      <c r="Z124" s="13" t="n">
        <v>34.7</v>
      </c>
      <c r="AA124" s="14" t="n">
        <v>55.1</v>
      </c>
      <c r="AB124" s="14" t="n">
        <v>14.7</v>
      </c>
    </row>
    <row r="125" customFormat="false" ht="12.8" hidden="false" customHeight="false" outlineLevel="0" collapsed="false">
      <c r="A125" s="1" t="n">
        <v>6</v>
      </c>
      <c r="B125" s="1" t="n">
        <v>-0.07</v>
      </c>
      <c r="C125" s="1" t="n">
        <v>-0.3</v>
      </c>
      <c r="D125" s="1" t="n">
        <v>4.71</v>
      </c>
      <c r="E125" s="1" t="n">
        <v>-0.02</v>
      </c>
      <c r="F125" s="1" t="n">
        <v>51.3</v>
      </c>
      <c r="G125" s="1" t="n">
        <v>29.1</v>
      </c>
      <c r="H125" s="1" t="n">
        <v>32.5</v>
      </c>
      <c r="I125" s="1" t="n">
        <v>8.8</v>
      </c>
      <c r="J125" s="1" t="n">
        <v>76.5</v>
      </c>
      <c r="K125" s="22" t="n">
        <v>10.3199938415202</v>
      </c>
      <c r="L125" s="1" t="n">
        <v>10.34</v>
      </c>
      <c r="M125" s="23" t="n">
        <v>0.0200061584798004</v>
      </c>
      <c r="P125" s="12" t="n">
        <v>5</v>
      </c>
      <c r="Q125" s="13" t="s">
        <v>91</v>
      </c>
      <c r="R125" s="13" t="n">
        <v>10.14</v>
      </c>
      <c r="S125" s="13" t="n">
        <v>5.96</v>
      </c>
      <c r="T125" s="13" t="n">
        <v>-0.03</v>
      </c>
      <c r="U125" s="13" t="n">
        <v>-0.44</v>
      </c>
      <c r="V125" s="13" t="n">
        <v>4.64</v>
      </c>
      <c r="W125" s="13" t="n">
        <v>0.09</v>
      </c>
      <c r="X125" s="13" t="n">
        <v>54.7</v>
      </c>
      <c r="Y125" s="13" t="n">
        <v>21.4</v>
      </c>
      <c r="Z125" s="13" t="n">
        <v>37.2</v>
      </c>
      <c r="AA125" s="14" t="n">
        <v>50.3</v>
      </c>
      <c r="AB125" s="14" t="n">
        <v>11.8</v>
      </c>
    </row>
    <row r="126" customFormat="false" ht="12.8" hidden="false" customHeight="false" outlineLevel="0" collapsed="false">
      <c r="A126" s="1" t="n">
        <v>5.89</v>
      </c>
      <c r="B126" s="1" t="n">
        <v>0.03</v>
      </c>
      <c r="C126" s="1" t="n">
        <v>-0.46</v>
      </c>
      <c r="D126" s="1" t="n">
        <v>4.71</v>
      </c>
      <c r="E126" s="1" t="n">
        <v>0.07</v>
      </c>
      <c r="F126" s="1" t="n">
        <v>56.7</v>
      </c>
      <c r="G126" s="1" t="n">
        <v>16.1</v>
      </c>
      <c r="H126" s="1" t="n">
        <v>32.2</v>
      </c>
      <c r="I126" s="1" t="n">
        <v>8.2</v>
      </c>
      <c r="J126" s="1" t="n">
        <v>76.4</v>
      </c>
      <c r="K126" s="22" t="n">
        <v>10.2417298535574</v>
      </c>
      <c r="L126" s="1" t="n">
        <v>10.26</v>
      </c>
      <c r="M126" s="23" t="n">
        <v>0.0182701464426458</v>
      </c>
      <c r="P126" s="12" t="n">
        <v>5</v>
      </c>
      <c r="Q126" s="13" t="s">
        <v>92</v>
      </c>
      <c r="R126" s="13" t="n">
        <v>9.94</v>
      </c>
      <c r="S126" s="13" t="n">
        <v>5.95</v>
      </c>
      <c r="T126" s="13" t="n">
        <v>-0.05</v>
      </c>
      <c r="U126" s="13" t="n">
        <v>-0.5</v>
      </c>
      <c r="V126" s="13" t="n">
        <v>4.64</v>
      </c>
      <c r="W126" s="13" t="n">
        <v>-0.09</v>
      </c>
      <c r="X126" s="13" t="n">
        <v>53.8</v>
      </c>
      <c r="Y126" s="13" t="n">
        <v>17.9</v>
      </c>
      <c r="Z126" s="13" t="n">
        <v>36</v>
      </c>
      <c r="AA126" s="14" t="n">
        <v>58.1</v>
      </c>
      <c r="AB126" s="14" t="n">
        <v>15.2</v>
      </c>
    </row>
    <row r="127" customFormat="false" ht="12.8" hidden="false" customHeight="false" outlineLevel="0" collapsed="false">
      <c r="A127" s="1" t="n">
        <v>6.11</v>
      </c>
      <c r="B127" s="1" t="n">
        <v>-0.16</v>
      </c>
      <c r="C127" s="1" t="n">
        <v>-0.38</v>
      </c>
      <c r="D127" s="1" t="n">
        <v>4.71</v>
      </c>
      <c r="E127" s="1" t="n">
        <v>0</v>
      </c>
      <c r="F127" s="1" t="n">
        <v>60.8</v>
      </c>
      <c r="G127" s="1" t="n">
        <v>14.2</v>
      </c>
      <c r="H127" s="1" t="n">
        <v>29.3</v>
      </c>
      <c r="I127" s="1" t="n">
        <v>9.2</v>
      </c>
      <c r="J127" s="1" t="n">
        <v>74.9</v>
      </c>
      <c r="K127" s="22" t="n">
        <v>10.3062028133219</v>
      </c>
      <c r="L127" s="1" t="n">
        <v>10.3</v>
      </c>
      <c r="M127" s="23" t="n">
        <v>-0.00620281332187034</v>
      </c>
      <c r="P127" s="12" t="n">
        <v>5</v>
      </c>
      <c r="Q127" s="13" t="s">
        <v>93</v>
      </c>
      <c r="R127" s="13" t="n">
        <v>9.82</v>
      </c>
      <c r="S127" s="13" t="n">
        <v>6.09</v>
      </c>
      <c r="T127" s="13" t="n">
        <v>-0.16</v>
      </c>
      <c r="U127" s="13" t="n">
        <v>-0.67</v>
      </c>
      <c r="V127" s="13" t="n">
        <v>4.64</v>
      </c>
      <c r="W127" s="13" t="n">
        <v>-0.07</v>
      </c>
      <c r="X127" s="13" t="n">
        <v>55.5</v>
      </c>
      <c r="Y127" s="13" t="n">
        <v>20.4</v>
      </c>
      <c r="Z127" s="13" t="n">
        <v>35</v>
      </c>
      <c r="AA127" s="14" t="n">
        <v>57.8</v>
      </c>
      <c r="AB127" s="14" t="n">
        <v>23.5</v>
      </c>
    </row>
    <row r="128" customFormat="false" ht="12.8" hidden="false" customHeight="false" outlineLevel="0" collapsed="false">
      <c r="A128" s="1" t="n">
        <v>5.79</v>
      </c>
      <c r="B128" s="1" t="n">
        <v>0.05</v>
      </c>
      <c r="C128" s="1" t="n">
        <v>-0.28</v>
      </c>
      <c r="D128" s="1" t="n">
        <v>4.71</v>
      </c>
      <c r="E128" s="1" t="n">
        <v>-0.07</v>
      </c>
      <c r="F128" s="1" t="n">
        <v>50.1</v>
      </c>
      <c r="G128" s="1" t="n">
        <v>14.3</v>
      </c>
      <c r="H128" s="1" t="n">
        <v>32.9</v>
      </c>
      <c r="I128" s="1" t="n">
        <v>12</v>
      </c>
      <c r="J128" s="1" t="n">
        <v>80.5</v>
      </c>
      <c r="K128" s="22" t="n">
        <v>10.2145276840168</v>
      </c>
      <c r="L128" s="1" t="n">
        <v>10.21</v>
      </c>
      <c r="M128" s="23" t="n">
        <v>-0.00452768401678405</v>
      </c>
      <c r="P128" s="12" t="n">
        <v>5</v>
      </c>
      <c r="Q128" s="13" t="s">
        <v>94</v>
      </c>
      <c r="R128" s="13" t="n">
        <v>10.26</v>
      </c>
      <c r="S128" s="13" t="n">
        <v>6.4</v>
      </c>
      <c r="T128" s="13" t="n">
        <v>-0.31</v>
      </c>
      <c r="U128" s="13" t="n">
        <v>-0.55</v>
      </c>
      <c r="V128" s="13" t="n">
        <v>4.64</v>
      </c>
      <c r="W128" s="13" t="n">
        <v>0.07</v>
      </c>
      <c r="X128" s="13" t="n">
        <v>66.8</v>
      </c>
      <c r="Y128" s="13" t="n">
        <v>23.5</v>
      </c>
      <c r="Z128" s="13" t="n">
        <v>34.4</v>
      </c>
      <c r="AA128" s="14" t="n">
        <v>55.6</v>
      </c>
      <c r="AB128" s="14" t="n">
        <v>15.6</v>
      </c>
    </row>
    <row r="129" customFormat="false" ht="12.8" hidden="false" customHeight="false" outlineLevel="0" collapsed="false">
      <c r="A129" s="1" t="n">
        <v>7.13</v>
      </c>
      <c r="B129" s="1" t="n">
        <v>-0.19</v>
      </c>
      <c r="C129" s="1" t="n">
        <v>-0.74</v>
      </c>
      <c r="D129" s="1" t="n">
        <v>4.71</v>
      </c>
      <c r="E129" s="1" t="n">
        <v>0.07</v>
      </c>
      <c r="F129" s="1" t="n">
        <v>49.3</v>
      </c>
      <c r="G129" s="1" t="n">
        <v>17.9</v>
      </c>
      <c r="H129" s="1" t="n">
        <v>33.4</v>
      </c>
      <c r="I129" s="1" t="n">
        <v>9</v>
      </c>
      <c r="J129" s="1" t="n">
        <v>82</v>
      </c>
      <c r="K129" s="22" t="n">
        <v>10.9789219594712</v>
      </c>
      <c r="L129" s="1" t="n">
        <v>11</v>
      </c>
      <c r="M129" s="23" t="n">
        <v>0.0210780405288453</v>
      </c>
      <c r="P129" s="12" t="n">
        <v>5</v>
      </c>
      <c r="Q129" s="13" t="s">
        <v>95</v>
      </c>
      <c r="R129" s="13" t="n">
        <v>10.07</v>
      </c>
      <c r="S129" s="13" t="n">
        <v>5.61</v>
      </c>
      <c r="T129" s="13" t="n">
        <v>0.07</v>
      </c>
      <c r="U129" s="13" t="n">
        <v>-0.18</v>
      </c>
      <c r="V129" s="13" t="n">
        <v>4.64</v>
      </c>
      <c r="W129" s="13" t="n">
        <v>-0.08</v>
      </c>
      <c r="X129" s="13" t="n">
        <v>57.9</v>
      </c>
      <c r="Y129" s="13" t="n">
        <v>35.2</v>
      </c>
      <c r="Z129" s="13" t="n">
        <v>33.4</v>
      </c>
      <c r="AA129" s="14" t="n">
        <v>45.2</v>
      </c>
      <c r="AB129" s="14" t="n">
        <v>12.5</v>
      </c>
    </row>
    <row r="130" customFormat="false" ht="12.8" hidden="false" customHeight="false" outlineLevel="0" collapsed="false">
      <c r="A130" s="1" t="n">
        <v>6.62</v>
      </c>
      <c r="B130" s="1" t="n">
        <v>-0.21</v>
      </c>
      <c r="C130" s="1" t="n">
        <v>-0.74</v>
      </c>
      <c r="D130" s="1" t="n">
        <v>4.71</v>
      </c>
      <c r="E130" s="1" t="n">
        <v>0.09</v>
      </c>
      <c r="F130" s="1" t="n">
        <v>54</v>
      </c>
      <c r="G130" s="1" t="n">
        <v>21</v>
      </c>
      <c r="H130" s="1" t="n">
        <v>33.1</v>
      </c>
      <c r="I130" s="1" t="n">
        <v>9.1</v>
      </c>
      <c r="J130" s="1" t="n">
        <v>81.6</v>
      </c>
      <c r="K130" s="22" t="n">
        <v>10.4580638883329</v>
      </c>
      <c r="L130" s="1" t="n">
        <v>10.47</v>
      </c>
      <c r="M130" s="23" t="n">
        <v>0.0119361116670564</v>
      </c>
      <c r="P130" s="12" t="n">
        <v>5</v>
      </c>
      <c r="Q130" s="13" t="s">
        <v>97</v>
      </c>
      <c r="R130" s="13" t="n">
        <v>9.92</v>
      </c>
      <c r="S130" s="13" t="n">
        <v>5.43</v>
      </c>
      <c r="T130" s="13" t="n">
        <v>0.04</v>
      </c>
      <c r="U130" s="13" t="n">
        <v>-0.14</v>
      </c>
      <c r="V130" s="13" t="n">
        <v>4.64</v>
      </c>
      <c r="W130" s="13" t="n">
        <v>-0.06</v>
      </c>
      <c r="X130" s="13" t="n">
        <v>56.2</v>
      </c>
      <c r="Y130" s="13" t="n">
        <v>18</v>
      </c>
      <c r="Z130" s="13" t="n">
        <v>34.5</v>
      </c>
      <c r="AA130" s="14" t="n">
        <v>50.9</v>
      </c>
      <c r="AB130" s="14" t="n">
        <v>14.3</v>
      </c>
    </row>
    <row r="131" customFormat="false" ht="12.8" hidden="false" customHeight="false" outlineLevel="0" collapsed="false">
      <c r="A131" s="1" t="n">
        <v>6.39</v>
      </c>
      <c r="B131" s="1" t="n">
        <v>-0.06</v>
      </c>
      <c r="C131" s="1" t="n">
        <v>-0.63</v>
      </c>
      <c r="D131" s="1" t="n">
        <v>4.71</v>
      </c>
      <c r="E131" s="1" t="n">
        <v>0.08</v>
      </c>
      <c r="F131" s="1" t="n">
        <v>57.9</v>
      </c>
      <c r="G131" s="1" t="n">
        <v>29.1</v>
      </c>
      <c r="H131" s="1" t="n">
        <v>32.8</v>
      </c>
      <c r="I131" s="1" t="n">
        <v>11.2</v>
      </c>
      <c r="J131" s="1" t="n">
        <v>81.7</v>
      </c>
      <c r="K131" s="22" t="n">
        <v>10.4715888210035</v>
      </c>
      <c r="L131" s="1" t="n">
        <v>10.45</v>
      </c>
      <c r="M131" s="23" t="n">
        <v>-0.0215888210034638</v>
      </c>
      <c r="P131" s="12" t="n">
        <v>5</v>
      </c>
      <c r="Q131" s="13" t="s">
        <v>98</v>
      </c>
      <c r="R131" s="13" t="n">
        <v>9.96</v>
      </c>
      <c r="S131" s="13" t="n">
        <v>5.73</v>
      </c>
      <c r="T131" s="13" t="n">
        <v>-0.19</v>
      </c>
      <c r="U131" s="13" t="n">
        <v>-0.1</v>
      </c>
      <c r="V131" s="13" t="n">
        <v>4.64</v>
      </c>
      <c r="W131" s="13" t="n">
        <v>-0.13</v>
      </c>
      <c r="X131" s="13" t="n">
        <v>55.2</v>
      </c>
      <c r="Y131" s="13" t="n">
        <v>19.5</v>
      </c>
      <c r="Z131" s="13" t="n">
        <v>33.6</v>
      </c>
      <c r="AA131" s="14" t="n">
        <v>49.6</v>
      </c>
      <c r="AB131" s="14" t="n">
        <v>23.5</v>
      </c>
    </row>
    <row r="132" customFormat="false" ht="12.8" hidden="false" customHeight="false" outlineLevel="0" collapsed="false">
      <c r="A132" s="1" t="n">
        <v>6.49</v>
      </c>
      <c r="B132" s="1" t="n">
        <v>-0.21</v>
      </c>
      <c r="C132" s="1" t="n">
        <v>-0.6</v>
      </c>
      <c r="D132" s="1" t="n">
        <v>4.71</v>
      </c>
      <c r="E132" s="1" t="n">
        <v>0.13</v>
      </c>
      <c r="F132" s="1" t="n">
        <v>61</v>
      </c>
      <c r="G132" s="1" t="n">
        <v>24.3</v>
      </c>
      <c r="H132" s="1" t="n">
        <v>33.1</v>
      </c>
      <c r="I132" s="1" t="n">
        <v>8.9</v>
      </c>
      <c r="J132" s="1" t="n">
        <v>79.3</v>
      </c>
      <c r="K132" s="22" t="n">
        <v>10.494655659308</v>
      </c>
      <c r="L132" s="1" t="n">
        <v>10.52</v>
      </c>
      <c r="M132" s="23" t="n">
        <v>0.0253443406920013</v>
      </c>
      <c r="P132" s="12" t="n">
        <v>5</v>
      </c>
      <c r="Q132" s="13" t="s">
        <v>99</v>
      </c>
      <c r="R132" s="13" t="n">
        <v>10.25</v>
      </c>
      <c r="S132" s="13" t="n">
        <v>6.11</v>
      </c>
      <c r="T132" s="13" t="n">
        <v>-0.12</v>
      </c>
      <c r="U132" s="13" t="n">
        <v>-0.35</v>
      </c>
      <c r="V132" s="13" t="n">
        <v>4.64</v>
      </c>
      <c r="W132" s="13" t="n">
        <v>-0.04</v>
      </c>
      <c r="X132" s="13" t="n">
        <v>54.4</v>
      </c>
      <c r="Y132" s="13" t="n">
        <v>27.3</v>
      </c>
      <c r="Z132" s="13" t="n">
        <v>36</v>
      </c>
      <c r="AA132" s="14" t="n">
        <v>49.4</v>
      </c>
      <c r="AB132" s="14" t="n">
        <v>19.6</v>
      </c>
    </row>
    <row r="133" customFormat="false" ht="12.8" hidden="false" customHeight="false" outlineLevel="0" collapsed="false">
      <c r="A133" s="1" t="n">
        <v>6.17</v>
      </c>
      <c r="B133" s="1" t="n">
        <v>-0.08</v>
      </c>
      <c r="C133" s="1" t="n">
        <v>-0.76</v>
      </c>
      <c r="D133" s="1" t="n">
        <v>4.71</v>
      </c>
      <c r="E133" s="1" t="n">
        <v>0.1</v>
      </c>
      <c r="F133" s="1" t="n">
        <v>52.2</v>
      </c>
      <c r="G133" s="1" t="n">
        <v>14.6</v>
      </c>
      <c r="H133" s="1" t="n">
        <v>34.3</v>
      </c>
      <c r="I133" s="1" t="n">
        <v>8.9</v>
      </c>
      <c r="J133" s="1" t="n">
        <v>82.3</v>
      </c>
      <c r="K133" s="22" t="n">
        <v>10.1241924114806</v>
      </c>
      <c r="L133" s="1" t="n">
        <v>10.14</v>
      </c>
      <c r="M133" s="23" t="n">
        <v>0.0158075885194453</v>
      </c>
      <c r="P133" s="12" t="n">
        <v>5</v>
      </c>
      <c r="Q133" s="13" t="s">
        <v>100</v>
      </c>
      <c r="R133" s="13" t="n">
        <v>10.23</v>
      </c>
      <c r="S133" s="13" t="n">
        <v>6.05</v>
      </c>
      <c r="T133" s="13" t="n">
        <v>-0.07</v>
      </c>
      <c r="U133" s="13" t="n">
        <v>-0.33</v>
      </c>
      <c r="V133" s="13" t="n">
        <v>4.64</v>
      </c>
      <c r="W133" s="13" t="n">
        <v>-0.04</v>
      </c>
      <c r="X133" s="13" t="n">
        <v>54.7</v>
      </c>
      <c r="Y133" s="13" t="n">
        <v>35.9</v>
      </c>
      <c r="Z133" s="13" t="n">
        <v>35.6</v>
      </c>
      <c r="AA133" s="14" t="n">
        <v>53.1</v>
      </c>
      <c r="AB133" s="14" t="n">
        <v>16.1</v>
      </c>
    </row>
    <row r="134" customFormat="false" ht="12.8" hidden="false" customHeight="false" outlineLevel="0" collapsed="false">
      <c r="A134" s="1" t="n">
        <v>6.62</v>
      </c>
      <c r="B134" s="1" t="n">
        <v>-0.03</v>
      </c>
      <c r="C134" s="1" t="n">
        <v>-0.85</v>
      </c>
      <c r="D134" s="1" t="n">
        <v>4.71</v>
      </c>
      <c r="E134" s="1" t="n">
        <v>0.2</v>
      </c>
      <c r="F134" s="1" t="n">
        <v>49.2</v>
      </c>
      <c r="G134" s="1" t="n">
        <v>12.9</v>
      </c>
      <c r="H134" s="1" t="n">
        <v>32.2</v>
      </c>
      <c r="I134" s="1" t="n">
        <v>9.6</v>
      </c>
      <c r="J134" s="1" t="n">
        <v>84.7</v>
      </c>
      <c r="K134" s="22" t="n">
        <v>10.6587550524407</v>
      </c>
      <c r="L134" s="1" t="n">
        <v>10.65</v>
      </c>
      <c r="M134" s="23" t="n">
        <v>-0.00875505244068542</v>
      </c>
      <c r="P134" s="12" t="n">
        <v>5</v>
      </c>
      <c r="Q134" s="13" t="s">
        <v>101</v>
      </c>
      <c r="R134" s="13" t="n">
        <v>10.01</v>
      </c>
      <c r="S134" s="13" t="n">
        <v>5.87</v>
      </c>
      <c r="T134" s="13" t="n">
        <v>0.02</v>
      </c>
      <c r="U134" s="13" t="n">
        <v>-0.45</v>
      </c>
      <c r="V134" s="13" t="n">
        <v>4.64</v>
      </c>
      <c r="W134" s="13" t="n">
        <v>-0.08</v>
      </c>
      <c r="X134" s="13" t="n">
        <v>59.2</v>
      </c>
      <c r="Y134" s="13" t="n">
        <v>18.9</v>
      </c>
      <c r="Z134" s="13" t="n">
        <v>34.3</v>
      </c>
      <c r="AA134" s="14" t="n">
        <v>65.3</v>
      </c>
      <c r="AB134" s="14" t="n">
        <v>25.8</v>
      </c>
    </row>
    <row r="135" customFormat="false" ht="12.8" hidden="false" customHeight="false" outlineLevel="0" collapsed="false">
      <c r="A135" s="1" t="n">
        <v>6.6</v>
      </c>
      <c r="B135" s="1" t="n">
        <v>0.3</v>
      </c>
      <c r="C135" s="1" t="n">
        <v>-1.56</v>
      </c>
      <c r="D135" s="1" t="n">
        <v>4.71</v>
      </c>
      <c r="E135" s="1" t="n">
        <v>0.06</v>
      </c>
      <c r="F135" s="1" t="n">
        <v>55.8</v>
      </c>
      <c r="G135" s="1" t="n">
        <v>25.9</v>
      </c>
      <c r="H135" s="1" t="n">
        <v>33.1</v>
      </c>
      <c r="I135" s="1" t="n">
        <v>9.6</v>
      </c>
      <c r="J135" s="1" t="n">
        <v>88.6</v>
      </c>
      <c r="K135" s="22" t="n">
        <v>10.0881512886137</v>
      </c>
      <c r="L135" s="1" t="n">
        <v>10.09</v>
      </c>
      <c r="M135" s="23" t="n">
        <v>0.00184871138627152</v>
      </c>
      <c r="P135" s="12" t="n">
        <v>5</v>
      </c>
      <c r="Q135" s="13" t="s">
        <v>102</v>
      </c>
      <c r="R135" s="13" t="n">
        <v>10.1</v>
      </c>
      <c r="S135" s="13" t="n">
        <v>6.05</v>
      </c>
      <c r="T135" s="13" t="n">
        <v>-0.16</v>
      </c>
      <c r="U135" s="13" t="n">
        <v>-0.38</v>
      </c>
      <c r="V135" s="13" t="n">
        <v>4.64</v>
      </c>
      <c r="W135" s="13" t="n">
        <v>-0.06</v>
      </c>
      <c r="X135" s="13" t="n">
        <v>61.5</v>
      </c>
      <c r="Y135" s="13" t="n">
        <v>16.5</v>
      </c>
      <c r="Z135" s="13" t="n">
        <v>31.8</v>
      </c>
      <c r="AA135" s="14" t="n">
        <v>56.8</v>
      </c>
      <c r="AB135" s="14" t="n">
        <v>31.6</v>
      </c>
    </row>
    <row r="136" customFormat="false" ht="12.8" hidden="false" customHeight="false" outlineLevel="0" collapsed="false">
      <c r="A136" s="1" t="n">
        <v>6.28</v>
      </c>
      <c r="B136" s="1" t="n">
        <v>-0.31</v>
      </c>
      <c r="C136" s="1" t="n">
        <v>-0.26</v>
      </c>
      <c r="D136" s="1" t="n">
        <v>4.64</v>
      </c>
      <c r="E136" s="1" t="n">
        <v>-0.07</v>
      </c>
      <c r="F136" s="1" t="n">
        <v>47.3</v>
      </c>
      <c r="G136" s="1" t="n">
        <v>11.6</v>
      </c>
      <c r="H136" s="1" t="n">
        <v>34.5</v>
      </c>
      <c r="I136" s="1" t="n">
        <v>9.7</v>
      </c>
      <c r="J136" s="1" t="n">
        <v>82.3</v>
      </c>
      <c r="K136" s="22" t="n">
        <v>10.284284066487</v>
      </c>
      <c r="L136" s="1" t="n">
        <v>10.29</v>
      </c>
      <c r="M136" s="23" t="n">
        <v>0.005715933513045</v>
      </c>
      <c r="P136" s="12" t="n">
        <v>5</v>
      </c>
      <c r="Q136" s="13" t="s">
        <v>103</v>
      </c>
      <c r="R136" s="13" t="n">
        <v>10.36</v>
      </c>
      <c r="S136" s="13" t="n">
        <v>5.91</v>
      </c>
      <c r="T136" s="13" t="n">
        <v>0.05</v>
      </c>
      <c r="U136" s="13" t="n">
        <v>-0.29</v>
      </c>
      <c r="V136" s="13" t="n">
        <v>4.64</v>
      </c>
      <c r="W136" s="13" t="n">
        <v>0.04</v>
      </c>
      <c r="X136" s="13" t="n">
        <v>52.3</v>
      </c>
      <c r="Y136" s="13" t="n">
        <v>14</v>
      </c>
      <c r="Z136" s="13" t="n">
        <v>34.5</v>
      </c>
      <c r="AA136" s="14" t="n">
        <v>54.7</v>
      </c>
      <c r="AB136" s="14" t="n">
        <v>19.7</v>
      </c>
    </row>
    <row r="137" customFormat="false" ht="12.8" hidden="false" customHeight="false" outlineLevel="0" collapsed="false">
      <c r="A137" s="1" t="n">
        <v>6.33</v>
      </c>
      <c r="B137" s="1" t="n">
        <v>-0.31</v>
      </c>
      <c r="C137" s="1" t="n">
        <v>-0.8</v>
      </c>
      <c r="D137" s="1" t="n">
        <v>4.64</v>
      </c>
      <c r="E137" s="1" t="n">
        <v>-0.07</v>
      </c>
      <c r="F137" s="1" t="n">
        <v>58.1</v>
      </c>
      <c r="G137" s="1" t="n">
        <v>19.2</v>
      </c>
      <c r="H137" s="1" t="n">
        <v>34.3</v>
      </c>
      <c r="I137" s="1" t="n">
        <v>9.3</v>
      </c>
      <c r="J137" s="1" t="n">
        <v>82.5</v>
      </c>
      <c r="K137" s="22" t="n">
        <v>9.76517086595584</v>
      </c>
      <c r="L137" s="1" t="n">
        <v>9.79</v>
      </c>
      <c r="M137" s="23" t="n">
        <v>0.0248291340441646</v>
      </c>
      <c r="P137" s="12" t="n">
        <v>5</v>
      </c>
      <c r="Q137" s="13" t="s">
        <v>104</v>
      </c>
      <c r="R137" s="13" t="n">
        <v>10.51</v>
      </c>
      <c r="S137" s="13" t="n">
        <v>6.92</v>
      </c>
      <c r="T137" s="13" t="n">
        <v>-0.2</v>
      </c>
      <c r="U137" s="13" t="n">
        <v>-0.71</v>
      </c>
      <c r="V137" s="13" t="n">
        <v>4.64</v>
      </c>
      <c r="W137" s="13" t="n">
        <v>-0.11</v>
      </c>
      <c r="X137" s="13" t="n">
        <v>55.6</v>
      </c>
      <c r="Y137" s="13" t="n">
        <v>18</v>
      </c>
      <c r="Z137" s="13" t="n">
        <v>35.1</v>
      </c>
      <c r="AA137" s="14" t="n">
        <v>51.2</v>
      </c>
      <c r="AB137" s="14" t="n">
        <v>18.8</v>
      </c>
    </row>
    <row r="138" customFormat="false" ht="12.8" hidden="false" customHeight="false" outlineLevel="0" collapsed="false">
      <c r="A138" s="1" t="n">
        <v>6</v>
      </c>
      <c r="B138" s="1" t="n">
        <v>-0.32</v>
      </c>
      <c r="C138" s="1" t="n">
        <v>-0.57</v>
      </c>
      <c r="D138" s="1" t="n">
        <v>4.64</v>
      </c>
      <c r="E138" s="1" t="n">
        <v>0.01</v>
      </c>
      <c r="F138" s="1" t="n">
        <v>61.1</v>
      </c>
      <c r="G138" s="1" t="n">
        <v>17</v>
      </c>
      <c r="H138" s="1" t="n">
        <v>33.3</v>
      </c>
      <c r="I138" s="1" t="n">
        <v>10.6</v>
      </c>
      <c r="J138" s="1" t="n">
        <v>85.3</v>
      </c>
      <c r="K138" s="22" t="n">
        <v>9.74089056936211</v>
      </c>
      <c r="L138" s="1" t="n">
        <v>9.77</v>
      </c>
      <c r="M138" s="23" t="n">
        <v>0.0291094306378916</v>
      </c>
      <c r="P138" s="12" t="n">
        <v>5</v>
      </c>
      <c r="Q138" s="13" t="s">
        <v>105</v>
      </c>
      <c r="R138" s="13" t="n">
        <v>10.21</v>
      </c>
      <c r="S138" s="13" t="n">
        <v>6.6</v>
      </c>
      <c r="T138" s="13" t="n">
        <v>-0.23</v>
      </c>
      <c r="U138" s="13" t="n">
        <v>-0.77</v>
      </c>
      <c r="V138" s="13" t="n">
        <v>4.64</v>
      </c>
      <c r="W138" s="13" t="n">
        <v>-0.04</v>
      </c>
      <c r="X138" s="13" t="n">
        <v>55.8</v>
      </c>
      <c r="Y138" s="13" t="n">
        <v>28.1</v>
      </c>
      <c r="Z138" s="13" t="n">
        <v>34.4</v>
      </c>
      <c r="AA138" s="14" t="n">
        <v>54.7</v>
      </c>
      <c r="AB138" s="14" t="n">
        <v>24.2</v>
      </c>
    </row>
    <row r="139" customFormat="false" ht="12.8" hidden="false" customHeight="false" outlineLevel="0" collapsed="false">
      <c r="A139" s="1" t="n">
        <v>5.91</v>
      </c>
      <c r="B139" s="1" t="n">
        <v>-0.17</v>
      </c>
      <c r="C139" s="1" t="n">
        <v>-0.32</v>
      </c>
      <c r="D139" s="1" t="n">
        <v>4.64</v>
      </c>
      <c r="E139" s="1" t="n">
        <v>0.01</v>
      </c>
      <c r="F139" s="1" t="n">
        <v>60.6</v>
      </c>
      <c r="G139" s="1" t="n">
        <v>24.3</v>
      </c>
      <c r="H139" s="1" t="n">
        <v>35</v>
      </c>
      <c r="I139" s="1" t="n">
        <v>11.9</v>
      </c>
      <c r="J139" s="1" t="n">
        <v>83.6</v>
      </c>
      <c r="K139" s="22" t="n">
        <v>10.0354682811174</v>
      </c>
      <c r="L139" s="1" t="n">
        <v>10.05</v>
      </c>
      <c r="M139" s="23" t="n">
        <v>0.0145317188825658</v>
      </c>
      <c r="P139" s="12" t="n">
        <v>5</v>
      </c>
      <c r="Q139" s="13" t="s">
        <v>106</v>
      </c>
      <c r="R139" s="13" t="n">
        <v>10.32</v>
      </c>
      <c r="S139" s="13" t="n">
        <v>6.4</v>
      </c>
      <c r="T139" s="13" t="n">
        <v>-0.08</v>
      </c>
      <c r="U139" s="13" t="n">
        <v>-0.62</v>
      </c>
      <c r="V139" s="13" t="n">
        <v>4.64</v>
      </c>
      <c r="W139" s="13" t="n">
        <v>0.03</v>
      </c>
      <c r="X139" s="13" t="n">
        <v>62</v>
      </c>
      <c r="Y139" s="13" t="n">
        <v>31.1</v>
      </c>
      <c r="Z139" s="13" t="n">
        <v>35</v>
      </c>
      <c r="AA139" s="14" t="n">
        <v>52.3</v>
      </c>
      <c r="AB139" s="14" t="n">
        <v>36.1</v>
      </c>
    </row>
    <row r="140" customFormat="false" ht="12.8" hidden="false" customHeight="false" outlineLevel="0" collapsed="false">
      <c r="A140" s="1" t="n">
        <v>6.8</v>
      </c>
      <c r="B140" s="1" t="n">
        <v>-0.64</v>
      </c>
      <c r="C140" s="1" t="n">
        <v>-0.76</v>
      </c>
      <c r="D140" s="1" t="n">
        <v>4.64</v>
      </c>
      <c r="E140" s="1" t="n">
        <v>-0.14</v>
      </c>
      <c r="F140" s="1" t="n">
        <v>59.2</v>
      </c>
      <c r="G140" s="1" t="n">
        <v>36.2</v>
      </c>
      <c r="H140" s="1" t="n">
        <v>34.5</v>
      </c>
      <c r="I140" s="1" t="n">
        <v>9</v>
      </c>
      <c r="J140" s="1" t="n">
        <v>82.5</v>
      </c>
      <c r="K140" s="22" t="n">
        <v>9.85635059409956</v>
      </c>
      <c r="L140" s="1" t="n">
        <v>9.86</v>
      </c>
      <c r="M140" s="23" t="n">
        <v>0.00364940590044327</v>
      </c>
      <c r="P140" s="12" t="n">
        <v>5</v>
      </c>
      <c r="Q140" s="13" t="s">
        <v>107</v>
      </c>
      <c r="R140" s="13" t="n">
        <v>10.2</v>
      </c>
      <c r="S140" s="13" t="n">
        <v>6.43</v>
      </c>
      <c r="T140" s="13" t="n">
        <v>-0.22</v>
      </c>
      <c r="U140" s="13" t="n">
        <v>-0.6</v>
      </c>
      <c r="V140" s="13" t="n">
        <v>4.64</v>
      </c>
      <c r="W140" s="13" t="n">
        <v>-0.03</v>
      </c>
      <c r="X140" s="13" t="n">
        <v>64.9</v>
      </c>
      <c r="Y140" s="13" t="n">
        <v>29.1</v>
      </c>
      <c r="Z140" s="13" t="n">
        <v>35.1</v>
      </c>
      <c r="AA140" s="14" t="n">
        <v>58.3</v>
      </c>
      <c r="AB140" s="14" t="n">
        <v>22.1</v>
      </c>
    </row>
    <row r="141" customFormat="false" ht="12.8" hidden="false" customHeight="false" outlineLevel="0" collapsed="false">
      <c r="A141" s="1" t="n">
        <v>6.15</v>
      </c>
      <c r="B141" s="1" t="n">
        <v>-0.28</v>
      </c>
      <c r="C141" s="1" t="n">
        <v>-0.48</v>
      </c>
      <c r="D141" s="1" t="n">
        <v>4.64</v>
      </c>
      <c r="E141" s="1" t="n">
        <v>-0.01</v>
      </c>
      <c r="F141" s="1" t="n">
        <v>75.1</v>
      </c>
      <c r="G141" s="1" t="n">
        <v>27.3</v>
      </c>
      <c r="H141" s="1" t="n">
        <v>34.7</v>
      </c>
      <c r="I141" s="1" t="n">
        <v>10.5</v>
      </c>
      <c r="J141" s="1" t="n">
        <v>84</v>
      </c>
      <c r="K141" s="22" t="n">
        <v>9.96095867604259</v>
      </c>
      <c r="L141" s="1" t="n">
        <v>9.98</v>
      </c>
      <c r="M141" s="23" t="n">
        <v>0.0190413239574099</v>
      </c>
      <c r="P141" s="12" t="n">
        <v>5</v>
      </c>
      <c r="Q141" s="13" t="s">
        <v>108</v>
      </c>
      <c r="R141" s="13" t="n">
        <v>9.76</v>
      </c>
      <c r="S141" s="13" t="n">
        <v>6.05</v>
      </c>
      <c r="T141" s="13" t="n">
        <v>-0.1</v>
      </c>
      <c r="U141" s="13" t="n">
        <v>-0.75</v>
      </c>
      <c r="V141" s="13" t="n">
        <v>4.64</v>
      </c>
      <c r="W141" s="13" t="n">
        <v>-0.08</v>
      </c>
      <c r="X141" s="13" t="n">
        <v>55.9</v>
      </c>
      <c r="Y141" s="13" t="n">
        <v>15.7</v>
      </c>
      <c r="Z141" s="13" t="n">
        <v>34.9</v>
      </c>
      <c r="AA141" s="14" t="n">
        <v>61.2</v>
      </c>
      <c r="AB141" s="14" t="n">
        <v>17.7</v>
      </c>
    </row>
    <row r="142" customFormat="false" ht="12.8" hidden="false" customHeight="false" outlineLevel="0" collapsed="false">
      <c r="A142" s="1" t="n">
        <v>5.42</v>
      </c>
      <c r="B142" s="1" t="n">
        <v>-0.18</v>
      </c>
      <c r="C142" s="1" t="n">
        <v>-0.27</v>
      </c>
      <c r="D142" s="1" t="n">
        <v>4.64</v>
      </c>
      <c r="E142" s="1" t="n">
        <v>-0.06</v>
      </c>
      <c r="F142" s="1" t="n">
        <v>57.4</v>
      </c>
      <c r="G142" s="1" t="n">
        <v>26.4</v>
      </c>
      <c r="H142" s="1" t="n">
        <v>35.1</v>
      </c>
      <c r="I142" s="1" t="n">
        <v>48</v>
      </c>
      <c r="J142" s="1" t="n">
        <v>9.9</v>
      </c>
      <c r="K142" s="22" t="n">
        <v>9.53119586004298</v>
      </c>
      <c r="L142" s="1" t="n">
        <v>9.53</v>
      </c>
      <c r="M142" s="23" t="n">
        <v>-0.00119586004297823</v>
      </c>
      <c r="P142" s="12" t="n">
        <v>5</v>
      </c>
      <c r="Q142" s="13" t="s">
        <v>109</v>
      </c>
      <c r="R142" s="13" t="n">
        <v>10.26</v>
      </c>
      <c r="S142" s="13" t="n">
        <v>6.59</v>
      </c>
      <c r="T142" s="13" t="n">
        <v>-0.06</v>
      </c>
      <c r="U142" s="13" t="n">
        <v>-0.88</v>
      </c>
      <c r="V142" s="13" t="n">
        <v>4.64</v>
      </c>
      <c r="W142" s="13" t="n">
        <v>0.02</v>
      </c>
      <c r="X142" s="13" t="n">
        <v>49</v>
      </c>
      <c r="Y142" s="13" t="n">
        <v>16</v>
      </c>
      <c r="Z142" s="13" t="n">
        <v>34.6</v>
      </c>
      <c r="AA142" s="14" t="n">
        <v>51.5</v>
      </c>
      <c r="AB142" s="14" t="n">
        <v>17.3</v>
      </c>
    </row>
    <row r="143" customFormat="false" ht="12.8" hidden="false" customHeight="false" outlineLevel="0" collapsed="false">
      <c r="A143" s="1" t="n">
        <v>5.12</v>
      </c>
      <c r="B143" s="1" t="n">
        <v>-0.04</v>
      </c>
      <c r="C143" s="1" t="n">
        <v>0.03</v>
      </c>
      <c r="D143" s="1" t="n">
        <v>4.64</v>
      </c>
      <c r="E143" s="1" t="n">
        <v>-0.03</v>
      </c>
      <c r="F143" s="1" t="n">
        <v>55.9</v>
      </c>
      <c r="G143" s="1" t="n">
        <v>14.9</v>
      </c>
      <c r="H143" s="1" t="n">
        <v>33</v>
      </c>
      <c r="I143" s="1" t="n">
        <v>55.1</v>
      </c>
      <c r="J143" s="1" t="n">
        <v>17.8</v>
      </c>
      <c r="K143" s="22" t="n">
        <v>9.73887289885685</v>
      </c>
      <c r="L143" s="1" t="n">
        <v>9.73</v>
      </c>
      <c r="M143" s="23" t="n">
        <v>-0.00887289885684872</v>
      </c>
      <c r="P143" s="12" t="n">
        <v>5</v>
      </c>
      <c r="Q143" s="13" t="s">
        <v>110</v>
      </c>
      <c r="R143" s="13" t="n">
        <v>9.89</v>
      </c>
      <c r="S143" s="13" t="n">
        <v>6.64</v>
      </c>
      <c r="T143" s="13" t="n">
        <v>0.25</v>
      </c>
      <c r="U143" s="13" t="n">
        <v>-1.59</v>
      </c>
      <c r="V143" s="13" t="n">
        <v>4.64</v>
      </c>
      <c r="W143" s="13" t="n">
        <v>-0.04</v>
      </c>
      <c r="X143" s="13" t="n">
        <v>57.8</v>
      </c>
      <c r="Y143" s="13" t="n">
        <v>28.9</v>
      </c>
      <c r="Z143" s="13" t="n">
        <v>34.4</v>
      </c>
      <c r="AA143" s="14" t="n">
        <v>53.4</v>
      </c>
      <c r="AB143" s="14" t="n">
        <v>19.9</v>
      </c>
    </row>
    <row r="144" customFormat="false" ht="12.8" hidden="false" customHeight="false" outlineLevel="0" collapsed="false">
      <c r="A144" s="1" t="n">
        <v>5.4</v>
      </c>
      <c r="B144" s="1" t="n">
        <v>-0.06</v>
      </c>
      <c r="C144" s="1" t="n">
        <v>-0.05</v>
      </c>
      <c r="D144" s="1" t="n">
        <v>4.64</v>
      </c>
      <c r="E144" s="1" t="n">
        <v>0.04</v>
      </c>
      <c r="F144" s="1" t="n">
        <v>58.3</v>
      </c>
      <c r="G144" s="1" t="n">
        <v>23.9</v>
      </c>
      <c r="H144" s="1" t="n">
        <v>34.9</v>
      </c>
      <c r="I144" s="1" t="n">
        <v>57.9</v>
      </c>
      <c r="J144" s="1" t="n">
        <v>14.6</v>
      </c>
      <c r="K144" s="22" t="n">
        <v>9.95805515134429</v>
      </c>
      <c r="L144" s="1" t="n">
        <v>9.96</v>
      </c>
      <c r="M144" s="23" t="n">
        <v>0.00194484865571276</v>
      </c>
      <c r="P144" s="12" t="n">
        <v>6</v>
      </c>
      <c r="Q144" s="13" t="s">
        <v>42</v>
      </c>
      <c r="R144" s="13" t="n">
        <v>10.21</v>
      </c>
      <c r="S144" s="13" t="n">
        <v>6.26</v>
      </c>
      <c r="T144" s="13" t="n">
        <v>-0.31</v>
      </c>
      <c r="U144" s="13" t="n">
        <v>-0.25</v>
      </c>
      <c r="V144" s="13" t="n">
        <v>4.6</v>
      </c>
      <c r="W144" s="13" t="n">
        <v>-0.1</v>
      </c>
      <c r="X144" s="13" t="n">
        <v>49.1</v>
      </c>
      <c r="Y144" s="13" t="n">
        <v>11.7</v>
      </c>
      <c r="Z144" s="13" t="n">
        <v>32.7</v>
      </c>
      <c r="AA144" s="14" t="n">
        <v>55.3</v>
      </c>
      <c r="AB144" s="14" t="n">
        <v>22.5</v>
      </c>
    </row>
    <row r="145" customFormat="false" ht="12.8" hidden="false" customHeight="false" outlineLevel="0" collapsed="false">
      <c r="A145" s="1" t="n">
        <v>5.21</v>
      </c>
      <c r="B145" s="1" t="n">
        <v>-0.02</v>
      </c>
      <c r="C145" s="1" t="n">
        <v>-0.08</v>
      </c>
      <c r="D145" s="1" t="n">
        <v>4.64</v>
      </c>
      <c r="E145" s="1" t="n">
        <v>0</v>
      </c>
      <c r="F145" s="1" t="n">
        <v>54.2</v>
      </c>
      <c r="G145" s="1" t="n">
        <v>12.4</v>
      </c>
      <c r="H145" s="1" t="n">
        <v>33.6</v>
      </c>
      <c r="I145" s="1" t="n">
        <v>60</v>
      </c>
      <c r="J145" s="1" t="n">
        <v>27.4</v>
      </c>
      <c r="K145" s="22" t="n">
        <v>9.76688921115049</v>
      </c>
      <c r="L145" s="1" t="n">
        <v>9.76</v>
      </c>
      <c r="M145" s="23" t="n">
        <v>-0.0068892111504848</v>
      </c>
      <c r="P145" s="12" t="n">
        <v>6</v>
      </c>
      <c r="Q145" s="13" t="s">
        <v>45</v>
      </c>
      <c r="R145" s="13" t="n">
        <v>9.49</v>
      </c>
      <c r="S145" s="13" t="n">
        <v>6.26</v>
      </c>
      <c r="T145" s="13" t="n">
        <v>-0.32</v>
      </c>
      <c r="U145" s="13" t="n">
        <v>-0.81</v>
      </c>
      <c r="V145" s="13" t="n">
        <v>4.6</v>
      </c>
      <c r="W145" s="13" t="n">
        <v>-0.25</v>
      </c>
      <c r="X145" s="13" t="n">
        <v>61.1</v>
      </c>
      <c r="Y145" s="13" t="n">
        <v>22.2</v>
      </c>
      <c r="Z145" s="13" t="n">
        <v>32.2</v>
      </c>
      <c r="AA145" s="14" t="n">
        <v>58.5</v>
      </c>
      <c r="AB145" s="14" t="n">
        <v>30.1</v>
      </c>
    </row>
    <row r="146" customFormat="false" ht="12.8" hidden="false" customHeight="false" outlineLevel="0" collapsed="false">
      <c r="A146" s="1" t="n">
        <v>5.03</v>
      </c>
      <c r="B146" s="1" t="n">
        <v>-0.01</v>
      </c>
      <c r="C146" s="1" t="n">
        <v>0.14</v>
      </c>
      <c r="D146" s="1" t="n">
        <v>4.64</v>
      </c>
      <c r="E146" s="1" t="n">
        <v>0.01</v>
      </c>
      <c r="F146" s="1" t="n">
        <v>48</v>
      </c>
      <c r="G146" s="1" t="n">
        <v>9.4</v>
      </c>
      <c r="H146" s="1" t="n">
        <v>34.4</v>
      </c>
      <c r="I146" s="1" t="n">
        <v>53.8</v>
      </c>
      <c r="J146" s="1" t="n">
        <v>28.7</v>
      </c>
      <c r="K146" s="22" t="n">
        <v>9.83192872029799</v>
      </c>
      <c r="L146" s="1" t="n">
        <v>9.82</v>
      </c>
      <c r="M146" s="23" t="n">
        <v>-0.0119287202979894</v>
      </c>
      <c r="P146" s="12" t="n">
        <v>6</v>
      </c>
      <c r="Q146" s="13" t="s">
        <v>46</v>
      </c>
      <c r="R146" s="13" t="n">
        <v>9.63</v>
      </c>
      <c r="S146" s="13" t="n">
        <v>6.04</v>
      </c>
      <c r="T146" s="13" t="n">
        <v>-0.32</v>
      </c>
      <c r="U146" s="13" t="n">
        <v>-0.6</v>
      </c>
      <c r="V146" s="13" t="n">
        <v>4.6</v>
      </c>
      <c r="W146" s="13" t="n">
        <v>-0.1</v>
      </c>
      <c r="X146" s="13" t="n">
        <v>62.5</v>
      </c>
      <c r="Y146" s="13" t="n">
        <v>21.7</v>
      </c>
      <c r="Z146" s="13" t="n">
        <v>33.5</v>
      </c>
      <c r="AA146" s="14" t="n">
        <v>63.8</v>
      </c>
      <c r="AB146" s="14" t="n">
        <v>26.5</v>
      </c>
    </row>
    <row r="147" customFormat="false" ht="12.8" hidden="false" customHeight="false" outlineLevel="0" collapsed="false">
      <c r="A147" s="1" t="n">
        <v>5.16</v>
      </c>
      <c r="B147" s="1" t="n">
        <v>-0.1</v>
      </c>
      <c r="C147" s="1" t="n">
        <v>0.13</v>
      </c>
      <c r="D147" s="1" t="n">
        <v>4.64</v>
      </c>
      <c r="E147" s="1" t="n">
        <v>0.03</v>
      </c>
      <c r="F147" s="1" t="n">
        <v>44.8</v>
      </c>
      <c r="G147" s="1" t="n">
        <v>14.5</v>
      </c>
      <c r="H147" s="1" t="n">
        <v>34.8</v>
      </c>
      <c r="I147" s="1" t="n">
        <v>73.8</v>
      </c>
      <c r="J147" s="1" t="n">
        <v>24</v>
      </c>
      <c r="K147" s="22" t="n">
        <v>9.88217670438427</v>
      </c>
      <c r="L147" s="1" t="n">
        <v>9.87</v>
      </c>
      <c r="M147" s="23" t="n">
        <v>-0.0121767043842684</v>
      </c>
      <c r="P147" s="12" t="n">
        <v>6</v>
      </c>
      <c r="Q147" s="13" t="s">
        <v>48</v>
      </c>
      <c r="R147" s="13" t="n">
        <v>10.01</v>
      </c>
      <c r="S147" s="13" t="n">
        <v>5.98</v>
      </c>
      <c r="T147" s="13" t="n">
        <v>-0.17</v>
      </c>
      <c r="U147" s="13" t="n">
        <v>-0.34</v>
      </c>
      <c r="V147" s="13" t="n">
        <v>4.6</v>
      </c>
      <c r="W147" s="13" t="n">
        <v>-0.07</v>
      </c>
      <c r="X147" s="13" t="n">
        <v>64.4</v>
      </c>
      <c r="Y147" s="13" t="n">
        <v>22.9</v>
      </c>
      <c r="Z147" s="13" t="n">
        <v>33.1</v>
      </c>
      <c r="AA147" s="14" t="n">
        <v>51.9</v>
      </c>
      <c r="AB147" s="14" t="n">
        <v>21.7</v>
      </c>
    </row>
    <row r="148" customFormat="false" ht="12.8" hidden="false" customHeight="false" outlineLevel="0" collapsed="false">
      <c r="A148" s="1" t="n">
        <v>4.47</v>
      </c>
      <c r="B148" s="1" t="n">
        <v>0.14</v>
      </c>
      <c r="C148" s="1" t="n">
        <v>0.67</v>
      </c>
      <c r="D148" s="1" t="n">
        <v>4.64</v>
      </c>
      <c r="E148" s="1" t="n">
        <v>0.07</v>
      </c>
      <c r="F148" s="1" t="n">
        <v>51.5</v>
      </c>
      <c r="G148" s="1" t="n">
        <v>8.9</v>
      </c>
      <c r="H148" s="1" t="n">
        <v>35.5</v>
      </c>
      <c r="I148" s="1" t="n">
        <v>55</v>
      </c>
      <c r="J148" s="1" t="n">
        <v>23.9</v>
      </c>
      <c r="K148" s="22" t="n">
        <v>10.0027025805692</v>
      </c>
      <c r="L148" s="1" t="n">
        <v>10</v>
      </c>
      <c r="M148" s="23" t="n">
        <v>-0.00270258056918316</v>
      </c>
      <c r="P148" s="12" t="n">
        <v>6</v>
      </c>
      <c r="Q148" s="13" t="s">
        <v>49</v>
      </c>
      <c r="R148" s="13" t="n">
        <v>9.85</v>
      </c>
      <c r="S148" s="13" t="n">
        <v>6.83</v>
      </c>
      <c r="T148" s="13" t="n">
        <v>-0.62</v>
      </c>
      <c r="U148" s="13" t="n">
        <v>-0.75</v>
      </c>
      <c r="V148" s="13" t="n">
        <v>4.6</v>
      </c>
      <c r="W148" s="13" t="n">
        <v>-0.21</v>
      </c>
      <c r="X148" s="13" t="n">
        <v>61.2</v>
      </c>
      <c r="Y148" s="13" t="n">
        <v>31.9</v>
      </c>
      <c r="Z148" s="13" t="n">
        <v>34.3</v>
      </c>
      <c r="AA148" s="14" t="n">
        <v>50.5</v>
      </c>
      <c r="AB148" s="14" t="n">
        <v>16.9</v>
      </c>
    </row>
    <row r="149" customFormat="false" ht="12.8" hidden="false" customHeight="false" outlineLevel="0" collapsed="false">
      <c r="A149" s="1" t="n">
        <v>5</v>
      </c>
      <c r="B149" s="1" t="n">
        <v>-0.06</v>
      </c>
      <c r="C149" s="1" t="n">
        <v>0.39</v>
      </c>
      <c r="D149" s="1" t="n">
        <v>4.64</v>
      </c>
      <c r="E149" s="1" t="n">
        <v>0.03</v>
      </c>
      <c r="F149" s="1" t="n">
        <v>46.5</v>
      </c>
      <c r="G149" s="1" t="n">
        <v>10.5</v>
      </c>
      <c r="H149" s="1" t="n">
        <v>35.1</v>
      </c>
      <c r="I149" s="1" t="n">
        <v>52.8</v>
      </c>
      <c r="J149" s="1" t="n">
        <v>20.2</v>
      </c>
      <c r="K149" s="22" t="n">
        <v>10.0189678039764</v>
      </c>
      <c r="L149" s="1" t="n">
        <v>10.02</v>
      </c>
      <c r="M149" s="23" t="n">
        <v>0.0010321960235995</v>
      </c>
      <c r="P149" s="12" t="n">
        <v>6</v>
      </c>
      <c r="Q149" s="13" t="s">
        <v>50</v>
      </c>
      <c r="R149" s="13" t="n">
        <v>9.84</v>
      </c>
      <c r="S149" s="13" t="n">
        <v>6.2</v>
      </c>
      <c r="T149" s="13" t="n">
        <v>-0.29</v>
      </c>
      <c r="U149" s="13" t="n">
        <v>-0.49</v>
      </c>
      <c r="V149" s="13" t="n">
        <v>4.6</v>
      </c>
      <c r="W149" s="13" t="n">
        <v>-0.02</v>
      </c>
      <c r="X149" s="13" t="n">
        <v>77.3</v>
      </c>
      <c r="Y149" s="13" t="n">
        <v>25.7</v>
      </c>
      <c r="Z149" s="13" t="n">
        <v>34.4</v>
      </c>
      <c r="AA149" s="14" t="n">
        <v>55.8</v>
      </c>
      <c r="AB149" s="14" t="n">
        <v>30.8</v>
      </c>
    </row>
    <row r="150" customFormat="false" ht="12.8" hidden="false" customHeight="false" outlineLevel="0" collapsed="false">
      <c r="A150" s="1" t="n">
        <v>5.24</v>
      </c>
      <c r="B150" s="1" t="n">
        <v>-0.14</v>
      </c>
      <c r="C150" s="1" t="n">
        <v>-0.3</v>
      </c>
      <c r="D150" s="1" t="n">
        <v>4.64</v>
      </c>
      <c r="E150" s="1" t="n">
        <v>-0.1</v>
      </c>
      <c r="F150" s="1" t="n">
        <v>67.5</v>
      </c>
      <c r="G150" s="1" t="n">
        <v>21.9</v>
      </c>
      <c r="H150" s="1" t="n">
        <v>34.9</v>
      </c>
      <c r="I150" s="1" t="n">
        <v>53.3</v>
      </c>
      <c r="J150" s="1" t="n">
        <v>22.7</v>
      </c>
      <c r="K150" s="22" t="n">
        <v>9.31280480811344</v>
      </c>
      <c r="L150" s="1" t="n">
        <v>9.33</v>
      </c>
      <c r="M150" s="23" t="n">
        <v>0.0171951918865627</v>
      </c>
      <c r="P150" s="12" t="n">
        <v>6</v>
      </c>
      <c r="Q150" s="13" t="s">
        <v>51</v>
      </c>
      <c r="R150" s="13" t="n">
        <v>9.59</v>
      </c>
      <c r="S150" s="13" t="n">
        <v>5.49</v>
      </c>
      <c r="T150" s="13" t="n">
        <v>-0.19</v>
      </c>
      <c r="U150" s="13" t="n">
        <v>-0.28</v>
      </c>
      <c r="V150" s="13" t="n">
        <v>4.6</v>
      </c>
      <c r="W150" s="13" t="n">
        <v>-0.04</v>
      </c>
      <c r="X150" s="13" t="n">
        <v>58.2</v>
      </c>
      <c r="Y150" s="13" t="n">
        <v>26.7</v>
      </c>
      <c r="Z150" s="13" t="n">
        <v>34</v>
      </c>
      <c r="AA150" s="13" t="n">
        <v>34.2</v>
      </c>
      <c r="AB150" s="13" t="n">
        <v>83.3</v>
      </c>
    </row>
    <row r="151" customFormat="false" ht="12.8" hidden="false" customHeight="false" outlineLevel="0" collapsed="false">
      <c r="A151" s="1" t="n">
        <v>4.94</v>
      </c>
      <c r="B151" s="1" t="n">
        <v>-0.09</v>
      </c>
      <c r="C151" s="1" t="n">
        <v>0.11</v>
      </c>
      <c r="D151" s="1" t="n">
        <v>4.64</v>
      </c>
      <c r="E151" s="1" t="n">
        <v>-0.05</v>
      </c>
      <c r="F151" s="1" t="n">
        <v>69.1</v>
      </c>
      <c r="G151" s="1" t="n">
        <v>33.1</v>
      </c>
      <c r="H151" s="1" t="n">
        <v>33.7</v>
      </c>
      <c r="I151" s="1" t="n">
        <v>51.2</v>
      </c>
      <c r="J151" s="1" t="n">
        <v>13.5</v>
      </c>
      <c r="K151" s="22" t="n">
        <v>9.52544014590963</v>
      </c>
      <c r="L151" s="1" t="n">
        <v>9.57</v>
      </c>
      <c r="M151" s="23" t="n">
        <v>0.0445598540903696</v>
      </c>
      <c r="P151" s="12" t="n">
        <v>6</v>
      </c>
      <c r="Q151" s="13" t="s">
        <v>52</v>
      </c>
      <c r="R151" s="13" t="n">
        <v>9.66</v>
      </c>
      <c r="S151" s="13" t="n">
        <v>5.13</v>
      </c>
      <c r="T151" s="13" t="n">
        <v>-0.04</v>
      </c>
      <c r="U151" s="13" t="n">
        <v>0.03</v>
      </c>
      <c r="V151" s="13" t="n">
        <v>4.6</v>
      </c>
      <c r="W151" s="13" t="n">
        <v>-0.06</v>
      </c>
      <c r="X151" s="13" t="n">
        <v>55.5</v>
      </c>
      <c r="Y151" s="13" t="n">
        <v>15</v>
      </c>
      <c r="Z151" s="13" t="n">
        <v>33.3</v>
      </c>
      <c r="AA151" s="13" t="n">
        <v>35.2</v>
      </c>
      <c r="AB151" s="13" t="n">
        <v>80.8</v>
      </c>
    </row>
    <row r="152" customFormat="false" ht="12.8" hidden="false" customHeight="false" outlineLevel="0" collapsed="false">
      <c r="A152" s="1" t="n">
        <v>5.26</v>
      </c>
      <c r="B152" s="1" t="n">
        <v>-0.03</v>
      </c>
      <c r="C152" s="1" t="n">
        <v>0</v>
      </c>
      <c r="D152" s="1" t="n">
        <v>4.64</v>
      </c>
      <c r="E152" s="1" t="n">
        <v>-0.19</v>
      </c>
      <c r="F152" s="1" t="n">
        <v>65.4</v>
      </c>
      <c r="G152" s="1" t="n">
        <v>22.5</v>
      </c>
      <c r="H152" s="1" t="n">
        <v>35.1</v>
      </c>
      <c r="I152" s="1" t="n">
        <v>47</v>
      </c>
      <c r="J152" s="1" t="n">
        <v>8.4</v>
      </c>
      <c r="K152" s="22" t="n">
        <v>9.66231662541268</v>
      </c>
      <c r="L152" s="1" t="n">
        <v>9.66</v>
      </c>
      <c r="M152" s="23" t="n">
        <v>-0.0023166254126803</v>
      </c>
      <c r="P152" s="12" t="n">
        <v>6</v>
      </c>
      <c r="Q152" s="13" t="s">
        <v>53</v>
      </c>
      <c r="R152" s="13" t="n">
        <v>9.79</v>
      </c>
      <c r="S152" s="13" t="n">
        <v>5.4</v>
      </c>
      <c r="T152" s="13" t="n">
        <v>-0.07</v>
      </c>
      <c r="U152" s="13" t="n">
        <v>-0.06</v>
      </c>
      <c r="V152" s="13" t="n">
        <v>4.6</v>
      </c>
      <c r="W152" s="13" t="n">
        <v>-0.03</v>
      </c>
      <c r="X152" s="13" t="n">
        <v>61</v>
      </c>
      <c r="Y152" s="13" t="n">
        <v>25.4</v>
      </c>
      <c r="Z152" s="13" t="n">
        <v>34.4</v>
      </c>
      <c r="AA152" s="13" t="n">
        <v>36.6</v>
      </c>
      <c r="AB152" s="13" t="n">
        <v>81.4</v>
      </c>
    </row>
    <row r="153" customFormat="false" ht="12.8" hidden="false" customHeight="false" outlineLevel="0" collapsed="false">
      <c r="A153" s="1" t="n">
        <v>5.47</v>
      </c>
      <c r="B153" s="1" t="n">
        <v>-0.13</v>
      </c>
      <c r="C153" s="1" t="n">
        <v>-0.03</v>
      </c>
      <c r="D153" s="1" t="n">
        <v>4.64</v>
      </c>
      <c r="E153" s="1" t="n">
        <v>-0.03</v>
      </c>
      <c r="F153" s="1" t="n">
        <v>64.2</v>
      </c>
      <c r="G153" s="1" t="n">
        <v>20.8</v>
      </c>
      <c r="H153" s="1" t="n">
        <v>35.2</v>
      </c>
      <c r="I153" s="1" t="n">
        <v>43.8</v>
      </c>
      <c r="J153" s="1" t="n">
        <v>12.9</v>
      </c>
      <c r="K153" s="22" t="n">
        <v>9.89737807191395</v>
      </c>
      <c r="L153" s="1" t="n">
        <v>9.91</v>
      </c>
      <c r="M153" s="23" t="n">
        <v>0.0126219280860518</v>
      </c>
      <c r="P153" s="12" t="n">
        <v>6</v>
      </c>
      <c r="Q153" s="13" t="s">
        <v>54</v>
      </c>
      <c r="R153" s="13" t="n">
        <v>9.81</v>
      </c>
      <c r="S153" s="13" t="n">
        <v>5.28</v>
      </c>
      <c r="T153" s="13" t="n">
        <v>-0.02</v>
      </c>
      <c r="U153" s="13" t="n">
        <v>-0.08</v>
      </c>
      <c r="V153" s="13" t="n">
        <v>4.6</v>
      </c>
      <c r="W153" s="13" t="n">
        <v>0.02</v>
      </c>
      <c r="X153" s="13" t="n">
        <v>55.2</v>
      </c>
      <c r="Y153" s="13" t="n">
        <v>13.2</v>
      </c>
      <c r="Z153" s="13" t="n">
        <v>33</v>
      </c>
      <c r="AA153" s="13" t="n">
        <v>33.7</v>
      </c>
      <c r="AB153" s="13" t="n">
        <v>82</v>
      </c>
    </row>
    <row r="154" customFormat="false" ht="12.8" hidden="false" customHeight="false" outlineLevel="0" collapsed="false">
      <c r="A154" s="1" t="n">
        <v>5.43</v>
      </c>
      <c r="B154" s="1" t="n">
        <v>-0.15</v>
      </c>
      <c r="C154" s="1" t="n">
        <v>-0.16</v>
      </c>
      <c r="D154" s="1" t="n">
        <v>4.64</v>
      </c>
      <c r="E154" s="1" t="n">
        <v>-0.1</v>
      </c>
      <c r="F154" s="1" t="n">
        <v>64.5</v>
      </c>
      <c r="G154" s="1" t="n">
        <v>21</v>
      </c>
      <c r="H154" s="1" t="n">
        <v>33.4</v>
      </c>
      <c r="I154" s="1" t="n">
        <v>50.5</v>
      </c>
      <c r="J154" s="1" t="n">
        <v>7.5</v>
      </c>
      <c r="K154" s="22" t="n">
        <v>9.65544884219093</v>
      </c>
      <c r="L154" s="1" t="n">
        <v>9.67</v>
      </c>
      <c r="M154" s="23" t="n">
        <v>0.0145511578090733</v>
      </c>
      <c r="P154" s="12" t="n">
        <v>6</v>
      </c>
      <c r="Q154" s="13" t="s">
        <v>56</v>
      </c>
      <c r="R154" s="13" t="n">
        <v>9.78</v>
      </c>
      <c r="S154" s="13" t="n">
        <v>5.03</v>
      </c>
      <c r="T154" s="13" t="n">
        <v>-0.01</v>
      </c>
      <c r="U154" s="13" t="n">
        <v>0.13</v>
      </c>
      <c r="V154" s="13" t="n">
        <v>4.6</v>
      </c>
      <c r="W154" s="13" t="n">
        <v>0.01</v>
      </c>
      <c r="X154" s="13" t="n">
        <v>49.8</v>
      </c>
      <c r="Y154" s="13" t="n">
        <v>8.4</v>
      </c>
      <c r="Z154" s="13" t="n">
        <v>33.7</v>
      </c>
      <c r="AA154" s="13" t="n">
        <v>32.2</v>
      </c>
      <c r="AB154" s="13" t="n">
        <v>81.6</v>
      </c>
    </row>
    <row r="155" customFormat="false" ht="12.8" hidden="false" customHeight="false" outlineLevel="0" collapsed="false">
      <c r="A155" s="1" t="n">
        <v>5.24</v>
      </c>
      <c r="B155" s="1" t="n">
        <v>-0.08</v>
      </c>
      <c r="C155" s="1" t="n">
        <v>-0.2</v>
      </c>
      <c r="D155" s="1" t="n">
        <v>4.64</v>
      </c>
      <c r="E155" s="1" t="n">
        <v>-0.07</v>
      </c>
      <c r="F155" s="1" t="n">
        <v>61.4</v>
      </c>
      <c r="G155" s="1" t="n">
        <v>29.8</v>
      </c>
      <c r="H155" s="1" t="n">
        <v>35.2</v>
      </c>
      <c r="I155" s="1" t="n">
        <v>46.1</v>
      </c>
      <c r="J155" s="1" t="n">
        <v>8.9</v>
      </c>
      <c r="K155" s="22" t="n">
        <v>9.50285470115873</v>
      </c>
      <c r="L155" s="1" t="n">
        <v>9.49</v>
      </c>
      <c r="M155" s="23" t="n">
        <v>-0.0128547011587266</v>
      </c>
      <c r="P155" s="12" t="n">
        <v>6</v>
      </c>
      <c r="Q155" s="13" t="s">
        <v>58</v>
      </c>
      <c r="R155" s="13" t="n">
        <v>9.77</v>
      </c>
      <c r="S155" s="13" t="n">
        <v>5.12</v>
      </c>
      <c r="T155" s="13" t="n">
        <v>-0.08</v>
      </c>
      <c r="U155" s="13" t="n">
        <v>0.12</v>
      </c>
      <c r="V155" s="13" t="n">
        <v>4.6</v>
      </c>
      <c r="W155" s="13" t="n">
        <v>0</v>
      </c>
      <c r="X155" s="13" t="n">
        <v>46.9</v>
      </c>
      <c r="Y155" s="13" t="n">
        <v>14.4</v>
      </c>
      <c r="Z155" s="13" t="n">
        <v>34.2</v>
      </c>
      <c r="AA155" s="13" t="n">
        <v>32.2</v>
      </c>
      <c r="AB155" s="13" t="n">
        <v>81.7</v>
      </c>
    </row>
    <row r="156" customFormat="false" ht="12.8" hidden="false" customHeight="false" outlineLevel="0" collapsed="false">
      <c r="A156" s="1" t="n">
        <v>5.31</v>
      </c>
      <c r="B156" s="1" t="n">
        <v>0.01</v>
      </c>
      <c r="C156" s="1" t="n">
        <v>-0.09</v>
      </c>
      <c r="D156" s="1" t="n">
        <v>4.64</v>
      </c>
      <c r="E156" s="1" t="n">
        <v>0.02</v>
      </c>
      <c r="F156" s="1" t="n">
        <v>63.4</v>
      </c>
      <c r="G156" s="1" t="n">
        <v>26</v>
      </c>
      <c r="H156" s="1" t="n">
        <v>36.1</v>
      </c>
      <c r="I156" s="1" t="n">
        <v>66.4</v>
      </c>
      <c r="J156" s="1" t="n">
        <v>17.7</v>
      </c>
      <c r="K156" s="22" t="n">
        <v>9.85988285860496</v>
      </c>
      <c r="L156" s="1" t="n">
        <v>9.8</v>
      </c>
      <c r="M156" s="23" t="n">
        <v>-0.0598828586049578</v>
      </c>
      <c r="P156" s="12" t="n">
        <v>6</v>
      </c>
      <c r="Q156" s="13" t="s">
        <v>60</v>
      </c>
      <c r="R156" s="13" t="n">
        <v>9.98</v>
      </c>
      <c r="S156" s="13" t="n">
        <v>4.48</v>
      </c>
      <c r="T156" s="13" t="n">
        <v>0.16</v>
      </c>
      <c r="U156" s="13" t="n">
        <v>0.66</v>
      </c>
      <c r="V156" s="13" t="n">
        <v>4.6</v>
      </c>
      <c r="W156" s="13" t="n">
        <v>0.07</v>
      </c>
      <c r="X156" s="13" t="n">
        <v>53.1</v>
      </c>
      <c r="Y156" s="13" t="n">
        <v>9.5</v>
      </c>
      <c r="Z156" s="13" t="n">
        <v>35.2</v>
      </c>
      <c r="AA156" s="13" t="n">
        <v>34.1</v>
      </c>
      <c r="AB156" s="13" t="n">
        <v>80.4</v>
      </c>
    </row>
    <row r="157" customFormat="false" ht="12.8" hidden="false" customHeight="false" outlineLevel="0" collapsed="false">
      <c r="A157" s="1" t="n">
        <v>5.03</v>
      </c>
      <c r="B157" s="1" t="n">
        <v>-0.04</v>
      </c>
      <c r="C157" s="1" t="n">
        <v>0.11</v>
      </c>
      <c r="D157" s="1" t="n">
        <v>4.64</v>
      </c>
      <c r="E157" s="1" t="n">
        <v>0.03</v>
      </c>
      <c r="F157" s="1" t="n">
        <v>56.5</v>
      </c>
      <c r="G157" s="1" t="n">
        <v>16.7</v>
      </c>
      <c r="H157" s="1" t="n">
        <v>35.5</v>
      </c>
      <c r="I157" s="1" t="n">
        <v>66.3</v>
      </c>
      <c r="J157" s="1" t="n">
        <v>29.3</v>
      </c>
      <c r="K157" s="22" t="n">
        <v>9.76370423659648</v>
      </c>
      <c r="L157" s="1" t="n">
        <v>9.75</v>
      </c>
      <c r="M157" s="23" t="n">
        <v>-0.0137042365964799</v>
      </c>
      <c r="P157" s="12" t="n">
        <v>6</v>
      </c>
      <c r="Q157" s="13" t="s">
        <v>62</v>
      </c>
      <c r="R157" s="13" t="n">
        <v>10.02</v>
      </c>
      <c r="S157" s="13" t="n">
        <v>5.02</v>
      </c>
      <c r="T157" s="13" t="n">
        <v>-0.06</v>
      </c>
      <c r="U157" s="13" t="n">
        <v>0.38</v>
      </c>
      <c r="V157" s="13" t="n">
        <v>4.6</v>
      </c>
      <c r="W157" s="13" t="n">
        <v>0.06</v>
      </c>
      <c r="X157" s="13" t="n">
        <v>48.2</v>
      </c>
      <c r="Y157" s="13" t="n">
        <v>10.4</v>
      </c>
      <c r="Z157" s="13" t="n">
        <v>34</v>
      </c>
      <c r="AA157" s="13" t="n">
        <v>33.9</v>
      </c>
      <c r="AB157" s="13" t="n">
        <v>80.9</v>
      </c>
    </row>
    <row r="158" customFormat="false" ht="12.8" hidden="false" customHeight="false" outlineLevel="0" collapsed="false">
      <c r="A158" s="1" t="n">
        <v>4.84</v>
      </c>
      <c r="B158" s="1" t="n">
        <v>0.2</v>
      </c>
      <c r="C158" s="1" t="n">
        <v>0.27</v>
      </c>
      <c r="D158" s="1" t="n">
        <v>4.64</v>
      </c>
      <c r="E158" s="1" t="n">
        <v>0.05</v>
      </c>
      <c r="F158" s="1" t="n">
        <v>53.1</v>
      </c>
      <c r="G158" s="1" t="n">
        <v>13.6</v>
      </c>
      <c r="H158" s="1" t="n">
        <v>34.7</v>
      </c>
      <c r="I158" s="1" t="n">
        <v>63.7</v>
      </c>
      <c r="J158" s="1" t="n">
        <v>21.1</v>
      </c>
      <c r="K158" s="22" t="n">
        <v>10.013777534218</v>
      </c>
      <c r="L158" s="1" t="n">
        <v>10.01</v>
      </c>
      <c r="M158" s="23" t="n">
        <v>-0.00377753421802396</v>
      </c>
      <c r="P158" s="12" t="n">
        <v>6</v>
      </c>
      <c r="Q158" s="13" t="s">
        <v>64</v>
      </c>
      <c r="R158" s="13" t="n">
        <v>9.35</v>
      </c>
      <c r="S158" s="13" t="n">
        <v>5.31</v>
      </c>
      <c r="T158" s="13" t="n">
        <v>-0.14</v>
      </c>
      <c r="U158" s="13" t="n">
        <v>-0.31</v>
      </c>
      <c r="V158" s="13" t="n">
        <v>4.6</v>
      </c>
      <c r="W158" s="13" t="n">
        <v>-0.08</v>
      </c>
      <c r="X158" s="13" t="n">
        <v>69.9</v>
      </c>
      <c r="Y158" s="13" t="n">
        <v>22</v>
      </c>
      <c r="Z158" s="13" t="n">
        <v>33.5</v>
      </c>
      <c r="AA158" s="13" t="n">
        <v>38.6</v>
      </c>
      <c r="AB158" s="13" t="n">
        <v>82.9</v>
      </c>
    </row>
    <row r="159" customFormat="false" ht="12.8" hidden="false" customHeight="false" outlineLevel="0" collapsed="false">
      <c r="A159" s="1" t="n">
        <v>5.15</v>
      </c>
      <c r="B159" s="1" t="n">
        <v>0.01</v>
      </c>
      <c r="C159" s="1" t="n">
        <v>0.01</v>
      </c>
      <c r="D159" s="1" t="n">
        <v>4.64</v>
      </c>
      <c r="E159" s="1" t="n">
        <v>-0.02</v>
      </c>
      <c r="F159" s="1" t="n">
        <v>60.4</v>
      </c>
      <c r="G159" s="1" t="n">
        <v>18.4</v>
      </c>
      <c r="H159" s="1" t="n">
        <v>33.8</v>
      </c>
      <c r="I159" s="1" t="n">
        <v>61.2</v>
      </c>
      <c r="J159" s="1" t="n">
        <v>19.6</v>
      </c>
      <c r="K159" s="22" t="n">
        <v>9.79325011862653</v>
      </c>
      <c r="L159" s="1" t="n">
        <v>9.81</v>
      </c>
      <c r="M159" s="23" t="n">
        <v>0.0167498813734692</v>
      </c>
      <c r="P159" s="12" t="n">
        <v>6</v>
      </c>
      <c r="Q159" s="13" t="s">
        <v>66</v>
      </c>
      <c r="R159" s="13" t="n">
        <v>9.62</v>
      </c>
      <c r="S159" s="13" t="n">
        <v>4.98</v>
      </c>
      <c r="T159" s="13" t="n">
        <v>-0.07</v>
      </c>
      <c r="U159" s="13" t="n">
        <v>0.12</v>
      </c>
      <c r="V159" s="13" t="n">
        <v>4.6</v>
      </c>
      <c r="W159" s="13" t="n">
        <v>0</v>
      </c>
      <c r="X159" s="13" t="n">
        <v>71.8</v>
      </c>
      <c r="Y159" s="13" t="n">
        <v>31.9</v>
      </c>
      <c r="Z159" s="13" t="n">
        <v>33.5</v>
      </c>
      <c r="AA159" s="13" t="n">
        <v>39.4</v>
      </c>
      <c r="AB159" s="13" t="n">
        <v>81.9</v>
      </c>
    </row>
    <row r="160" customFormat="false" ht="12.8" hidden="false" customHeight="false" outlineLevel="0" collapsed="false">
      <c r="A160" s="1" t="n">
        <v>5.22</v>
      </c>
      <c r="B160" s="1" t="n">
        <v>0.07</v>
      </c>
      <c r="C160" s="1" t="n">
        <v>-0.15</v>
      </c>
      <c r="D160" s="1" t="n">
        <v>4.64</v>
      </c>
      <c r="E160" s="1" t="n">
        <v>-0.06</v>
      </c>
      <c r="F160" s="1" t="n">
        <v>62.2</v>
      </c>
      <c r="G160" s="1" t="n">
        <v>20.1</v>
      </c>
      <c r="H160" s="1" t="n">
        <v>34.9</v>
      </c>
      <c r="I160" s="1" t="n">
        <v>65.1</v>
      </c>
      <c r="J160" s="1" t="n">
        <v>18.9</v>
      </c>
      <c r="K160" s="22" t="n">
        <v>9.71005510625573</v>
      </c>
      <c r="L160" s="1" t="n">
        <v>9.73</v>
      </c>
      <c r="M160" s="23" t="n">
        <v>0.0199448937442668</v>
      </c>
      <c r="P160" s="12" t="n">
        <v>6</v>
      </c>
      <c r="Q160" s="13" t="s">
        <v>67</v>
      </c>
      <c r="R160" s="13" t="n">
        <v>9.94</v>
      </c>
      <c r="S160" s="13" t="n">
        <v>5.33</v>
      </c>
      <c r="T160" s="13" t="n">
        <v>-0.02</v>
      </c>
      <c r="U160" s="13" t="n">
        <v>0.03</v>
      </c>
      <c r="V160" s="13" t="n">
        <v>4.6</v>
      </c>
      <c r="W160" s="13" t="n">
        <v>-0.01</v>
      </c>
      <c r="X160" s="13" t="n">
        <v>66.6</v>
      </c>
      <c r="Y160" s="13" t="n">
        <v>23.7</v>
      </c>
      <c r="Z160" s="13" t="n">
        <v>33.9</v>
      </c>
      <c r="AA160" s="13" t="n">
        <v>36</v>
      </c>
      <c r="AB160" s="13" t="n">
        <v>81</v>
      </c>
    </row>
    <row r="161" customFormat="false" ht="12.8" hidden="false" customHeight="false" outlineLevel="0" collapsed="false">
      <c r="A161" s="1" t="n">
        <v>5.36</v>
      </c>
      <c r="B161" s="1" t="n">
        <v>0.06</v>
      </c>
      <c r="C161" s="1" t="n">
        <v>0.01</v>
      </c>
      <c r="D161" s="1" t="n">
        <v>4.64</v>
      </c>
      <c r="E161" s="1" t="n">
        <v>0.02</v>
      </c>
      <c r="F161" s="1" t="n">
        <v>58.6</v>
      </c>
      <c r="G161" s="1" t="n">
        <v>17.6</v>
      </c>
      <c r="H161" s="1" t="n">
        <v>36.1</v>
      </c>
      <c r="I161" s="1" t="n">
        <v>58.7</v>
      </c>
      <c r="J161" s="1" t="n">
        <v>22.5</v>
      </c>
      <c r="K161" s="22" t="n">
        <v>10.0750081695418</v>
      </c>
      <c r="L161" s="1" t="n">
        <v>10.09</v>
      </c>
      <c r="M161" s="23" t="n">
        <v>0.0149918304581895</v>
      </c>
      <c r="P161" s="12" t="n">
        <v>6</v>
      </c>
      <c r="Q161" s="13" t="s">
        <v>69</v>
      </c>
      <c r="R161" s="13" t="n">
        <v>10.07</v>
      </c>
      <c r="S161" s="13" t="n">
        <v>5.58</v>
      </c>
      <c r="T161" s="13" t="n">
        <v>-0.14</v>
      </c>
      <c r="U161" s="13" t="n">
        <v>-0.03</v>
      </c>
      <c r="V161" s="13" t="n">
        <v>4.6</v>
      </c>
      <c r="W161" s="13" t="n">
        <v>0.05</v>
      </c>
      <c r="X161" s="13" t="n">
        <v>65.4</v>
      </c>
      <c r="Y161" s="13" t="n">
        <v>21.9</v>
      </c>
      <c r="Z161" s="13" t="n">
        <v>34.2</v>
      </c>
      <c r="AA161" s="13" t="n">
        <v>35.7</v>
      </c>
      <c r="AB161" s="13" t="n">
        <v>79.9</v>
      </c>
    </row>
    <row r="162" customFormat="false" ht="12.8" hidden="false" customHeight="false" outlineLevel="0" collapsed="false">
      <c r="A162" s="1" t="n">
        <v>5.33</v>
      </c>
      <c r="B162" s="1" t="n">
        <v>0.17</v>
      </c>
      <c r="C162" s="1" t="n">
        <v>0.13</v>
      </c>
      <c r="D162" s="1" t="n">
        <v>4.64</v>
      </c>
      <c r="E162" s="1" t="n">
        <v>0.01</v>
      </c>
      <c r="F162" s="1" t="n">
        <v>46.8</v>
      </c>
      <c r="G162" s="1" t="n">
        <v>12.6</v>
      </c>
      <c r="H162" s="1" t="n">
        <v>35.5</v>
      </c>
      <c r="I162" s="1" t="n">
        <v>57</v>
      </c>
      <c r="J162" s="1" t="n">
        <v>27.4</v>
      </c>
      <c r="K162" s="22" t="n">
        <v>10.2961006210366</v>
      </c>
      <c r="L162" s="1" t="n">
        <v>10.29</v>
      </c>
      <c r="M162" s="23" t="n">
        <v>-0.00610062103662834</v>
      </c>
      <c r="P162" s="12" t="n">
        <v>6</v>
      </c>
      <c r="Q162" s="13" t="s">
        <v>75</v>
      </c>
      <c r="R162" s="13" t="n">
        <v>9.94</v>
      </c>
      <c r="S162" s="13" t="n">
        <v>5.54</v>
      </c>
      <c r="T162" s="13" t="n">
        <v>-0.15</v>
      </c>
      <c r="U162" s="13" t="n">
        <v>-0.14</v>
      </c>
      <c r="V162" s="13" t="n">
        <v>4.6</v>
      </c>
      <c r="W162" s="13" t="n">
        <v>0.08</v>
      </c>
      <c r="X162" s="13" t="n">
        <v>67.8</v>
      </c>
      <c r="Y162" s="13" t="n">
        <v>18.7</v>
      </c>
      <c r="Z162" s="13" t="n">
        <v>33.3</v>
      </c>
      <c r="AA162" s="13" t="n">
        <v>31.8</v>
      </c>
      <c r="AB162" s="13" t="n">
        <v>80.8</v>
      </c>
    </row>
    <row r="163" customFormat="false" ht="12.8" hidden="false" customHeight="false" outlineLevel="0" collapsed="false">
      <c r="A163" s="1" t="n">
        <v>5.53</v>
      </c>
      <c r="B163" s="1" t="n">
        <v>0.03</v>
      </c>
      <c r="C163" s="1" t="n">
        <v>-0.02</v>
      </c>
      <c r="D163" s="1" t="n">
        <v>4.64</v>
      </c>
      <c r="E163" s="1" t="n">
        <v>-0.02</v>
      </c>
      <c r="F163" s="1" t="n">
        <v>54</v>
      </c>
      <c r="G163" s="1" t="n">
        <v>15.9</v>
      </c>
      <c r="H163" s="1" t="n">
        <v>34.7</v>
      </c>
      <c r="I163" s="1" t="n">
        <v>55.1</v>
      </c>
      <c r="J163" s="1" t="n">
        <v>14.7</v>
      </c>
      <c r="K163" s="22" t="n">
        <v>10.1675207198169</v>
      </c>
      <c r="L163" s="1" t="n">
        <v>10.17</v>
      </c>
      <c r="M163" s="23" t="n">
        <v>0.00247928018312216</v>
      </c>
      <c r="P163" s="12" t="n">
        <v>6</v>
      </c>
      <c r="Q163" s="13" t="s">
        <v>76</v>
      </c>
      <c r="R163" s="13" t="n">
        <v>9.55</v>
      </c>
      <c r="S163" s="13" t="n">
        <v>5.27</v>
      </c>
      <c r="T163" s="13" t="n">
        <v>-0.08</v>
      </c>
      <c r="U163" s="13" t="n">
        <v>-0.17</v>
      </c>
      <c r="V163" s="13" t="n">
        <v>4.6</v>
      </c>
      <c r="W163" s="13" t="n">
        <v>-0.04</v>
      </c>
      <c r="X163" s="13" t="n">
        <v>64</v>
      </c>
      <c r="Y163" s="13" t="n">
        <v>29.4</v>
      </c>
      <c r="Z163" s="13" t="n">
        <v>34.6</v>
      </c>
      <c r="AA163" s="13" t="n">
        <v>36.3</v>
      </c>
      <c r="AB163" s="13" t="n">
        <v>82.6</v>
      </c>
    </row>
    <row r="164" customFormat="false" ht="12.8" hidden="false" customHeight="false" outlineLevel="0" collapsed="false">
      <c r="A164" s="1" t="n">
        <v>5.96</v>
      </c>
      <c r="B164" s="1" t="n">
        <v>-0.03</v>
      </c>
      <c r="C164" s="1" t="n">
        <v>-0.44</v>
      </c>
      <c r="D164" s="1" t="n">
        <v>4.64</v>
      </c>
      <c r="E164" s="1" t="n">
        <v>0.09</v>
      </c>
      <c r="F164" s="1" t="n">
        <v>54.7</v>
      </c>
      <c r="G164" s="1" t="n">
        <v>21.4</v>
      </c>
      <c r="H164" s="1" t="n">
        <v>37.2</v>
      </c>
      <c r="I164" s="1" t="n">
        <v>50.3</v>
      </c>
      <c r="J164" s="1" t="n">
        <v>11.8</v>
      </c>
      <c r="K164" s="22" t="n">
        <v>10.1885963896056</v>
      </c>
      <c r="L164" s="1" t="n">
        <v>10.14</v>
      </c>
      <c r="M164" s="23" t="n">
        <v>-0.0485963896056116</v>
      </c>
      <c r="P164" s="12" t="n">
        <v>6</v>
      </c>
      <c r="Q164" s="13" t="s">
        <v>78</v>
      </c>
      <c r="R164" s="13" t="n">
        <v>9.91</v>
      </c>
      <c r="S164" s="13" t="n">
        <v>5.38</v>
      </c>
      <c r="T164" s="13" t="n">
        <v>0</v>
      </c>
      <c r="U164" s="13" t="n">
        <v>-0.09</v>
      </c>
      <c r="V164" s="13" t="n">
        <v>4.6</v>
      </c>
      <c r="W164" s="13" t="n">
        <v>0.03</v>
      </c>
      <c r="X164" s="13" t="n">
        <v>64.8</v>
      </c>
      <c r="Y164" s="13" t="n">
        <v>25.5</v>
      </c>
      <c r="Z164" s="13" t="n">
        <v>34.9</v>
      </c>
      <c r="AA164" s="13" t="n">
        <v>35.9</v>
      </c>
      <c r="AB164" s="13" t="n">
        <v>80.4</v>
      </c>
    </row>
    <row r="165" customFormat="false" ht="12.8" hidden="false" customHeight="false" outlineLevel="0" collapsed="false">
      <c r="A165" s="1" t="n">
        <v>5.95</v>
      </c>
      <c r="B165" s="1" t="n">
        <v>-0.05</v>
      </c>
      <c r="C165" s="1" t="n">
        <v>-0.5</v>
      </c>
      <c r="D165" s="1" t="n">
        <v>4.64</v>
      </c>
      <c r="E165" s="1" t="n">
        <v>-0.09</v>
      </c>
      <c r="F165" s="1" t="n">
        <v>53.8</v>
      </c>
      <c r="G165" s="1" t="n">
        <v>17.9</v>
      </c>
      <c r="H165" s="1" t="n">
        <v>36</v>
      </c>
      <c r="I165" s="1" t="n">
        <v>58.1</v>
      </c>
      <c r="J165" s="1" t="n">
        <v>15.2</v>
      </c>
      <c r="K165" s="22" t="n">
        <v>9.94067929548966</v>
      </c>
      <c r="L165" s="1" t="n">
        <v>9.94</v>
      </c>
      <c r="M165" s="23" t="n">
        <v>-0.000679295489664611</v>
      </c>
      <c r="P165" s="12" t="n">
        <v>6</v>
      </c>
      <c r="Q165" s="13" t="s">
        <v>80</v>
      </c>
      <c r="R165" s="13" t="n">
        <v>9.85</v>
      </c>
      <c r="S165" s="13" t="n">
        <v>5.13</v>
      </c>
      <c r="T165" s="13" t="n">
        <v>-0.04</v>
      </c>
      <c r="U165" s="13" t="n">
        <v>0.1</v>
      </c>
      <c r="V165" s="13" t="n">
        <v>4.6</v>
      </c>
      <c r="W165" s="13" t="n">
        <v>0.05</v>
      </c>
      <c r="X165" s="13" t="n">
        <v>59.4</v>
      </c>
      <c r="Y165" s="13" t="n">
        <v>16.7</v>
      </c>
      <c r="Z165" s="13" t="n">
        <v>34.7</v>
      </c>
      <c r="AA165" s="13" t="n">
        <v>35.3</v>
      </c>
      <c r="AB165" s="13" t="n">
        <v>82.1</v>
      </c>
    </row>
    <row r="166" customFormat="false" ht="12.8" hidden="false" customHeight="false" outlineLevel="0" collapsed="false">
      <c r="A166" s="1" t="n">
        <v>6.09</v>
      </c>
      <c r="B166" s="1" t="n">
        <v>-0.16</v>
      </c>
      <c r="C166" s="1" t="n">
        <v>-0.67</v>
      </c>
      <c r="D166" s="1" t="n">
        <v>4.64</v>
      </c>
      <c r="E166" s="1" t="n">
        <v>-0.07</v>
      </c>
      <c r="F166" s="1" t="n">
        <v>55.5</v>
      </c>
      <c r="G166" s="1" t="n">
        <v>20.4</v>
      </c>
      <c r="H166" s="1" t="n">
        <v>35</v>
      </c>
      <c r="I166" s="1" t="n">
        <v>57.8</v>
      </c>
      <c r="J166" s="1" t="n">
        <v>23.5</v>
      </c>
      <c r="K166" s="22" t="n">
        <v>9.8203944299337</v>
      </c>
      <c r="L166" s="1" t="n">
        <v>9.82</v>
      </c>
      <c r="M166" s="23" t="n">
        <v>-0.00039442993370109</v>
      </c>
      <c r="P166" s="12" t="n">
        <v>6</v>
      </c>
      <c r="Q166" s="13" t="s">
        <v>81</v>
      </c>
      <c r="R166" s="13" t="n">
        <v>10.02</v>
      </c>
      <c r="S166" s="13" t="n">
        <v>4.92</v>
      </c>
      <c r="T166" s="13" t="n">
        <v>0.19</v>
      </c>
      <c r="U166" s="13" t="n">
        <v>0.25</v>
      </c>
      <c r="V166" s="13" t="n">
        <v>4.6</v>
      </c>
      <c r="W166" s="13" t="n">
        <v>0.05</v>
      </c>
      <c r="X166" s="13" t="n">
        <v>55.8</v>
      </c>
      <c r="Y166" s="13" t="n">
        <v>14.5</v>
      </c>
      <c r="Z166" s="13" t="n">
        <v>33.4</v>
      </c>
      <c r="AA166" s="13" t="n">
        <v>35.8</v>
      </c>
      <c r="AB166" s="13" t="n">
        <v>80.6</v>
      </c>
    </row>
    <row r="167" customFormat="false" ht="12.8" hidden="false" customHeight="false" outlineLevel="0" collapsed="false">
      <c r="A167" s="1" t="n">
        <v>6.4</v>
      </c>
      <c r="B167" s="1" t="n">
        <v>-0.31</v>
      </c>
      <c r="C167" s="1" t="n">
        <v>-0.55</v>
      </c>
      <c r="D167" s="1" t="n">
        <v>4.64</v>
      </c>
      <c r="E167" s="1" t="n">
        <v>0.07</v>
      </c>
      <c r="F167" s="1" t="n">
        <v>66.8</v>
      </c>
      <c r="G167" s="1" t="n">
        <v>23.5</v>
      </c>
      <c r="H167" s="1" t="n">
        <v>34.4</v>
      </c>
      <c r="I167" s="1" t="n">
        <v>55.6</v>
      </c>
      <c r="J167" s="1" t="n">
        <v>15.6</v>
      </c>
      <c r="K167" s="22" t="n">
        <v>10.2224027901976</v>
      </c>
      <c r="L167" s="1" t="n">
        <v>10.26</v>
      </c>
      <c r="M167" s="23" t="n">
        <v>0.037597209802378</v>
      </c>
      <c r="P167" s="12" t="n">
        <v>6</v>
      </c>
      <c r="Q167" s="13" t="s">
        <v>83</v>
      </c>
      <c r="R167" s="13" t="n">
        <v>9.94</v>
      </c>
      <c r="S167" s="13" t="n">
        <v>5.26</v>
      </c>
      <c r="T167" s="13" t="n">
        <v>0.02</v>
      </c>
      <c r="U167" s="13" t="n">
        <v>0.01</v>
      </c>
      <c r="V167" s="13" t="n">
        <v>4.6</v>
      </c>
      <c r="W167" s="13" t="n">
        <v>0.04</v>
      </c>
      <c r="X167" s="13" t="n">
        <v>64.4</v>
      </c>
      <c r="Y167" s="13" t="n">
        <v>15.4</v>
      </c>
      <c r="Z167" s="13" t="n">
        <v>34</v>
      </c>
      <c r="AA167" s="13" t="n">
        <v>35.1</v>
      </c>
      <c r="AB167" s="13" t="n">
        <v>80.2</v>
      </c>
    </row>
    <row r="168" customFormat="false" ht="12.8" hidden="false" customHeight="false" outlineLevel="0" collapsed="false">
      <c r="A168" s="1" t="n">
        <v>5.61</v>
      </c>
      <c r="B168" s="1" t="n">
        <v>0.07</v>
      </c>
      <c r="C168" s="1" t="n">
        <v>-0.18</v>
      </c>
      <c r="D168" s="1" t="n">
        <v>4.64</v>
      </c>
      <c r="E168" s="1" t="n">
        <v>-0.08</v>
      </c>
      <c r="F168" s="1" t="n">
        <v>57.9</v>
      </c>
      <c r="G168" s="1" t="n">
        <v>35.2</v>
      </c>
      <c r="H168" s="1" t="n">
        <v>33.4</v>
      </c>
      <c r="I168" s="1" t="n">
        <v>45.2</v>
      </c>
      <c r="J168" s="1" t="n">
        <v>12.5</v>
      </c>
      <c r="K168" s="22" t="n">
        <v>10.0551371022552</v>
      </c>
      <c r="L168" s="1" t="n">
        <v>10.07</v>
      </c>
      <c r="M168" s="23" t="n">
        <v>0.0148628977447682</v>
      </c>
      <c r="P168" s="12" t="n">
        <v>6</v>
      </c>
      <c r="Q168" s="13" t="s">
        <v>84</v>
      </c>
      <c r="R168" s="13" t="n">
        <v>9.89</v>
      </c>
      <c r="S168" s="13" t="n">
        <v>5.32</v>
      </c>
      <c r="T168" s="13" t="n">
        <v>0.07</v>
      </c>
      <c r="U168" s="13" t="n">
        <v>-0.14</v>
      </c>
      <c r="V168" s="13" t="n">
        <v>4.6</v>
      </c>
      <c r="W168" s="13" t="n">
        <v>0.02</v>
      </c>
      <c r="X168" s="13" t="n">
        <v>61.9</v>
      </c>
      <c r="Y168" s="13" t="n">
        <v>20.2</v>
      </c>
      <c r="Z168" s="13" t="n">
        <v>34.5</v>
      </c>
      <c r="AA168" s="13" t="n">
        <v>33.5</v>
      </c>
      <c r="AB168" s="13" t="n">
        <v>81.9</v>
      </c>
    </row>
    <row r="169" customFormat="false" ht="12.8" hidden="false" customHeight="false" outlineLevel="0" collapsed="false">
      <c r="A169" s="1" t="n">
        <v>5.43</v>
      </c>
      <c r="B169" s="1" t="n">
        <v>0.04</v>
      </c>
      <c r="C169" s="1" t="n">
        <v>-0.14</v>
      </c>
      <c r="D169" s="1" t="n">
        <v>4.64</v>
      </c>
      <c r="E169" s="1" t="n">
        <v>-0.06</v>
      </c>
      <c r="F169" s="1" t="n">
        <v>56.2</v>
      </c>
      <c r="G169" s="1" t="n">
        <v>18</v>
      </c>
      <c r="H169" s="1" t="n">
        <v>34.5</v>
      </c>
      <c r="I169" s="1" t="n">
        <v>50.9</v>
      </c>
      <c r="J169" s="1" t="n">
        <v>14.3</v>
      </c>
      <c r="K169" s="22" t="n">
        <v>9.91231738846205</v>
      </c>
      <c r="L169" s="1" t="n">
        <v>9.92</v>
      </c>
      <c r="M169" s="23" t="n">
        <v>0.00768261153794647</v>
      </c>
      <c r="P169" s="12" t="n">
        <v>6</v>
      </c>
      <c r="Q169" s="13" t="s">
        <v>88</v>
      </c>
      <c r="R169" s="13" t="n">
        <v>10.13</v>
      </c>
      <c r="S169" s="13" t="n">
        <v>5.36</v>
      </c>
      <c r="T169" s="13" t="n">
        <v>0.06</v>
      </c>
      <c r="U169" s="13" t="n">
        <v>0.03</v>
      </c>
      <c r="V169" s="13" t="n">
        <v>4.6</v>
      </c>
      <c r="W169" s="13" t="n">
        <v>0.06</v>
      </c>
      <c r="X169" s="13" t="n">
        <v>60.9</v>
      </c>
      <c r="Y169" s="13" t="n">
        <v>17.1</v>
      </c>
      <c r="Z169" s="13" t="n">
        <v>35.5</v>
      </c>
      <c r="AA169" s="13" t="n">
        <v>32.2</v>
      </c>
      <c r="AB169" s="13" t="n">
        <v>78</v>
      </c>
    </row>
    <row r="170" customFormat="false" ht="12.8" hidden="false" customHeight="false" outlineLevel="0" collapsed="false">
      <c r="A170" s="1" t="n">
        <v>5.73</v>
      </c>
      <c r="B170" s="1" t="n">
        <v>-0.19</v>
      </c>
      <c r="C170" s="1" t="n">
        <v>-0.1</v>
      </c>
      <c r="D170" s="1" t="n">
        <v>4.64</v>
      </c>
      <c r="E170" s="1" t="n">
        <v>-0.13</v>
      </c>
      <c r="F170" s="1" t="n">
        <v>55.2</v>
      </c>
      <c r="G170" s="1" t="n">
        <v>19.5</v>
      </c>
      <c r="H170" s="1" t="n">
        <v>33.6</v>
      </c>
      <c r="I170" s="1" t="n">
        <v>49.6</v>
      </c>
      <c r="J170" s="1" t="n">
        <v>23.5</v>
      </c>
      <c r="K170" s="22" t="n">
        <v>9.96067705393544</v>
      </c>
      <c r="L170" s="1" t="n">
        <v>9.96</v>
      </c>
      <c r="M170" s="23" t="n">
        <v>-0.000677053935440597</v>
      </c>
      <c r="P170" s="12" t="n">
        <v>6</v>
      </c>
      <c r="Q170" s="13" t="s">
        <v>89</v>
      </c>
      <c r="R170" s="13" t="n">
        <v>10.34</v>
      </c>
      <c r="S170" s="13" t="n">
        <v>5.39</v>
      </c>
      <c r="T170" s="13" t="n">
        <v>0.17</v>
      </c>
      <c r="U170" s="13" t="n">
        <v>0.13</v>
      </c>
      <c r="V170" s="13" t="n">
        <v>4.6</v>
      </c>
      <c r="W170" s="13" t="n">
        <v>0.05</v>
      </c>
      <c r="X170" s="13" t="n">
        <v>49.8</v>
      </c>
      <c r="Y170" s="13" t="n">
        <v>12.8</v>
      </c>
      <c r="Z170" s="13" t="n">
        <v>35</v>
      </c>
      <c r="AA170" s="13" t="n">
        <v>33.8</v>
      </c>
      <c r="AB170" s="13" t="n">
        <v>78.5</v>
      </c>
    </row>
    <row r="171" customFormat="false" ht="12.8" hidden="false" customHeight="false" outlineLevel="0" collapsed="false">
      <c r="A171" s="1" t="n">
        <v>6.11</v>
      </c>
      <c r="B171" s="1" t="n">
        <v>-0.12</v>
      </c>
      <c r="C171" s="1" t="n">
        <v>-0.35</v>
      </c>
      <c r="D171" s="1" t="n">
        <v>4.64</v>
      </c>
      <c r="E171" s="1" t="n">
        <v>-0.04</v>
      </c>
      <c r="F171" s="1" t="n">
        <v>54.4</v>
      </c>
      <c r="G171" s="1" t="n">
        <v>27.3</v>
      </c>
      <c r="H171" s="1" t="n">
        <v>36</v>
      </c>
      <c r="I171" s="1" t="n">
        <v>49.4</v>
      </c>
      <c r="J171" s="1" t="n">
        <v>19.6</v>
      </c>
      <c r="K171" s="22" t="n">
        <v>10.2192983753311</v>
      </c>
      <c r="L171" s="1" t="n">
        <v>10.25</v>
      </c>
      <c r="M171" s="23" t="n">
        <v>0.0307016246689464</v>
      </c>
      <c r="P171" s="12" t="n">
        <v>6</v>
      </c>
      <c r="Q171" s="13" t="s">
        <v>90</v>
      </c>
      <c r="R171" s="13" t="n">
        <v>10.18</v>
      </c>
      <c r="S171" s="13" t="n">
        <v>5.56</v>
      </c>
      <c r="T171" s="13" t="n">
        <v>0.02</v>
      </c>
      <c r="U171" s="13" t="n">
        <v>-0.03</v>
      </c>
      <c r="V171" s="13" t="n">
        <v>4.6</v>
      </c>
      <c r="W171" s="13" t="n">
        <v>0.01</v>
      </c>
      <c r="X171" s="13" t="n">
        <v>56.6</v>
      </c>
      <c r="Y171" s="13" t="n">
        <v>15.2</v>
      </c>
      <c r="Z171" s="13" t="n">
        <v>34.5</v>
      </c>
      <c r="AA171" s="13" t="n">
        <v>33.6</v>
      </c>
      <c r="AB171" s="13" t="n">
        <v>80.5</v>
      </c>
    </row>
    <row r="172" customFormat="false" ht="12.8" hidden="false" customHeight="false" outlineLevel="0" collapsed="false">
      <c r="A172" s="1" t="n">
        <v>6.05</v>
      </c>
      <c r="B172" s="1" t="n">
        <v>-0.07</v>
      </c>
      <c r="C172" s="1" t="n">
        <v>-0.33</v>
      </c>
      <c r="D172" s="1" t="n">
        <v>4.64</v>
      </c>
      <c r="E172" s="1" t="n">
        <v>-0.04</v>
      </c>
      <c r="F172" s="1" t="n">
        <v>54.7</v>
      </c>
      <c r="G172" s="1" t="n">
        <v>35.9</v>
      </c>
      <c r="H172" s="1" t="n">
        <v>35.6</v>
      </c>
      <c r="I172" s="1" t="n">
        <v>53.1</v>
      </c>
      <c r="J172" s="1" t="n">
        <v>16.1</v>
      </c>
      <c r="K172" s="22" t="n">
        <v>10.2269636103396</v>
      </c>
      <c r="L172" s="1" t="n">
        <v>10.23</v>
      </c>
      <c r="M172" s="23" t="n">
        <v>0.00303638966038911</v>
      </c>
      <c r="P172" s="12" t="n">
        <v>6</v>
      </c>
      <c r="Q172" s="13" t="s">
        <v>91</v>
      </c>
      <c r="R172" s="13" t="n">
        <v>10.22</v>
      </c>
      <c r="S172" s="13" t="n">
        <v>6</v>
      </c>
      <c r="T172" s="13" t="n">
        <v>-0.02</v>
      </c>
      <c r="U172" s="13" t="n">
        <v>-0.43</v>
      </c>
      <c r="V172" s="13" t="n">
        <v>4.6</v>
      </c>
      <c r="W172" s="13" t="n">
        <v>0.09</v>
      </c>
      <c r="X172" s="13" t="n">
        <v>56.8</v>
      </c>
      <c r="Y172" s="13" t="n">
        <v>22.6</v>
      </c>
      <c r="Z172" s="13" t="n">
        <v>36.7</v>
      </c>
      <c r="AA172" s="13" t="n">
        <v>35.9</v>
      </c>
      <c r="AB172" s="13" t="n">
        <v>76.6</v>
      </c>
    </row>
    <row r="173" customFormat="false" ht="12.8" hidden="false" customHeight="false" outlineLevel="0" collapsed="false">
      <c r="A173" s="1" t="n">
        <v>5.87</v>
      </c>
      <c r="B173" s="1" t="n">
        <v>0.02</v>
      </c>
      <c r="C173" s="1" t="n">
        <v>-0.45</v>
      </c>
      <c r="D173" s="1" t="n">
        <v>4.64</v>
      </c>
      <c r="E173" s="1" t="n">
        <v>-0.08</v>
      </c>
      <c r="F173" s="1" t="n">
        <v>59.2</v>
      </c>
      <c r="G173" s="1" t="n">
        <v>18.9</v>
      </c>
      <c r="H173" s="1" t="n">
        <v>34.3</v>
      </c>
      <c r="I173" s="1" t="n">
        <v>65.3</v>
      </c>
      <c r="J173" s="1" t="n">
        <v>25.8</v>
      </c>
      <c r="K173" s="22" t="n">
        <v>9.99988924091196</v>
      </c>
      <c r="L173" s="1" t="n">
        <v>10.01</v>
      </c>
      <c r="M173" s="23" t="n">
        <v>0.0101107590880378</v>
      </c>
      <c r="P173" s="12" t="n">
        <v>6</v>
      </c>
      <c r="Q173" s="13" t="s">
        <v>92</v>
      </c>
      <c r="R173" s="13" t="n">
        <v>10</v>
      </c>
      <c r="S173" s="13" t="n">
        <v>6.03</v>
      </c>
      <c r="T173" s="13" t="n">
        <v>-0.06</v>
      </c>
      <c r="U173" s="13" t="n">
        <v>-0.5</v>
      </c>
      <c r="V173" s="13" t="n">
        <v>4.6</v>
      </c>
      <c r="W173" s="13" t="n">
        <v>-0.08</v>
      </c>
      <c r="X173" s="13" t="n">
        <v>56.3</v>
      </c>
      <c r="Y173" s="13" t="n">
        <v>15.3</v>
      </c>
      <c r="Z173" s="13" t="n">
        <v>34.7</v>
      </c>
      <c r="AA173" s="13" t="n">
        <v>34.6</v>
      </c>
      <c r="AB173" s="13" t="n">
        <v>77.4</v>
      </c>
    </row>
    <row r="174" customFormat="false" ht="12.8" hidden="false" customHeight="false" outlineLevel="0" collapsed="false">
      <c r="A174" s="1" t="n">
        <v>6.05</v>
      </c>
      <c r="B174" s="1" t="n">
        <v>-0.16</v>
      </c>
      <c r="C174" s="1" t="n">
        <v>-0.38</v>
      </c>
      <c r="D174" s="1" t="n">
        <v>4.64</v>
      </c>
      <c r="E174" s="1" t="n">
        <v>-0.06</v>
      </c>
      <c r="F174" s="1" t="n">
        <v>61.5</v>
      </c>
      <c r="G174" s="1" t="n">
        <v>16.5</v>
      </c>
      <c r="H174" s="1" t="n">
        <v>31.8</v>
      </c>
      <c r="I174" s="1" t="n">
        <v>56.8</v>
      </c>
      <c r="J174" s="1" t="n">
        <v>31.6</v>
      </c>
      <c r="K174" s="22" t="n">
        <v>10.1078072641455</v>
      </c>
      <c r="L174" s="1" t="n">
        <v>10.1</v>
      </c>
      <c r="M174" s="23" t="n">
        <v>-0.00780726414551403</v>
      </c>
      <c r="P174" s="12" t="n">
        <v>6</v>
      </c>
      <c r="Q174" s="13" t="s">
        <v>93</v>
      </c>
      <c r="R174" s="13" t="n">
        <v>9.68</v>
      </c>
      <c r="S174" s="13" t="n">
        <v>6.04</v>
      </c>
      <c r="T174" s="13" t="n">
        <v>-0.16</v>
      </c>
      <c r="U174" s="13" t="n">
        <v>-0.67</v>
      </c>
      <c r="V174" s="13" t="n">
        <v>4.6</v>
      </c>
      <c r="W174" s="13" t="n">
        <v>-0.14</v>
      </c>
      <c r="X174" s="13" t="n">
        <v>57.1</v>
      </c>
      <c r="Y174" s="13" t="n">
        <v>21.9</v>
      </c>
      <c r="Z174" s="13" t="n">
        <v>33.7</v>
      </c>
      <c r="AA174" s="13" t="n">
        <v>33.5</v>
      </c>
      <c r="AB174" s="13" t="n">
        <v>82.8</v>
      </c>
    </row>
    <row r="175" customFormat="false" ht="12.8" hidden="false" customHeight="false" outlineLevel="0" collapsed="false">
      <c r="A175" s="1" t="n">
        <v>5.91</v>
      </c>
      <c r="B175" s="1" t="n">
        <v>0.05</v>
      </c>
      <c r="C175" s="1" t="n">
        <v>-0.29</v>
      </c>
      <c r="D175" s="1" t="n">
        <v>4.64</v>
      </c>
      <c r="E175" s="1" t="n">
        <v>0.04</v>
      </c>
      <c r="F175" s="1" t="n">
        <v>52.3</v>
      </c>
      <c r="G175" s="1" t="n">
        <v>14</v>
      </c>
      <c r="H175" s="1" t="n">
        <v>34.5</v>
      </c>
      <c r="I175" s="1" t="n">
        <v>54.7</v>
      </c>
      <c r="J175" s="1" t="n">
        <v>19.7</v>
      </c>
      <c r="K175" s="22" t="n">
        <v>10.3597301265371</v>
      </c>
      <c r="L175" s="1" t="n">
        <v>10.36</v>
      </c>
      <c r="M175" s="23" t="n">
        <v>0.000269873462915626</v>
      </c>
      <c r="P175" s="12" t="n">
        <v>6</v>
      </c>
      <c r="Q175" s="13" t="s">
        <v>94</v>
      </c>
      <c r="R175" s="13" t="n">
        <v>9.92</v>
      </c>
      <c r="S175" s="13" t="n">
        <v>6.36</v>
      </c>
      <c r="T175" s="13" t="n">
        <v>-0.29</v>
      </c>
      <c r="U175" s="13" t="n">
        <v>-0.55</v>
      </c>
      <c r="V175" s="13" t="n">
        <v>4.6</v>
      </c>
      <c r="W175" s="13" t="n">
        <v>-0.13</v>
      </c>
      <c r="X175" s="13" t="n">
        <v>70.8</v>
      </c>
      <c r="Y175" s="13" t="n">
        <v>19.6</v>
      </c>
      <c r="Z175" s="13" t="n">
        <v>34.5</v>
      </c>
      <c r="AA175" s="13" t="n">
        <v>37.9</v>
      </c>
      <c r="AB175" s="13" t="n">
        <v>84.3</v>
      </c>
    </row>
    <row r="176" customFormat="false" ht="12.8" hidden="false" customHeight="false" outlineLevel="0" collapsed="false">
      <c r="A176" s="1" t="n">
        <v>6.92</v>
      </c>
      <c r="B176" s="1" t="n">
        <v>-0.2</v>
      </c>
      <c r="C176" s="1" t="n">
        <v>-0.71</v>
      </c>
      <c r="D176" s="1" t="n">
        <v>4.64</v>
      </c>
      <c r="E176" s="1" t="n">
        <v>-0.11</v>
      </c>
      <c r="F176" s="1" t="n">
        <v>55.6</v>
      </c>
      <c r="G176" s="1" t="n">
        <v>18</v>
      </c>
      <c r="H176" s="1" t="n">
        <v>35.1</v>
      </c>
      <c r="I176" s="1" t="n">
        <v>51.2</v>
      </c>
      <c r="J176" s="1" t="n">
        <v>18.8</v>
      </c>
      <c r="K176" s="22" t="n">
        <v>10.534724598103</v>
      </c>
      <c r="L176" s="1" t="n">
        <v>10.51</v>
      </c>
      <c r="M176" s="23" t="n">
        <v>-0.0247245981029671</v>
      </c>
      <c r="P176" s="12" t="n">
        <v>6</v>
      </c>
      <c r="Q176" s="13" t="s">
        <v>95</v>
      </c>
      <c r="R176" s="13" t="n">
        <v>10.02</v>
      </c>
      <c r="S176" s="13" t="n">
        <v>5.65</v>
      </c>
      <c r="T176" s="13" t="n">
        <v>0.06</v>
      </c>
      <c r="U176" s="13" t="n">
        <v>-0.2</v>
      </c>
      <c r="V176" s="13" t="n">
        <v>4.6</v>
      </c>
      <c r="W176" s="13" t="n">
        <v>-0.11</v>
      </c>
      <c r="X176" s="13" t="n">
        <v>63.7</v>
      </c>
      <c r="Y176" s="13" t="n">
        <v>33.1</v>
      </c>
      <c r="Z176" s="13" t="n">
        <v>32.3</v>
      </c>
      <c r="AA176" s="13" t="n">
        <v>37.1</v>
      </c>
      <c r="AB176" s="13" t="n">
        <v>80</v>
      </c>
    </row>
    <row r="177" customFormat="false" ht="12.8" hidden="false" customHeight="false" outlineLevel="0" collapsed="false">
      <c r="A177" s="1" t="n">
        <v>6.6</v>
      </c>
      <c r="B177" s="1" t="n">
        <v>-0.23</v>
      </c>
      <c r="C177" s="1" t="n">
        <v>-0.77</v>
      </c>
      <c r="D177" s="1" t="n">
        <v>4.64</v>
      </c>
      <c r="E177" s="1" t="n">
        <v>-0.04</v>
      </c>
      <c r="F177" s="1" t="n">
        <v>55.8</v>
      </c>
      <c r="G177" s="1" t="n">
        <v>28.1</v>
      </c>
      <c r="H177" s="1" t="n">
        <v>34.4</v>
      </c>
      <c r="I177" s="1" t="n">
        <v>54.7</v>
      </c>
      <c r="J177" s="1" t="n">
        <v>24.2</v>
      </c>
      <c r="K177" s="22" t="n">
        <v>10.1871192590744</v>
      </c>
      <c r="L177" s="1" t="n">
        <v>10.21</v>
      </c>
      <c r="M177" s="23" t="n">
        <v>0.022880740925558</v>
      </c>
      <c r="P177" s="12" t="n">
        <v>6</v>
      </c>
      <c r="Q177" s="13" t="s">
        <v>97</v>
      </c>
      <c r="R177" s="13" t="n">
        <v>9.95</v>
      </c>
      <c r="S177" s="13" t="n">
        <v>5.5</v>
      </c>
      <c r="T177" s="13" t="n">
        <v>0.04</v>
      </c>
      <c r="U177" s="13" t="n">
        <v>-0.15</v>
      </c>
      <c r="V177" s="13" t="n">
        <v>4.6</v>
      </c>
      <c r="W177" s="13" t="n">
        <v>-0.06</v>
      </c>
      <c r="X177" s="13" t="n">
        <v>57.3</v>
      </c>
      <c r="Y177" s="13" t="n">
        <v>18.6</v>
      </c>
      <c r="Z177" s="13" t="n">
        <v>33.3</v>
      </c>
      <c r="AA177" s="13" t="n">
        <v>37.4</v>
      </c>
      <c r="AB177" s="13" t="n">
        <v>79.8</v>
      </c>
    </row>
    <row r="178" customFormat="false" ht="12.8" hidden="false" customHeight="false" outlineLevel="0" collapsed="false">
      <c r="A178" s="1" t="n">
        <v>6.4</v>
      </c>
      <c r="B178" s="1" t="n">
        <v>-0.08</v>
      </c>
      <c r="C178" s="1" t="n">
        <v>-0.62</v>
      </c>
      <c r="D178" s="1" t="n">
        <v>4.64</v>
      </c>
      <c r="E178" s="1" t="n">
        <v>0.03</v>
      </c>
      <c r="F178" s="1" t="n">
        <v>62</v>
      </c>
      <c r="G178" s="1" t="n">
        <v>31.1</v>
      </c>
      <c r="H178" s="1" t="n">
        <v>35</v>
      </c>
      <c r="I178" s="1" t="n">
        <v>52.3</v>
      </c>
      <c r="J178" s="1" t="n">
        <v>36.1</v>
      </c>
      <c r="K178" s="22" t="n">
        <v>10.3394969593376</v>
      </c>
      <c r="L178" s="1" t="n">
        <v>10.32</v>
      </c>
      <c r="M178" s="23" t="n">
        <v>-0.0194969593376442</v>
      </c>
      <c r="P178" s="12" t="n">
        <v>6</v>
      </c>
      <c r="Q178" s="13" t="s">
        <v>98</v>
      </c>
      <c r="R178" s="13" t="n">
        <v>10.2</v>
      </c>
      <c r="S178" s="13" t="n">
        <v>5.87</v>
      </c>
      <c r="T178" s="13" t="n">
        <v>-0.17</v>
      </c>
      <c r="U178" s="13" t="n">
        <v>-0.11</v>
      </c>
      <c r="V178" s="13" t="n">
        <v>4.6</v>
      </c>
      <c r="W178" s="13" t="n">
        <v>0</v>
      </c>
      <c r="X178" s="13" t="n">
        <v>57</v>
      </c>
      <c r="Y178" s="13" t="n">
        <v>18.2</v>
      </c>
      <c r="Z178" s="13" t="n">
        <v>35.3</v>
      </c>
      <c r="AA178" s="13" t="n">
        <v>33.6</v>
      </c>
      <c r="AB178" s="13" t="n">
        <v>82.7</v>
      </c>
    </row>
    <row r="179" customFormat="false" ht="12.8" hidden="false" customHeight="false" outlineLevel="0" collapsed="false">
      <c r="A179" s="1" t="n">
        <v>6.43</v>
      </c>
      <c r="B179" s="1" t="n">
        <v>-0.22</v>
      </c>
      <c r="C179" s="1" t="n">
        <v>-0.6</v>
      </c>
      <c r="D179" s="1" t="n">
        <v>4.64</v>
      </c>
      <c r="E179" s="1" t="n">
        <v>-0.03</v>
      </c>
      <c r="F179" s="1" t="n">
        <v>64.9</v>
      </c>
      <c r="G179" s="1" t="n">
        <v>29.1</v>
      </c>
      <c r="H179" s="1" t="n">
        <v>35.1</v>
      </c>
      <c r="I179" s="1" t="n">
        <v>58.3</v>
      </c>
      <c r="J179" s="1" t="n">
        <v>22.1</v>
      </c>
      <c r="K179" s="22" t="n">
        <v>10.1882973757314</v>
      </c>
      <c r="L179" s="1" t="n">
        <v>10.2</v>
      </c>
      <c r="M179" s="23" t="n">
        <v>0.0117026242686489</v>
      </c>
      <c r="P179" s="12" t="n">
        <v>6</v>
      </c>
      <c r="Q179" s="13" t="s">
        <v>99</v>
      </c>
      <c r="R179" s="13" t="n">
        <v>10.19</v>
      </c>
      <c r="S179" s="13" t="n">
        <v>6.16</v>
      </c>
      <c r="T179" s="13" t="n">
        <v>-0.11</v>
      </c>
      <c r="U179" s="13" t="n">
        <v>-0.36</v>
      </c>
      <c r="V179" s="13" t="n">
        <v>4.6</v>
      </c>
      <c r="W179" s="13" t="n">
        <v>-0.11</v>
      </c>
      <c r="X179" s="13" t="n">
        <v>55.1</v>
      </c>
      <c r="Y179" s="13" t="n">
        <v>24.8</v>
      </c>
      <c r="Z179" s="13" t="n">
        <v>35.3</v>
      </c>
      <c r="AA179" s="13" t="n">
        <v>32.8</v>
      </c>
      <c r="AB179" s="13" t="n">
        <v>74.5</v>
      </c>
    </row>
    <row r="180" customFormat="false" ht="12.8" hidden="false" customHeight="false" outlineLevel="0" collapsed="false">
      <c r="A180" s="1" t="n">
        <v>6.05</v>
      </c>
      <c r="B180" s="1" t="n">
        <v>-0.1</v>
      </c>
      <c r="C180" s="1" t="n">
        <v>-0.75</v>
      </c>
      <c r="D180" s="1" t="n">
        <v>4.64</v>
      </c>
      <c r="E180" s="1" t="n">
        <v>-0.08</v>
      </c>
      <c r="F180" s="1" t="n">
        <v>55.9</v>
      </c>
      <c r="G180" s="1" t="n">
        <v>15.7</v>
      </c>
      <c r="H180" s="1" t="n">
        <v>34.9</v>
      </c>
      <c r="I180" s="1" t="n">
        <v>61.2</v>
      </c>
      <c r="J180" s="1" t="n">
        <v>17.7</v>
      </c>
      <c r="K180" s="22" t="n">
        <v>9.75603201793733</v>
      </c>
      <c r="L180" s="1" t="n">
        <v>9.76</v>
      </c>
      <c r="M180" s="23" t="n">
        <v>0.00396798206267235</v>
      </c>
      <c r="P180" s="12" t="n">
        <v>6</v>
      </c>
      <c r="Q180" s="13" t="s">
        <v>100</v>
      </c>
      <c r="R180" s="13" t="n">
        <v>10.33</v>
      </c>
      <c r="S180" s="13" t="n">
        <v>6.16</v>
      </c>
      <c r="T180" s="13" t="n">
        <v>-0.06</v>
      </c>
      <c r="U180" s="13" t="n">
        <v>-0.36</v>
      </c>
      <c r="V180" s="13" t="n">
        <v>4.6</v>
      </c>
      <c r="W180" s="13" t="n">
        <v>-0.02</v>
      </c>
      <c r="X180" s="13" t="n">
        <v>54.1</v>
      </c>
      <c r="Y180" s="13" t="n">
        <v>33.7</v>
      </c>
      <c r="Z180" s="13" t="n">
        <v>34.2</v>
      </c>
      <c r="AA180" s="13" t="n">
        <v>35.5</v>
      </c>
      <c r="AB180" s="13" t="n">
        <v>78.3</v>
      </c>
    </row>
    <row r="181" customFormat="false" ht="12.8" hidden="false" customHeight="false" outlineLevel="0" collapsed="false">
      <c r="A181" s="1" t="n">
        <v>6.59</v>
      </c>
      <c r="B181" s="1" t="n">
        <v>-0.06</v>
      </c>
      <c r="C181" s="1" t="n">
        <v>-0.88</v>
      </c>
      <c r="D181" s="1" t="n">
        <v>4.64</v>
      </c>
      <c r="E181" s="1" t="n">
        <v>0.02</v>
      </c>
      <c r="F181" s="1" t="n">
        <v>49</v>
      </c>
      <c r="G181" s="1" t="n">
        <v>16</v>
      </c>
      <c r="H181" s="1" t="n">
        <v>34.6</v>
      </c>
      <c r="I181" s="1" t="n">
        <v>51.5</v>
      </c>
      <c r="J181" s="1" t="n">
        <v>17.3</v>
      </c>
      <c r="K181" s="22" t="n">
        <v>10.315151009351</v>
      </c>
      <c r="L181" s="1" t="n">
        <v>10.26</v>
      </c>
      <c r="M181" s="23" t="n">
        <v>-0.0551510093509844</v>
      </c>
      <c r="P181" s="12" t="n">
        <v>6</v>
      </c>
      <c r="Q181" s="13" t="s">
        <v>101</v>
      </c>
      <c r="R181" s="13" t="n">
        <v>10.03</v>
      </c>
      <c r="S181" s="13" t="n">
        <v>5.97</v>
      </c>
      <c r="T181" s="13" t="n">
        <v>0</v>
      </c>
      <c r="U181" s="13" t="n">
        <v>-0.47</v>
      </c>
      <c r="V181" s="13" t="n">
        <v>4.6</v>
      </c>
      <c r="W181" s="13" t="n">
        <v>-0.08</v>
      </c>
      <c r="X181" s="13" t="n">
        <v>61.4</v>
      </c>
      <c r="Y181" s="13" t="n">
        <v>18.3</v>
      </c>
      <c r="Z181" s="13" t="n">
        <v>33.3</v>
      </c>
      <c r="AA181" s="13" t="n">
        <v>35.3</v>
      </c>
      <c r="AB181" s="13" t="n">
        <v>79</v>
      </c>
    </row>
    <row r="182" customFormat="false" ht="12.8" hidden="false" customHeight="false" outlineLevel="0" collapsed="false">
      <c r="A182" s="1" t="n">
        <v>6.64</v>
      </c>
      <c r="B182" s="1" t="n">
        <v>0.25</v>
      </c>
      <c r="C182" s="1" t="n">
        <v>-1.59</v>
      </c>
      <c r="D182" s="1" t="n">
        <v>4.64</v>
      </c>
      <c r="E182" s="1" t="n">
        <v>-0.04</v>
      </c>
      <c r="F182" s="1" t="n">
        <v>57.8</v>
      </c>
      <c r="G182" s="1" t="n">
        <v>28.9</v>
      </c>
      <c r="H182" s="1" t="n">
        <v>34.4</v>
      </c>
      <c r="I182" s="1" t="n">
        <v>53.4</v>
      </c>
      <c r="J182" s="1" t="n">
        <v>19.9</v>
      </c>
      <c r="K182" s="22" t="n">
        <v>9.87960152276458</v>
      </c>
      <c r="L182" s="1" t="n">
        <v>9.89</v>
      </c>
      <c r="M182" s="23" t="n">
        <v>0.0103984772354178</v>
      </c>
      <c r="P182" s="12" t="n">
        <v>6</v>
      </c>
      <c r="Q182" s="13" t="s">
        <v>102</v>
      </c>
      <c r="R182" s="13" t="n">
        <v>9.89</v>
      </c>
      <c r="S182" s="13" t="n">
        <v>6.04</v>
      </c>
      <c r="T182" s="13" t="n">
        <v>-0.16</v>
      </c>
      <c r="U182" s="13" t="n">
        <v>-0.4</v>
      </c>
      <c r="V182" s="13" t="n">
        <v>4.6</v>
      </c>
      <c r="W182" s="13" t="n">
        <v>-0.2</v>
      </c>
      <c r="X182" s="13" t="n">
        <v>66.1</v>
      </c>
      <c r="Y182" s="13" t="n">
        <v>15.5</v>
      </c>
      <c r="Z182" s="13" t="n">
        <v>30.2</v>
      </c>
      <c r="AA182" s="13" t="n">
        <v>31.6</v>
      </c>
      <c r="AB182" s="13" t="n">
        <v>76.9</v>
      </c>
    </row>
    <row r="183" customFormat="false" ht="12.8" hidden="false" customHeight="false" outlineLevel="0" collapsed="false">
      <c r="A183" s="1" t="n">
        <v>6.26</v>
      </c>
      <c r="B183" s="1" t="n">
        <v>-0.31</v>
      </c>
      <c r="C183" s="1" t="n">
        <v>-0.25</v>
      </c>
      <c r="D183" s="1" t="n">
        <v>4.6</v>
      </c>
      <c r="E183" s="1" t="n">
        <v>-0.1</v>
      </c>
      <c r="F183" s="1" t="n">
        <v>49.1</v>
      </c>
      <c r="G183" s="1" t="n">
        <v>11.7</v>
      </c>
      <c r="H183" s="1" t="n">
        <v>32.7</v>
      </c>
      <c r="I183" s="1" t="n">
        <v>55.3</v>
      </c>
      <c r="J183" s="1" t="n">
        <v>22.5</v>
      </c>
      <c r="K183" s="22" t="n">
        <v>10.2355883484811</v>
      </c>
      <c r="L183" s="1" t="n">
        <v>10.21</v>
      </c>
      <c r="M183" s="23" t="n">
        <v>-0.025588348481115</v>
      </c>
      <c r="P183" s="12" t="n">
        <v>6</v>
      </c>
      <c r="Q183" s="13" t="s">
        <v>103</v>
      </c>
      <c r="R183" s="13" t="n">
        <v>10.35</v>
      </c>
      <c r="S183" s="13" t="n">
        <v>5.99</v>
      </c>
      <c r="T183" s="13" t="n">
        <v>0.04</v>
      </c>
      <c r="U183" s="13" t="n">
        <v>-0.3</v>
      </c>
      <c r="V183" s="13" t="n">
        <v>4.6</v>
      </c>
      <c r="W183" s="13" t="n">
        <v>0.06</v>
      </c>
      <c r="X183" s="13" t="n">
        <v>55.4</v>
      </c>
      <c r="Y183" s="13" t="n">
        <v>19.3</v>
      </c>
      <c r="Z183" s="13" t="n">
        <v>34.3</v>
      </c>
      <c r="AA183" s="13" t="n">
        <v>36.5</v>
      </c>
      <c r="AB183" s="13" t="n">
        <v>82.3</v>
      </c>
    </row>
    <row r="184" customFormat="false" ht="12.8" hidden="false" customHeight="false" outlineLevel="0" collapsed="false">
      <c r="A184" s="1" t="n">
        <v>6.26</v>
      </c>
      <c r="B184" s="1" t="n">
        <v>-0.32</v>
      </c>
      <c r="C184" s="1" t="n">
        <v>-0.81</v>
      </c>
      <c r="D184" s="1" t="n">
        <v>4.6</v>
      </c>
      <c r="E184" s="1" t="n">
        <v>-0.25</v>
      </c>
      <c r="F184" s="1" t="n">
        <v>61.1</v>
      </c>
      <c r="G184" s="1" t="n">
        <v>22.2</v>
      </c>
      <c r="H184" s="1" t="n">
        <v>32.2</v>
      </c>
      <c r="I184" s="1" t="n">
        <v>58.5</v>
      </c>
      <c r="J184" s="1" t="n">
        <v>30.1</v>
      </c>
      <c r="K184" s="22" t="n">
        <v>9.48952677655227</v>
      </c>
      <c r="L184" s="1" t="n">
        <v>9.49</v>
      </c>
      <c r="M184" s="23" t="n">
        <v>0.000473223447729154</v>
      </c>
      <c r="P184" s="12" t="n">
        <v>6</v>
      </c>
      <c r="Q184" s="13" t="s">
        <v>104</v>
      </c>
      <c r="R184" s="13" t="n">
        <v>10.42</v>
      </c>
      <c r="S184" s="13" t="n">
        <v>7.07</v>
      </c>
      <c r="T184" s="13" t="n">
        <v>-0.2</v>
      </c>
      <c r="U184" s="13" t="n">
        <v>-0.71</v>
      </c>
      <c r="V184" s="13" t="n">
        <v>4.6</v>
      </c>
      <c r="W184" s="13" t="n">
        <v>-0.16</v>
      </c>
      <c r="X184" s="13" t="n">
        <v>58.9</v>
      </c>
      <c r="Y184" s="13" t="n">
        <v>26.2</v>
      </c>
      <c r="Z184" s="13" t="n">
        <v>36.4</v>
      </c>
      <c r="AA184" s="13" t="n">
        <v>39.1</v>
      </c>
      <c r="AB184" s="13" t="n">
        <v>83.3</v>
      </c>
    </row>
    <row r="185" customFormat="false" ht="12.8" hidden="false" customHeight="false" outlineLevel="0" collapsed="false">
      <c r="A185" s="1" t="n">
        <v>6.04</v>
      </c>
      <c r="B185" s="1" t="n">
        <v>-0.32</v>
      </c>
      <c r="C185" s="1" t="n">
        <v>-0.6</v>
      </c>
      <c r="D185" s="1" t="n">
        <v>4.6</v>
      </c>
      <c r="E185" s="1" t="n">
        <v>-0.1</v>
      </c>
      <c r="F185" s="1" t="n">
        <v>62.5</v>
      </c>
      <c r="G185" s="1" t="n">
        <v>21.7</v>
      </c>
      <c r="H185" s="1" t="n">
        <v>33.5</v>
      </c>
      <c r="I185" s="1" t="n">
        <v>63.8</v>
      </c>
      <c r="J185" s="1" t="n">
        <v>26.5</v>
      </c>
      <c r="K185" s="22" t="n">
        <v>9.61415426765962</v>
      </c>
      <c r="L185" s="1" t="n">
        <v>9.63</v>
      </c>
      <c r="M185" s="23" t="n">
        <v>0.0158457323403844</v>
      </c>
      <c r="P185" s="12" t="n">
        <v>6</v>
      </c>
      <c r="Q185" s="13" t="s">
        <v>105</v>
      </c>
      <c r="R185" s="13" t="n">
        <v>10.17</v>
      </c>
      <c r="S185" s="13" t="n">
        <v>6.71</v>
      </c>
      <c r="T185" s="13" t="n">
        <v>-0.24</v>
      </c>
      <c r="U185" s="13" t="n">
        <v>-0.79</v>
      </c>
      <c r="V185" s="13" t="n">
        <v>4.6</v>
      </c>
      <c r="W185" s="13" t="n">
        <v>-0.1</v>
      </c>
      <c r="X185" s="13" t="n">
        <v>57.7</v>
      </c>
      <c r="Y185" s="13" t="n">
        <v>26.8</v>
      </c>
      <c r="Z185" s="13" t="n">
        <v>35.4</v>
      </c>
      <c r="AA185" s="13" t="n">
        <v>34.6</v>
      </c>
      <c r="AB185" s="13" t="n">
        <v>83.1</v>
      </c>
    </row>
    <row r="186" customFormat="false" ht="12.8" hidden="false" customHeight="false" outlineLevel="0" collapsed="false">
      <c r="A186" s="1" t="n">
        <v>5.98</v>
      </c>
      <c r="B186" s="1" t="n">
        <v>-0.17</v>
      </c>
      <c r="C186" s="1" t="n">
        <v>-0.34</v>
      </c>
      <c r="D186" s="1" t="n">
        <v>4.6</v>
      </c>
      <c r="E186" s="1" t="n">
        <v>-0.07</v>
      </c>
      <c r="F186" s="1" t="n">
        <v>64.4</v>
      </c>
      <c r="G186" s="1" t="n">
        <v>22.9</v>
      </c>
      <c r="H186" s="1" t="n">
        <v>33.1</v>
      </c>
      <c r="I186" s="1" t="n">
        <v>51.9</v>
      </c>
      <c r="J186" s="1" t="n">
        <v>21.7</v>
      </c>
      <c r="K186" s="22" t="n">
        <v>9.99642636304</v>
      </c>
      <c r="L186" s="1" t="n">
        <v>10.01</v>
      </c>
      <c r="M186" s="23" t="n">
        <v>0.0135736369600021</v>
      </c>
      <c r="P186" s="12" t="n">
        <v>6</v>
      </c>
      <c r="Q186" s="13" t="s">
        <v>106</v>
      </c>
      <c r="R186" s="13" t="n">
        <v>10.3</v>
      </c>
      <c r="S186" s="13" t="n">
        <v>6.46</v>
      </c>
      <c r="T186" s="13" t="n">
        <v>-0.1</v>
      </c>
      <c r="U186" s="13" t="n">
        <v>-0.61</v>
      </c>
      <c r="V186" s="13" t="n">
        <v>4.6</v>
      </c>
      <c r="W186" s="13" t="n">
        <v>-0.05</v>
      </c>
      <c r="X186" s="13" t="n">
        <v>62.1</v>
      </c>
      <c r="Y186" s="13" t="n">
        <v>36.2</v>
      </c>
      <c r="Z186" s="13" t="n">
        <v>33.2</v>
      </c>
      <c r="AA186" s="13" t="n">
        <v>38.8</v>
      </c>
      <c r="AB186" s="13" t="n">
        <v>83.4</v>
      </c>
    </row>
    <row r="187" customFormat="false" ht="12.8" hidden="false" customHeight="false" outlineLevel="0" collapsed="false">
      <c r="A187" s="1" t="n">
        <v>6.83</v>
      </c>
      <c r="B187" s="1" t="n">
        <v>-0.62</v>
      </c>
      <c r="C187" s="1" t="n">
        <v>-0.75</v>
      </c>
      <c r="D187" s="1" t="n">
        <v>4.6</v>
      </c>
      <c r="E187" s="1" t="n">
        <v>-0.21</v>
      </c>
      <c r="F187" s="1" t="n">
        <v>61.2</v>
      </c>
      <c r="G187" s="1" t="n">
        <v>31.9</v>
      </c>
      <c r="H187" s="1" t="n">
        <v>34.3</v>
      </c>
      <c r="I187" s="1" t="n">
        <v>50.5</v>
      </c>
      <c r="J187" s="1" t="n">
        <v>16.9</v>
      </c>
      <c r="K187" s="22" t="n">
        <v>9.82747919613656</v>
      </c>
      <c r="L187" s="1" t="n">
        <v>9.85</v>
      </c>
      <c r="M187" s="23" t="n">
        <v>0.0225208038634364</v>
      </c>
      <c r="P187" s="12" t="n">
        <v>6</v>
      </c>
      <c r="Q187" s="13" t="s">
        <v>107</v>
      </c>
      <c r="R187" s="13" t="n">
        <v>10.25</v>
      </c>
      <c r="S187" s="13" t="n">
        <v>6.54</v>
      </c>
      <c r="T187" s="13" t="n">
        <v>-0.22</v>
      </c>
      <c r="U187" s="13" t="n">
        <v>-0.6</v>
      </c>
      <c r="V187" s="13" t="n">
        <v>4.6</v>
      </c>
      <c r="W187" s="13" t="n">
        <v>-0.08</v>
      </c>
      <c r="X187" s="13" t="n">
        <v>65.5</v>
      </c>
      <c r="Y187" s="13" t="n">
        <v>29.4</v>
      </c>
      <c r="Z187" s="13" t="n">
        <v>34.1</v>
      </c>
      <c r="AA187" s="13" t="n">
        <v>38.2</v>
      </c>
      <c r="AB187" s="13" t="n">
        <v>81</v>
      </c>
    </row>
    <row r="188" customFormat="false" ht="12.8" hidden="false" customHeight="false" outlineLevel="0" collapsed="false">
      <c r="A188" s="1" t="n">
        <v>6.2</v>
      </c>
      <c r="B188" s="1" t="n">
        <v>-0.29</v>
      </c>
      <c r="C188" s="1" t="n">
        <v>-0.49</v>
      </c>
      <c r="D188" s="1" t="n">
        <v>4.6</v>
      </c>
      <c r="E188" s="1" t="n">
        <v>-0.02</v>
      </c>
      <c r="F188" s="1" t="n">
        <v>77.3</v>
      </c>
      <c r="G188" s="1" t="n">
        <v>25.7</v>
      </c>
      <c r="H188" s="1" t="n">
        <v>34.4</v>
      </c>
      <c r="I188" s="1" t="n">
        <v>55.8</v>
      </c>
      <c r="J188" s="1" t="n">
        <v>30.8</v>
      </c>
      <c r="K188" s="22" t="n">
        <v>9.95785457773112</v>
      </c>
      <c r="L188" s="1" t="n">
        <v>9.84</v>
      </c>
      <c r="M188" s="23" t="n">
        <v>-0.117854577731119</v>
      </c>
      <c r="P188" s="12" t="n">
        <v>6</v>
      </c>
      <c r="Q188" s="13" t="s">
        <v>108</v>
      </c>
      <c r="R188" s="13" t="n">
        <v>9.85</v>
      </c>
      <c r="S188" s="13" t="n">
        <v>6.24</v>
      </c>
      <c r="T188" s="13" t="n">
        <v>-0.12</v>
      </c>
      <c r="U188" s="13" t="n">
        <v>-0.76</v>
      </c>
      <c r="V188" s="13" t="n">
        <v>4.6</v>
      </c>
      <c r="W188" s="13" t="n">
        <v>-0.08</v>
      </c>
      <c r="X188" s="13" t="n">
        <v>56.6</v>
      </c>
      <c r="Y188" s="13" t="n">
        <v>19.3</v>
      </c>
      <c r="Z188" s="13" t="n">
        <v>34.7</v>
      </c>
      <c r="AA188" s="13" t="n">
        <v>36.8</v>
      </c>
      <c r="AB188" s="13" t="n">
        <v>84.2</v>
      </c>
    </row>
    <row r="189" customFormat="false" ht="12.8" hidden="false" customHeight="false" outlineLevel="0" collapsed="false">
      <c r="A189" s="1" t="n">
        <v>5.49</v>
      </c>
      <c r="B189" s="1" t="n">
        <v>-0.19</v>
      </c>
      <c r="C189" s="1" t="n">
        <v>-0.28</v>
      </c>
      <c r="D189" s="1" t="n">
        <v>4.6</v>
      </c>
      <c r="E189" s="1" t="n">
        <v>-0.04</v>
      </c>
      <c r="F189" s="1" t="n">
        <v>58.2</v>
      </c>
      <c r="G189" s="1" t="n">
        <v>26.7</v>
      </c>
      <c r="H189" s="1" t="n">
        <v>34</v>
      </c>
      <c r="I189" s="1" t="n">
        <v>34.2</v>
      </c>
      <c r="J189" s="1" t="n">
        <v>83.3</v>
      </c>
      <c r="K189" s="22" t="n">
        <v>9.56266556198846</v>
      </c>
      <c r="L189" s="1" t="n">
        <v>9.59</v>
      </c>
      <c r="M189" s="23" t="n">
        <v>0.0273344380115397</v>
      </c>
      <c r="P189" s="12" t="n">
        <v>6</v>
      </c>
      <c r="Q189" s="13" t="s">
        <v>109</v>
      </c>
      <c r="R189" s="13" t="n">
        <v>10.13</v>
      </c>
      <c r="S189" s="13" t="n">
        <v>6.7</v>
      </c>
      <c r="T189" s="13" t="n">
        <v>-0.09</v>
      </c>
      <c r="U189" s="13" t="n">
        <v>-0.9</v>
      </c>
      <c r="V189" s="13" t="n">
        <v>4.6</v>
      </c>
      <c r="W189" s="13" t="n">
        <v>-0.13</v>
      </c>
      <c r="X189" s="13" t="n">
        <v>55.1</v>
      </c>
      <c r="Y189" s="13" t="n">
        <v>19.6</v>
      </c>
      <c r="Z189" s="13" t="n">
        <v>34.7</v>
      </c>
      <c r="AA189" s="13" t="n">
        <v>38.7</v>
      </c>
      <c r="AB189" s="13" t="n">
        <v>86.1</v>
      </c>
    </row>
    <row r="190" customFormat="false" ht="12.8" hidden="false" customHeight="false" outlineLevel="0" collapsed="false">
      <c r="A190" s="1" t="n">
        <v>5.13</v>
      </c>
      <c r="B190" s="1" t="n">
        <v>-0.04</v>
      </c>
      <c r="C190" s="1" t="n">
        <v>0.03</v>
      </c>
      <c r="D190" s="1" t="n">
        <v>4.6</v>
      </c>
      <c r="E190" s="1" t="n">
        <v>-0.06</v>
      </c>
      <c r="F190" s="1" t="n">
        <v>55.5</v>
      </c>
      <c r="G190" s="1" t="n">
        <v>15</v>
      </c>
      <c r="H190" s="1" t="n">
        <v>33.3</v>
      </c>
      <c r="I190" s="1" t="n">
        <v>35.2</v>
      </c>
      <c r="J190" s="1" t="n">
        <v>80.8</v>
      </c>
      <c r="K190" s="22" t="n">
        <v>9.66993222930168</v>
      </c>
      <c r="L190" s="1" t="n">
        <v>9.66</v>
      </c>
      <c r="M190" s="23" t="n">
        <v>-0.00993222930167903</v>
      </c>
      <c r="P190" s="12" t="n">
        <v>6</v>
      </c>
      <c r="Q190" s="13" t="s">
        <v>110</v>
      </c>
      <c r="R190" s="13" t="n">
        <v>9.52</v>
      </c>
      <c r="S190" s="13" t="n">
        <v>6.59</v>
      </c>
      <c r="T190" s="13" t="n">
        <v>0.17</v>
      </c>
      <c r="U190" s="13" t="n">
        <v>-1.58</v>
      </c>
      <c r="V190" s="13" t="n">
        <v>4.6</v>
      </c>
      <c r="W190" s="13" t="n">
        <v>-0.27</v>
      </c>
      <c r="X190" s="13" t="n">
        <v>60.1</v>
      </c>
      <c r="Y190" s="13" t="n">
        <v>24.5</v>
      </c>
      <c r="Z190" s="13" t="n">
        <v>34.2</v>
      </c>
      <c r="AA190" s="13" t="n">
        <v>35.8</v>
      </c>
      <c r="AB190" s="13" t="n">
        <v>89.3</v>
      </c>
    </row>
    <row r="191" customFormat="false" ht="12.8" hidden="false" customHeight="false" outlineLevel="0" collapsed="false">
      <c r="A191" s="1" t="n">
        <v>5.4</v>
      </c>
      <c r="B191" s="1" t="n">
        <v>-0.07</v>
      </c>
      <c r="C191" s="1" t="n">
        <v>-0.06</v>
      </c>
      <c r="D191" s="1" t="n">
        <v>4.6</v>
      </c>
      <c r="E191" s="1" t="n">
        <v>-0.03</v>
      </c>
      <c r="F191" s="1" t="n">
        <v>61</v>
      </c>
      <c r="G191" s="1" t="n">
        <v>25.4</v>
      </c>
      <c r="H191" s="1" t="n">
        <v>34.4</v>
      </c>
      <c r="I191" s="1" t="n">
        <v>36.6</v>
      </c>
      <c r="J191" s="1" t="n">
        <v>81.4</v>
      </c>
      <c r="K191" s="22" t="n">
        <v>9.82103675591221</v>
      </c>
      <c r="L191" s="1" t="n">
        <v>9.79</v>
      </c>
      <c r="M191" s="23" t="n">
        <v>-0.0310367559122096</v>
      </c>
      <c r="P191" s="12" t="n">
        <v>7</v>
      </c>
      <c r="Q191" s="13" t="s">
        <v>42</v>
      </c>
      <c r="R191" s="13" t="n">
        <v>10.31</v>
      </c>
      <c r="S191" s="13" t="n">
        <v>6.21</v>
      </c>
      <c r="T191" s="13" t="n">
        <v>-0.33</v>
      </c>
      <c r="U191" s="13" t="n">
        <v>-0.22</v>
      </c>
      <c r="V191" s="13" t="n">
        <v>4.65</v>
      </c>
      <c r="W191" s="13" t="n">
        <v>-0.02</v>
      </c>
      <c r="X191" s="13" t="n">
        <v>53.5</v>
      </c>
      <c r="Y191" s="13" t="n">
        <v>13.5</v>
      </c>
      <c r="Z191" s="13" t="n">
        <v>32.4</v>
      </c>
      <c r="AA191" s="13" t="n">
        <v>32.6</v>
      </c>
      <c r="AB191" s="13" t="n">
        <v>84.4</v>
      </c>
    </row>
    <row r="192" customFormat="false" ht="12.8" hidden="false" customHeight="false" outlineLevel="0" collapsed="false">
      <c r="A192" s="1" t="n">
        <v>5.28</v>
      </c>
      <c r="B192" s="1" t="n">
        <v>-0.02</v>
      </c>
      <c r="C192" s="1" t="n">
        <v>-0.08</v>
      </c>
      <c r="D192" s="1" t="n">
        <v>4.6</v>
      </c>
      <c r="E192" s="1" t="n">
        <v>0.02</v>
      </c>
      <c r="F192" s="1" t="n">
        <v>55.2</v>
      </c>
      <c r="G192" s="1" t="n">
        <v>13.2</v>
      </c>
      <c r="H192" s="1" t="n">
        <v>33</v>
      </c>
      <c r="I192" s="1" t="n">
        <v>33.7</v>
      </c>
      <c r="J192" s="1" t="n">
        <v>82</v>
      </c>
      <c r="K192" s="22" t="n">
        <v>9.81126694824308</v>
      </c>
      <c r="L192" s="1" t="n">
        <v>9.81</v>
      </c>
      <c r="M192" s="23" t="n">
        <v>-0.00126694824308338</v>
      </c>
      <c r="P192" s="12" t="n">
        <v>7</v>
      </c>
      <c r="Q192" s="13" t="s">
        <v>45</v>
      </c>
      <c r="R192" s="13" t="n">
        <v>9.85</v>
      </c>
      <c r="S192" s="13" t="n">
        <v>6.35</v>
      </c>
      <c r="T192" s="13" t="n">
        <v>-0.37</v>
      </c>
      <c r="U192" s="13" t="n">
        <v>-0.79</v>
      </c>
      <c r="V192" s="13" t="n">
        <v>4.65</v>
      </c>
      <c r="W192" s="13" t="n">
        <v>-0.01</v>
      </c>
      <c r="X192" s="13" t="n">
        <v>61.4</v>
      </c>
      <c r="Y192" s="13" t="n">
        <v>28.4</v>
      </c>
      <c r="Z192" s="13" t="n">
        <v>33.5</v>
      </c>
      <c r="AA192" s="13" t="n">
        <v>34.2</v>
      </c>
      <c r="AB192" s="13" t="n">
        <v>84.8</v>
      </c>
    </row>
    <row r="193" customFormat="false" ht="12.8" hidden="false" customHeight="false" outlineLevel="0" collapsed="false">
      <c r="A193" s="1" t="n">
        <v>5.03</v>
      </c>
      <c r="B193" s="1" t="n">
        <v>-0.01</v>
      </c>
      <c r="C193" s="1" t="n">
        <v>0.13</v>
      </c>
      <c r="D193" s="1" t="n">
        <v>4.6</v>
      </c>
      <c r="E193" s="1" t="n">
        <v>0.01</v>
      </c>
      <c r="F193" s="1" t="n">
        <v>49.8</v>
      </c>
      <c r="G193" s="1" t="n">
        <v>8.4</v>
      </c>
      <c r="H193" s="1" t="n">
        <v>33.7</v>
      </c>
      <c r="I193" s="1" t="n">
        <v>32.2</v>
      </c>
      <c r="J193" s="1" t="n">
        <v>81.6</v>
      </c>
      <c r="K193" s="22" t="n">
        <v>9.77901619709578</v>
      </c>
      <c r="L193" s="1" t="n">
        <v>9.78</v>
      </c>
      <c r="M193" s="23" t="n">
        <v>0.000983802904219289</v>
      </c>
      <c r="P193" s="12" t="n">
        <v>7</v>
      </c>
      <c r="Q193" s="13" t="s">
        <v>46</v>
      </c>
      <c r="R193" s="13" t="n">
        <v>9.62</v>
      </c>
      <c r="S193" s="13" t="n">
        <v>5.99</v>
      </c>
      <c r="T193" s="13" t="n">
        <v>-0.35</v>
      </c>
      <c r="U193" s="13" t="n">
        <v>-0.62</v>
      </c>
      <c r="V193" s="13" t="n">
        <v>4.65</v>
      </c>
      <c r="W193" s="13" t="n">
        <v>-0.07</v>
      </c>
      <c r="X193" s="13" t="n">
        <v>63.7</v>
      </c>
      <c r="Y193" s="13" t="n">
        <v>22.2</v>
      </c>
      <c r="Z193" s="13" t="n">
        <v>34</v>
      </c>
      <c r="AA193" s="13" t="n">
        <v>31.4</v>
      </c>
      <c r="AB193" s="13" t="n">
        <v>87.1</v>
      </c>
    </row>
    <row r="194" customFormat="false" ht="12.8" hidden="false" customHeight="false" outlineLevel="0" collapsed="false">
      <c r="A194" s="1" t="n">
        <v>5.12</v>
      </c>
      <c r="B194" s="1" t="n">
        <v>-0.08</v>
      </c>
      <c r="C194" s="1" t="n">
        <v>0.12</v>
      </c>
      <c r="D194" s="1" t="n">
        <v>4.6</v>
      </c>
      <c r="E194" s="1" t="n">
        <v>0</v>
      </c>
      <c r="F194" s="1" t="n">
        <v>46.9</v>
      </c>
      <c r="G194" s="1" t="n">
        <v>14.4</v>
      </c>
      <c r="H194" s="1" t="n">
        <v>34.2</v>
      </c>
      <c r="I194" s="1" t="n">
        <v>32.2</v>
      </c>
      <c r="J194" s="1" t="n">
        <v>81.7</v>
      </c>
      <c r="K194" s="22" t="n">
        <v>9.77289002792341</v>
      </c>
      <c r="L194" s="1" t="n">
        <v>9.77</v>
      </c>
      <c r="M194" s="23" t="n">
        <v>-0.00289002792341009</v>
      </c>
      <c r="P194" s="12" t="n">
        <v>7</v>
      </c>
      <c r="Q194" s="13" t="s">
        <v>48</v>
      </c>
      <c r="R194" s="13" t="n">
        <v>10.11</v>
      </c>
      <c r="S194" s="13" t="n">
        <v>5.91</v>
      </c>
      <c r="T194" s="13" t="n">
        <v>-0.16</v>
      </c>
      <c r="U194" s="13" t="n">
        <v>-0.33</v>
      </c>
      <c r="V194" s="13" t="n">
        <v>4.65</v>
      </c>
      <c r="W194" s="13" t="n">
        <v>0.03</v>
      </c>
      <c r="X194" s="13" t="n">
        <v>64.1</v>
      </c>
      <c r="Y194" s="13" t="n">
        <v>24.4</v>
      </c>
      <c r="Z194" s="13" t="n">
        <v>32.5</v>
      </c>
      <c r="AA194" s="13" t="n">
        <v>33.4</v>
      </c>
      <c r="AB194" s="13" t="n">
        <v>86</v>
      </c>
    </row>
    <row r="195" customFormat="false" ht="12.8" hidden="false" customHeight="false" outlineLevel="0" collapsed="false">
      <c r="A195" s="1" t="n">
        <v>4.48</v>
      </c>
      <c r="B195" s="1" t="n">
        <v>0.16</v>
      </c>
      <c r="C195" s="1" t="n">
        <v>0.66</v>
      </c>
      <c r="D195" s="1" t="n">
        <v>4.6</v>
      </c>
      <c r="E195" s="1" t="n">
        <v>0.07</v>
      </c>
      <c r="F195" s="1" t="n">
        <v>53.1</v>
      </c>
      <c r="G195" s="1" t="n">
        <v>9.5</v>
      </c>
      <c r="H195" s="1" t="n">
        <v>35.2</v>
      </c>
      <c r="I195" s="1" t="n">
        <v>34.1</v>
      </c>
      <c r="J195" s="1" t="n">
        <v>80.4</v>
      </c>
      <c r="K195" s="22" t="n">
        <v>9.97527810221897</v>
      </c>
      <c r="L195" s="1" t="n">
        <v>9.98</v>
      </c>
      <c r="M195" s="23" t="n">
        <v>0.00472189778103527</v>
      </c>
      <c r="P195" s="12" t="n">
        <v>7</v>
      </c>
      <c r="Q195" s="13" t="s">
        <v>49</v>
      </c>
      <c r="R195" s="13" t="n">
        <v>10.01</v>
      </c>
      <c r="S195" s="13" t="n">
        <v>6.72</v>
      </c>
      <c r="T195" s="13" t="n">
        <v>-0.63</v>
      </c>
      <c r="U195" s="13" t="n">
        <v>-0.72</v>
      </c>
      <c r="V195" s="13" t="n">
        <v>4.65</v>
      </c>
      <c r="W195" s="13" t="n">
        <v>-0.01</v>
      </c>
      <c r="X195" s="13" t="n">
        <v>62.9</v>
      </c>
      <c r="Y195" s="13" t="n">
        <v>32.3</v>
      </c>
      <c r="Z195" s="13" t="n">
        <v>33</v>
      </c>
      <c r="AA195" s="13" t="n">
        <v>37.9</v>
      </c>
      <c r="AB195" s="13" t="n">
        <v>85.1</v>
      </c>
    </row>
    <row r="196" customFormat="false" ht="12.8" hidden="false" customHeight="false" outlineLevel="0" collapsed="false">
      <c r="A196" s="1" t="n">
        <v>5.02</v>
      </c>
      <c r="B196" s="1" t="n">
        <v>-0.06</v>
      </c>
      <c r="C196" s="1" t="n">
        <v>0.38</v>
      </c>
      <c r="D196" s="1" t="n">
        <v>4.6</v>
      </c>
      <c r="E196" s="1" t="n">
        <v>0.06</v>
      </c>
      <c r="F196" s="1" t="n">
        <v>48.2</v>
      </c>
      <c r="G196" s="1" t="n">
        <v>10.4</v>
      </c>
      <c r="H196" s="1" t="n">
        <v>34</v>
      </c>
      <c r="I196" s="1" t="n">
        <v>33.9</v>
      </c>
      <c r="J196" s="1" t="n">
        <v>80.9</v>
      </c>
      <c r="K196" s="22" t="n">
        <v>10.0184929451894</v>
      </c>
      <c r="L196" s="1" t="n">
        <v>10.02</v>
      </c>
      <c r="M196" s="23" t="n">
        <v>0.00150705481057756</v>
      </c>
      <c r="P196" s="12" t="n">
        <v>7</v>
      </c>
      <c r="Q196" s="13" t="s">
        <v>50</v>
      </c>
      <c r="R196" s="13" t="n">
        <v>9.75</v>
      </c>
      <c r="S196" s="13" t="n">
        <v>6.12</v>
      </c>
      <c r="T196" s="13" t="n">
        <v>-0.31</v>
      </c>
      <c r="U196" s="13" t="n">
        <v>-0.49</v>
      </c>
      <c r="V196" s="13" t="n">
        <v>4.65</v>
      </c>
      <c r="W196" s="13" t="n">
        <v>-0.06</v>
      </c>
      <c r="X196" s="13" t="n">
        <v>77.9</v>
      </c>
      <c r="Y196" s="13" t="n">
        <v>29.1</v>
      </c>
      <c r="Z196" s="13" t="n">
        <v>33.7</v>
      </c>
      <c r="AA196" s="13" t="n">
        <v>37.4</v>
      </c>
      <c r="AB196" s="13" t="n">
        <v>87.1</v>
      </c>
    </row>
    <row r="197" customFormat="false" ht="12.8" hidden="false" customHeight="false" outlineLevel="0" collapsed="false">
      <c r="A197" s="1" t="n">
        <v>5.31</v>
      </c>
      <c r="B197" s="1" t="n">
        <v>-0.14</v>
      </c>
      <c r="C197" s="1" t="n">
        <v>-0.31</v>
      </c>
      <c r="D197" s="1" t="n">
        <v>4.6</v>
      </c>
      <c r="E197" s="1" t="n">
        <v>-0.08</v>
      </c>
      <c r="F197" s="1" t="n">
        <v>69.9</v>
      </c>
      <c r="G197" s="1" t="n">
        <v>22</v>
      </c>
      <c r="H197" s="1" t="n">
        <v>33.5</v>
      </c>
      <c r="I197" s="1" t="n">
        <v>38.6</v>
      </c>
      <c r="J197" s="1" t="n">
        <v>82.9</v>
      </c>
      <c r="K197" s="22" t="n">
        <v>9.35559506875983</v>
      </c>
      <c r="L197" s="1" t="n">
        <v>9.35</v>
      </c>
      <c r="M197" s="23" t="n">
        <v>-0.00559506875983473</v>
      </c>
      <c r="P197" s="12" t="n">
        <v>7</v>
      </c>
      <c r="Q197" s="13" t="s">
        <v>51</v>
      </c>
      <c r="R197" s="13" t="n">
        <v>9.62</v>
      </c>
      <c r="S197" s="13" t="n">
        <v>5.43</v>
      </c>
      <c r="T197" s="13" t="n">
        <v>-0.2</v>
      </c>
      <c r="U197" s="13" t="n">
        <v>-0.28</v>
      </c>
      <c r="V197" s="13" t="n">
        <v>4.65</v>
      </c>
      <c r="W197" s="13" t="n">
        <v>0.01</v>
      </c>
      <c r="X197" s="13" t="n">
        <v>59.8</v>
      </c>
      <c r="Y197" s="13" t="n">
        <v>27.9</v>
      </c>
      <c r="Z197" s="13" t="n">
        <v>33.8</v>
      </c>
      <c r="AA197" s="13" t="n">
        <v>31.3</v>
      </c>
      <c r="AB197" s="13" t="n">
        <v>84.8</v>
      </c>
    </row>
    <row r="198" customFormat="false" ht="12.8" hidden="false" customHeight="false" outlineLevel="0" collapsed="false">
      <c r="A198" s="1" t="n">
        <v>4.98</v>
      </c>
      <c r="B198" s="1" t="n">
        <v>-0.07</v>
      </c>
      <c r="C198" s="1" t="n">
        <v>0.12</v>
      </c>
      <c r="D198" s="1" t="n">
        <v>4.6</v>
      </c>
      <c r="E198" s="1" t="n">
        <v>0</v>
      </c>
      <c r="F198" s="1" t="n">
        <v>71.8</v>
      </c>
      <c r="G198" s="1" t="n">
        <v>31.9</v>
      </c>
      <c r="H198" s="1" t="n">
        <v>33.5</v>
      </c>
      <c r="I198" s="1" t="n">
        <v>39.4</v>
      </c>
      <c r="J198" s="1" t="n">
        <v>81.9</v>
      </c>
      <c r="K198" s="22" t="n">
        <v>9.59736611837691</v>
      </c>
      <c r="L198" s="1" t="n">
        <v>9.62</v>
      </c>
      <c r="M198" s="23" t="n">
        <v>0.02263388162309</v>
      </c>
      <c r="P198" s="12" t="n">
        <v>7</v>
      </c>
      <c r="Q198" s="13" t="s">
        <v>52</v>
      </c>
      <c r="R198" s="13" t="n">
        <v>9.67</v>
      </c>
      <c r="S198" s="13" t="n">
        <v>5.07</v>
      </c>
      <c r="T198" s="13" t="n">
        <v>-0.04</v>
      </c>
      <c r="U198" s="13" t="n">
        <v>0.02</v>
      </c>
      <c r="V198" s="13" t="n">
        <v>4.65</v>
      </c>
      <c r="W198" s="13" t="n">
        <v>-0.04</v>
      </c>
      <c r="X198" s="13" t="n">
        <v>55.7</v>
      </c>
      <c r="Y198" s="13" t="n">
        <v>17.2</v>
      </c>
      <c r="Z198" s="13" t="n">
        <v>32.1</v>
      </c>
      <c r="AA198" s="13" t="n">
        <v>32.2</v>
      </c>
      <c r="AB198" s="13" t="n">
        <v>82.7</v>
      </c>
    </row>
    <row r="199" customFormat="false" ht="12.8" hidden="false" customHeight="false" outlineLevel="0" collapsed="false">
      <c r="A199" s="1" t="n">
        <v>5.33</v>
      </c>
      <c r="B199" s="1" t="n">
        <v>-0.02</v>
      </c>
      <c r="C199" s="1" t="n">
        <v>0.03</v>
      </c>
      <c r="D199" s="1" t="n">
        <v>4.6</v>
      </c>
      <c r="E199" s="1" t="n">
        <v>-0.01</v>
      </c>
      <c r="F199" s="1" t="n">
        <v>66.6</v>
      </c>
      <c r="G199" s="1" t="n">
        <v>23.7</v>
      </c>
      <c r="H199" s="1" t="n">
        <v>33.9</v>
      </c>
      <c r="I199" s="1" t="n">
        <v>36</v>
      </c>
      <c r="J199" s="1" t="n">
        <v>81</v>
      </c>
      <c r="K199" s="22" t="n">
        <v>9.90976167394374</v>
      </c>
      <c r="L199" s="1" t="n">
        <v>9.94</v>
      </c>
      <c r="M199" s="23" t="n">
        <v>0.0302383260562564</v>
      </c>
      <c r="P199" s="12" t="n">
        <v>7</v>
      </c>
      <c r="Q199" s="13" t="s">
        <v>53</v>
      </c>
      <c r="R199" s="13" t="n">
        <v>9.82</v>
      </c>
      <c r="S199" s="13" t="n">
        <v>5.38</v>
      </c>
      <c r="T199" s="13" t="n">
        <v>-0.08</v>
      </c>
      <c r="U199" s="13" t="n">
        <v>-0.09</v>
      </c>
      <c r="V199" s="13" t="n">
        <v>4.65</v>
      </c>
      <c r="W199" s="13" t="n">
        <v>-0.06</v>
      </c>
      <c r="X199" s="13" t="n">
        <v>61.7</v>
      </c>
      <c r="Y199" s="13" t="n">
        <v>27.6</v>
      </c>
      <c r="Z199" s="13" t="n">
        <v>33.6</v>
      </c>
      <c r="AA199" s="13" t="n">
        <v>34.6</v>
      </c>
      <c r="AB199" s="13" t="n">
        <v>83.1</v>
      </c>
    </row>
    <row r="200" customFormat="false" ht="12.8" hidden="false" customHeight="false" outlineLevel="0" collapsed="false">
      <c r="A200" s="1" t="n">
        <v>5.58</v>
      </c>
      <c r="B200" s="1" t="n">
        <v>-0.14</v>
      </c>
      <c r="C200" s="1" t="n">
        <v>-0.03</v>
      </c>
      <c r="D200" s="1" t="n">
        <v>4.6</v>
      </c>
      <c r="E200" s="1" t="n">
        <v>0.05</v>
      </c>
      <c r="F200" s="1" t="n">
        <v>65.4</v>
      </c>
      <c r="G200" s="1" t="n">
        <v>21.9</v>
      </c>
      <c r="H200" s="1" t="n">
        <v>34.2</v>
      </c>
      <c r="I200" s="1" t="n">
        <v>35.7</v>
      </c>
      <c r="J200" s="1" t="n">
        <v>79.9</v>
      </c>
      <c r="K200" s="22" t="n">
        <v>10.0368133372199</v>
      </c>
      <c r="L200" s="1" t="n">
        <v>10.07</v>
      </c>
      <c r="M200" s="23" t="n">
        <v>0.0331866627801052</v>
      </c>
      <c r="P200" s="12" t="n">
        <v>7</v>
      </c>
      <c r="Q200" s="13" t="s">
        <v>54</v>
      </c>
      <c r="R200" s="13" t="n">
        <v>9.77</v>
      </c>
      <c r="S200" s="13" t="n">
        <v>5.2</v>
      </c>
      <c r="T200" s="13" t="n">
        <v>-0.02</v>
      </c>
      <c r="U200" s="13" t="n">
        <v>-0.08</v>
      </c>
      <c r="V200" s="13" t="n">
        <v>4.65</v>
      </c>
      <c r="W200" s="13" t="n">
        <v>0.01</v>
      </c>
      <c r="X200" s="13" t="n">
        <v>55.5</v>
      </c>
      <c r="Y200" s="13" t="n">
        <v>14.5</v>
      </c>
      <c r="Z200" s="13" t="n">
        <v>32.3</v>
      </c>
      <c r="AA200" s="13" t="n">
        <v>32.6</v>
      </c>
      <c r="AB200" s="13" t="n">
        <v>83.8</v>
      </c>
    </row>
    <row r="201" customFormat="false" ht="12.8" hidden="false" customHeight="false" outlineLevel="0" collapsed="false">
      <c r="A201" s="1" t="n">
        <v>5.54</v>
      </c>
      <c r="B201" s="1" t="n">
        <v>-0.15</v>
      </c>
      <c r="C201" s="1" t="n">
        <v>-0.14</v>
      </c>
      <c r="D201" s="1" t="n">
        <v>4.6</v>
      </c>
      <c r="E201" s="1" t="n">
        <v>0.08</v>
      </c>
      <c r="F201" s="1" t="n">
        <v>67.8</v>
      </c>
      <c r="G201" s="1" t="n">
        <v>18.7</v>
      </c>
      <c r="H201" s="1" t="n">
        <v>33.3</v>
      </c>
      <c r="I201" s="1" t="n">
        <v>31.8</v>
      </c>
      <c r="J201" s="1" t="n">
        <v>80.8</v>
      </c>
      <c r="K201" s="22" t="n">
        <v>9.91040197102528</v>
      </c>
      <c r="L201" s="1" t="n">
        <v>9.94</v>
      </c>
      <c r="M201" s="23" t="n">
        <v>0.0295980289747178</v>
      </c>
      <c r="P201" s="12" t="n">
        <v>7</v>
      </c>
      <c r="Q201" s="13" t="s">
        <v>56</v>
      </c>
      <c r="R201" s="13" t="n">
        <v>9.76</v>
      </c>
      <c r="S201" s="13" t="n">
        <v>5.02</v>
      </c>
      <c r="T201" s="13" t="n">
        <v>-0.01</v>
      </c>
      <c r="U201" s="13" t="n">
        <v>0.11</v>
      </c>
      <c r="V201" s="13" t="n">
        <v>4.65</v>
      </c>
      <c r="W201" s="13" t="n">
        <v>-0.02</v>
      </c>
      <c r="X201" s="13" t="n">
        <v>48.1</v>
      </c>
      <c r="Y201" s="13" t="n">
        <v>9.7</v>
      </c>
      <c r="Z201" s="13" t="n">
        <v>33.2</v>
      </c>
      <c r="AA201" s="13" t="n">
        <v>30.5</v>
      </c>
      <c r="AB201" s="13" t="n">
        <v>83.5</v>
      </c>
    </row>
    <row r="202" customFormat="false" ht="12.8" hidden="false" customHeight="false" outlineLevel="0" collapsed="false">
      <c r="A202" s="1" t="n">
        <v>5.27</v>
      </c>
      <c r="B202" s="1" t="n">
        <v>-0.08</v>
      </c>
      <c r="C202" s="1" t="n">
        <v>-0.17</v>
      </c>
      <c r="D202" s="1" t="n">
        <v>4.6</v>
      </c>
      <c r="E202" s="1" t="n">
        <v>-0.04</v>
      </c>
      <c r="F202" s="1" t="n">
        <v>64</v>
      </c>
      <c r="G202" s="1" t="n">
        <v>29.4</v>
      </c>
      <c r="H202" s="1" t="n">
        <v>34.6</v>
      </c>
      <c r="I202" s="1" t="n">
        <v>36.3</v>
      </c>
      <c r="J202" s="1" t="n">
        <v>82.6</v>
      </c>
      <c r="K202" s="22" t="n">
        <v>9.54871107505651</v>
      </c>
      <c r="L202" s="1" t="n">
        <v>9.55</v>
      </c>
      <c r="M202" s="23" t="n">
        <v>0.00128892494348776</v>
      </c>
      <c r="P202" s="12" t="n">
        <v>7</v>
      </c>
      <c r="Q202" s="13" t="s">
        <v>58</v>
      </c>
      <c r="R202" s="13" t="n">
        <v>9.79</v>
      </c>
      <c r="S202" s="13" t="n">
        <v>5.1</v>
      </c>
      <c r="T202" s="13" t="n">
        <v>-0.06</v>
      </c>
      <c r="U202" s="13" t="n">
        <v>0.11</v>
      </c>
      <c r="V202" s="13" t="n">
        <v>4.65</v>
      </c>
      <c r="W202" s="13" t="n">
        <v>-0.02</v>
      </c>
      <c r="X202" s="13" t="n">
        <v>47.7</v>
      </c>
      <c r="Y202" s="13" t="n">
        <v>16</v>
      </c>
      <c r="Z202" s="13" t="n">
        <v>33.5</v>
      </c>
      <c r="AA202" s="13" t="n">
        <v>32.2</v>
      </c>
      <c r="AB202" s="13" t="n">
        <v>83.4</v>
      </c>
    </row>
    <row r="203" customFormat="false" ht="12.8" hidden="false" customHeight="false" outlineLevel="0" collapsed="false">
      <c r="A203" s="1" t="n">
        <v>5.38</v>
      </c>
      <c r="B203" s="1" t="n">
        <v>0</v>
      </c>
      <c r="C203" s="1" t="n">
        <v>-0.09</v>
      </c>
      <c r="D203" s="1" t="n">
        <v>4.6</v>
      </c>
      <c r="E203" s="1" t="n">
        <v>0.03</v>
      </c>
      <c r="F203" s="1" t="n">
        <v>64.8</v>
      </c>
      <c r="G203" s="1" t="n">
        <v>25.5</v>
      </c>
      <c r="H203" s="1" t="n">
        <v>34.9</v>
      </c>
      <c r="I203" s="1" t="n">
        <v>35.9</v>
      </c>
      <c r="J203" s="1" t="n">
        <v>80.4</v>
      </c>
      <c r="K203" s="22" t="n">
        <v>9.8890480112838</v>
      </c>
      <c r="L203" s="1" t="n">
        <v>9.91</v>
      </c>
      <c r="M203" s="23" t="n">
        <v>0.0209519887161989</v>
      </c>
      <c r="P203" s="12" t="n">
        <v>7</v>
      </c>
      <c r="Q203" s="13" t="s">
        <v>60</v>
      </c>
      <c r="R203" s="13" t="n">
        <v>9.91</v>
      </c>
      <c r="S203" s="13" t="n">
        <v>4.46</v>
      </c>
      <c r="T203" s="13" t="n">
        <v>0.17</v>
      </c>
      <c r="U203" s="13" t="n">
        <v>0.63</v>
      </c>
      <c r="V203" s="13" t="n">
        <v>4.65</v>
      </c>
      <c r="W203" s="13" t="n">
        <v>-0.01</v>
      </c>
      <c r="X203" s="13" t="n">
        <v>53.8</v>
      </c>
      <c r="Y203" s="13" t="n">
        <v>11.6</v>
      </c>
      <c r="Z203" s="13" t="n">
        <v>34.4</v>
      </c>
      <c r="AA203" s="13" t="n">
        <v>32</v>
      </c>
      <c r="AB203" s="13" t="n">
        <v>82.3</v>
      </c>
    </row>
    <row r="204" customFormat="false" ht="12.8" hidden="false" customHeight="false" outlineLevel="0" collapsed="false">
      <c r="A204" s="1" t="n">
        <v>5.13</v>
      </c>
      <c r="B204" s="1" t="n">
        <v>-0.04</v>
      </c>
      <c r="C204" s="1" t="n">
        <v>0.1</v>
      </c>
      <c r="D204" s="1" t="n">
        <v>4.6</v>
      </c>
      <c r="E204" s="1" t="n">
        <v>0.05</v>
      </c>
      <c r="F204" s="1" t="n">
        <v>59.4</v>
      </c>
      <c r="G204" s="1" t="n">
        <v>16.7</v>
      </c>
      <c r="H204" s="1" t="n">
        <v>34.7</v>
      </c>
      <c r="I204" s="1" t="n">
        <v>35.3</v>
      </c>
      <c r="J204" s="1" t="n">
        <v>82.1</v>
      </c>
      <c r="K204" s="22" t="n">
        <v>9.8267368971767</v>
      </c>
      <c r="L204" s="1" t="n">
        <v>9.85</v>
      </c>
      <c r="M204" s="23" t="n">
        <v>0.0232631028232984</v>
      </c>
      <c r="P204" s="12" t="n">
        <v>7</v>
      </c>
      <c r="Q204" s="13" t="s">
        <v>62</v>
      </c>
      <c r="R204" s="13" t="n">
        <v>9.92</v>
      </c>
      <c r="S204" s="13" t="n">
        <v>5</v>
      </c>
      <c r="T204" s="13" t="n">
        <v>-0.06</v>
      </c>
      <c r="U204" s="13" t="n">
        <v>0.36</v>
      </c>
      <c r="V204" s="13" t="n">
        <v>4.65</v>
      </c>
      <c r="W204" s="13" t="n">
        <v>-0.04</v>
      </c>
      <c r="X204" s="13" t="n">
        <v>48.2</v>
      </c>
      <c r="Y204" s="13" t="n">
        <v>13.5</v>
      </c>
      <c r="Z204" s="13" t="n">
        <v>33.4</v>
      </c>
      <c r="AA204" s="13" t="n">
        <v>31.9</v>
      </c>
      <c r="AB204" s="13" t="n">
        <v>82.6</v>
      </c>
    </row>
    <row r="205" customFormat="false" ht="12.8" hidden="false" customHeight="false" outlineLevel="0" collapsed="false">
      <c r="A205" s="1" t="n">
        <v>4.92</v>
      </c>
      <c r="B205" s="1" t="n">
        <v>0.19</v>
      </c>
      <c r="C205" s="1" t="n">
        <v>0.25</v>
      </c>
      <c r="D205" s="1" t="n">
        <v>4.6</v>
      </c>
      <c r="E205" s="1" t="n">
        <v>0.05</v>
      </c>
      <c r="F205" s="1" t="n">
        <v>55.8</v>
      </c>
      <c r="G205" s="1" t="n">
        <v>14.5</v>
      </c>
      <c r="H205" s="1" t="n">
        <v>33.4</v>
      </c>
      <c r="I205" s="1" t="n">
        <v>35.8</v>
      </c>
      <c r="J205" s="1" t="n">
        <v>80.6</v>
      </c>
      <c r="K205" s="22" t="n">
        <v>10.021602184403</v>
      </c>
      <c r="L205" s="1" t="n">
        <v>10.02</v>
      </c>
      <c r="M205" s="23" t="n">
        <v>-0.0016021844030174</v>
      </c>
      <c r="P205" s="12" t="n">
        <v>7</v>
      </c>
      <c r="Q205" s="13" t="s">
        <v>64</v>
      </c>
      <c r="R205" s="13" t="n">
        <v>9.55</v>
      </c>
      <c r="S205" s="13" t="n">
        <v>5.32</v>
      </c>
      <c r="T205" s="13" t="n">
        <v>-0.15</v>
      </c>
      <c r="U205" s="13" t="n">
        <v>-0.31</v>
      </c>
      <c r="V205" s="13" t="n">
        <v>4.65</v>
      </c>
      <c r="W205" s="13" t="n">
        <v>0.08</v>
      </c>
      <c r="X205" s="13" t="n">
        <v>70.4</v>
      </c>
      <c r="Y205" s="13" t="n">
        <v>24.2</v>
      </c>
      <c r="Z205" s="13" t="n">
        <v>34.2</v>
      </c>
      <c r="AA205" s="13" t="n">
        <v>36.1</v>
      </c>
      <c r="AB205" s="13" t="n">
        <v>84.8</v>
      </c>
    </row>
    <row r="206" customFormat="false" ht="12.8" hidden="false" customHeight="false" outlineLevel="0" collapsed="false">
      <c r="A206" s="1" t="n">
        <v>5.26</v>
      </c>
      <c r="B206" s="1" t="n">
        <v>0.02</v>
      </c>
      <c r="C206" s="1" t="n">
        <v>0.01</v>
      </c>
      <c r="D206" s="1" t="n">
        <v>4.6</v>
      </c>
      <c r="E206" s="1" t="n">
        <v>0.04</v>
      </c>
      <c r="F206" s="1" t="n">
        <v>64.4</v>
      </c>
      <c r="G206" s="1" t="n">
        <v>15.4</v>
      </c>
      <c r="H206" s="1" t="n">
        <v>34</v>
      </c>
      <c r="I206" s="1" t="n">
        <v>35.1</v>
      </c>
      <c r="J206" s="1" t="n">
        <v>80.2</v>
      </c>
      <c r="K206" s="22" t="n">
        <v>9.91768235502307</v>
      </c>
      <c r="L206" s="1" t="n">
        <v>9.94</v>
      </c>
      <c r="M206" s="23" t="n">
        <v>0.0223176449769262</v>
      </c>
      <c r="P206" s="12" t="n">
        <v>7</v>
      </c>
      <c r="Q206" s="13" t="s">
        <v>66</v>
      </c>
      <c r="R206" s="13" t="n">
        <v>9.65</v>
      </c>
      <c r="S206" s="13" t="n">
        <v>4.95</v>
      </c>
      <c r="T206" s="13" t="n">
        <v>-0.07</v>
      </c>
      <c r="U206" s="13" t="n">
        <v>0.11</v>
      </c>
      <c r="V206" s="13" t="n">
        <v>4.65</v>
      </c>
      <c r="W206" s="13" t="n">
        <v>0.04</v>
      </c>
      <c r="X206" s="13" t="n">
        <v>72.3</v>
      </c>
      <c r="Y206" s="13" t="n">
        <v>33.2</v>
      </c>
      <c r="Z206" s="13" t="n">
        <v>33.1</v>
      </c>
      <c r="AA206" s="13" t="n">
        <v>38.5</v>
      </c>
      <c r="AB206" s="13" t="n">
        <v>83.8</v>
      </c>
    </row>
    <row r="207" customFormat="false" ht="12.8" hidden="false" customHeight="false" outlineLevel="0" collapsed="false">
      <c r="A207" s="1" t="n">
        <v>5.32</v>
      </c>
      <c r="B207" s="1" t="n">
        <v>0.07</v>
      </c>
      <c r="C207" s="1" t="n">
        <v>-0.14</v>
      </c>
      <c r="D207" s="1" t="n">
        <v>4.6</v>
      </c>
      <c r="E207" s="1" t="n">
        <v>0.02</v>
      </c>
      <c r="F207" s="1" t="n">
        <v>61.9</v>
      </c>
      <c r="G207" s="1" t="n">
        <v>20.2</v>
      </c>
      <c r="H207" s="1" t="n">
        <v>34.5</v>
      </c>
      <c r="I207" s="1" t="n">
        <v>33.5</v>
      </c>
      <c r="J207" s="1" t="n">
        <v>81.9</v>
      </c>
      <c r="K207" s="22" t="n">
        <v>9.85165640111693</v>
      </c>
      <c r="L207" s="1" t="n">
        <v>9.89</v>
      </c>
      <c r="M207" s="23" t="n">
        <v>0.0383435988830723</v>
      </c>
      <c r="P207" s="12" t="n">
        <v>7</v>
      </c>
      <c r="Q207" s="13" t="s">
        <v>67</v>
      </c>
      <c r="R207" s="13" t="n">
        <v>9.88</v>
      </c>
      <c r="S207" s="13" t="n">
        <v>5.19</v>
      </c>
      <c r="T207" s="13" t="n">
        <v>-0.01</v>
      </c>
      <c r="U207" s="13" t="n">
        <v>0.04</v>
      </c>
      <c r="V207" s="13" t="n">
        <v>4.65</v>
      </c>
      <c r="W207" s="13" t="n">
        <v>0.01</v>
      </c>
      <c r="X207" s="13" t="n">
        <v>67</v>
      </c>
      <c r="Y207" s="13" t="n">
        <v>27.5</v>
      </c>
      <c r="Z207" s="13" t="n">
        <v>33.6</v>
      </c>
      <c r="AA207" s="13" t="n">
        <v>32.8</v>
      </c>
      <c r="AB207" s="13" t="n">
        <v>82.9</v>
      </c>
    </row>
    <row r="208" customFormat="false" ht="12.8" hidden="false" customHeight="false" outlineLevel="0" collapsed="false">
      <c r="A208" s="1" t="n">
        <v>5.36</v>
      </c>
      <c r="B208" s="1" t="n">
        <v>0.06</v>
      </c>
      <c r="C208" s="1" t="n">
        <v>0.03</v>
      </c>
      <c r="D208" s="1" t="n">
        <v>4.6</v>
      </c>
      <c r="E208" s="1" t="n">
        <v>0.06</v>
      </c>
      <c r="F208" s="1" t="n">
        <v>60.9</v>
      </c>
      <c r="G208" s="1" t="n">
        <v>17.1</v>
      </c>
      <c r="H208" s="1" t="n">
        <v>35.5</v>
      </c>
      <c r="I208" s="1" t="n">
        <v>32.2</v>
      </c>
      <c r="J208" s="1" t="n">
        <v>78</v>
      </c>
      <c r="K208" s="22" t="n">
        <v>10.0877063337171</v>
      </c>
      <c r="L208" s="1" t="n">
        <v>10.13</v>
      </c>
      <c r="M208" s="23" t="n">
        <v>0.0422936662829336</v>
      </c>
      <c r="P208" s="12" t="n">
        <v>7</v>
      </c>
      <c r="Q208" s="13" t="s">
        <v>69</v>
      </c>
      <c r="R208" s="13" t="n">
        <v>9.94</v>
      </c>
      <c r="S208" s="13" t="n">
        <v>5.47</v>
      </c>
      <c r="T208" s="13" t="n">
        <v>-0.14</v>
      </c>
      <c r="U208" s="13" t="n">
        <v>-0.04</v>
      </c>
      <c r="V208" s="13" t="n">
        <v>4.65</v>
      </c>
      <c r="W208" s="13" t="n">
        <v>-0.01</v>
      </c>
      <c r="X208" s="13" t="n">
        <v>67.6</v>
      </c>
      <c r="Y208" s="13" t="n">
        <v>24.3</v>
      </c>
      <c r="Z208" s="13" t="n">
        <v>32.9</v>
      </c>
      <c r="AA208" s="13" t="n">
        <v>33.6</v>
      </c>
      <c r="AB208" s="13" t="n">
        <v>81.8</v>
      </c>
    </row>
    <row r="209" customFormat="false" ht="12.8" hidden="false" customHeight="false" outlineLevel="0" collapsed="false">
      <c r="A209" s="1" t="n">
        <v>5.39</v>
      </c>
      <c r="B209" s="1" t="n">
        <v>0.17</v>
      </c>
      <c r="C209" s="1" t="n">
        <v>0.13</v>
      </c>
      <c r="D209" s="1" t="n">
        <v>4.6</v>
      </c>
      <c r="E209" s="1" t="n">
        <v>0.05</v>
      </c>
      <c r="F209" s="1" t="n">
        <v>49.8</v>
      </c>
      <c r="G209" s="1" t="n">
        <v>12.8</v>
      </c>
      <c r="H209" s="1" t="n">
        <v>35</v>
      </c>
      <c r="I209" s="1" t="n">
        <v>33.8</v>
      </c>
      <c r="J209" s="1" t="n">
        <v>78.5</v>
      </c>
      <c r="K209" s="22" t="n">
        <v>10.3473088786397</v>
      </c>
      <c r="L209" s="1" t="n">
        <v>10.34</v>
      </c>
      <c r="M209" s="23" t="n">
        <v>-0.00730887863974417</v>
      </c>
      <c r="P209" s="12" t="n">
        <v>7</v>
      </c>
      <c r="Q209" s="13" t="s">
        <v>75</v>
      </c>
      <c r="R209" s="13" t="n">
        <v>9.89</v>
      </c>
      <c r="S209" s="13" t="n">
        <v>5.46</v>
      </c>
      <c r="T209" s="13" t="n">
        <v>-0.16</v>
      </c>
      <c r="U209" s="13" t="n">
        <v>-0.14</v>
      </c>
      <c r="V209" s="13" t="n">
        <v>4.65</v>
      </c>
      <c r="W209" s="13" t="n">
        <v>0.06</v>
      </c>
      <c r="X209" s="13" t="n">
        <v>69</v>
      </c>
      <c r="Y209" s="13" t="n">
        <v>22.5</v>
      </c>
      <c r="Z209" s="13" t="n">
        <v>33.2</v>
      </c>
      <c r="AA209" s="13" t="n">
        <v>33.4</v>
      </c>
      <c r="AB209" s="13" t="n">
        <v>82.6</v>
      </c>
    </row>
    <row r="210" customFormat="false" ht="12.8" hidden="false" customHeight="false" outlineLevel="0" collapsed="false">
      <c r="A210" s="1" t="n">
        <v>5.56</v>
      </c>
      <c r="B210" s="1" t="n">
        <v>0.02</v>
      </c>
      <c r="C210" s="1" t="n">
        <v>-0.03</v>
      </c>
      <c r="D210" s="1" t="n">
        <v>4.6</v>
      </c>
      <c r="E210" s="1" t="n">
        <v>0.01</v>
      </c>
      <c r="F210" s="1" t="n">
        <v>56.6</v>
      </c>
      <c r="G210" s="1" t="n">
        <v>15.2</v>
      </c>
      <c r="H210" s="1" t="n">
        <v>34.5</v>
      </c>
      <c r="I210" s="1" t="n">
        <v>33.6</v>
      </c>
      <c r="J210" s="1" t="n">
        <v>80.5</v>
      </c>
      <c r="K210" s="22" t="n">
        <v>10.1566779783753</v>
      </c>
      <c r="L210" s="1" t="n">
        <v>10.18</v>
      </c>
      <c r="M210" s="23" t="n">
        <v>0.0233220216246526</v>
      </c>
      <c r="P210" s="12" t="n">
        <v>7</v>
      </c>
      <c r="Q210" s="13" t="s">
        <v>76</v>
      </c>
      <c r="R210" s="13" t="n">
        <v>9.69</v>
      </c>
      <c r="S210" s="13" t="n">
        <v>5.27</v>
      </c>
      <c r="T210" s="13" t="n">
        <v>-0.08</v>
      </c>
      <c r="U210" s="13" t="n">
        <v>-0.17</v>
      </c>
      <c r="V210" s="13" t="n">
        <v>4.65</v>
      </c>
      <c r="W210" s="13" t="n">
        <v>0.08</v>
      </c>
      <c r="X210" s="13" t="n">
        <v>64.5</v>
      </c>
      <c r="Y210" s="13" t="n">
        <v>31.2</v>
      </c>
      <c r="Z210" s="13" t="n">
        <v>34</v>
      </c>
      <c r="AA210" s="13" t="n">
        <v>36.2</v>
      </c>
      <c r="AB210" s="13" t="n">
        <v>84.6</v>
      </c>
    </row>
    <row r="211" customFormat="false" ht="12.8" hidden="false" customHeight="false" outlineLevel="0" collapsed="false">
      <c r="A211" s="1" t="n">
        <v>6</v>
      </c>
      <c r="B211" s="1" t="n">
        <v>-0.02</v>
      </c>
      <c r="C211" s="1" t="n">
        <v>-0.43</v>
      </c>
      <c r="D211" s="1" t="n">
        <v>4.6</v>
      </c>
      <c r="E211" s="1" t="n">
        <v>0.09</v>
      </c>
      <c r="F211" s="1" t="n">
        <v>56.8</v>
      </c>
      <c r="G211" s="1" t="n">
        <v>22.6</v>
      </c>
      <c r="H211" s="1" t="n">
        <v>36.7</v>
      </c>
      <c r="I211" s="1" t="n">
        <v>35.9</v>
      </c>
      <c r="J211" s="1" t="n">
        <v>76.6</v>
      </c>
      <c r="K211" s="22" t="n">
        <v>10.2031694511732</v>
      </c>
      <c r="L211" s="1" t="n">
        <v>10.22</v>
      </c>
      <c r="M211" s="23" t="n">
        <v>0.0168305488268352</v>
      </c>
      <c r="P211" s="12" t="n">
        <v>7</v>
      </c>
      <c r="Q211" s="13" t="s">
        <v>78</v>
      </c>
      <c r="R211" s="13" t="n">
        <v>9.93</v>
      </c>
      <c r="S211" s="13" t="n">
        <v>5.39</v>
      </c>
      <c r="T211" s="13" t="n">
        <v>0</v>
      </c>
      <c r="U211" s="13" t="n">
        <v>-0.1</v>
      </c>
      <c r="V211" s="13" t="n">
        <v>4.65</v>
      </c>
      <c r="W211" s="13" t="n">
        <v>0.07</v>
      </c>
      <c r="X211" s="13" t="n">
        <v>65.5</v>
      </c>
      <c r="Y211" s="13" t="n">
        <v>24.6</v>
      </c>
      <c r="Z211" s="13" t="n">
        <v>34.8</v>
      </c>
      <c r="AA211" s="13" t="n">
        <v>36.2</v>
      </c>
      <c r="AB211" s="13" t="n">
        <v>82.7</v>
      </c>
    </row>
    <row r="212" customFormat="false" ht="12.8" hidden="false" customHeight="false" outlineLevel="0" collapsed="false">
      <c r="A212" s="1" t="n">
        <v>6.03</v>
      </c>
      <c r="B212" s="1" t="n">
        <v>-0.06</v>
      </c>
      <c r="C212" s="1" t="n">
        <v>-0.5</v>
      </c>
      <c r="D212" s="1" t="n">
        <v>4.6</v>
      </c>
      <c r="E212" s="1" t="n">
        <v>-0.08</v>
      </c>
      <c r="F212" s="1" t="n">
        <v>56.3</v>
      </c>
      <c r="G212" s="1" t="n">
        <v>15.3</v>
      </c>
      <c r="H212" s="1" t="n">
        <v>34.7</v>
      </c>
      <c r="I212" s="1" t="n">
        <v>34.6</v>
      </c>
      <c r="J212" s="1" t="n">
        <v>77.4</v>
      </c>
      <c r="K212" s="22" t="n">
        <v>9.98280417565163</v>
      </c>
      <c r="L212" s="1" t="n">
        <v>10</v>
      </c>
      <c r="M212" s="23" t="n">
        <v>0.0171958243483701</v>
      </c>
      <c r="P212" s="12" t="n">
        <v>7</v>
      </c>
      <c r="Q212" s="13" t="s">
        <v>80</v>
      </c>
      <c r="R212" s="13" t="n">
        <v>9.8</v>
      </c>
      <c r="S212" s="13" t="n">
        <v>5.07</v>
      </c>
      <c r="T212" s="13" t="n">
        <v>-0.04</v>
      </c>
      <c r="U212" s="13" t="n">
        <v>0.08</v>
      </c>
      <c r="V212" s="13" t="n">
        <v>4.65</v>
      </c>
      <c r="W212" s="13" t="n">
        <v>0.03</v>
      </c>
      <c r="X212" s="13" t="n">
        <v>59.7</v>
      </c>
      <c r="Y212" s="13" t="n">
        <v>17.7</v>
      </c>
      <c r="Z212" s="13" t="n">
        <v>34.3</v>
      </c>
      <c r="AA212" s="13" t="n">
        <v>34.6</v>
      </c>
      <c r="AB212" s="13" t="n">
        <v>83.8</v>
      </c>
    </row>
    <row r="213" customFormat="false" ht="12.8" hidden="false" customHeight="false" outlineLevel="0" collapsed="false">
      <c r="A213" s="1" t="n">
        <v>6.04</v>
      </c>
      <c r="B213" s="1" t="n">
        <v>-0.16</v>
      </c>
      <c r="C213" s="1" t="n">
        <v>-0.67</v>
      </c>
      <c r="D213" s="1" t="n">
        <v>4.6</v>
      </c>
      <c r="E213" s="1" t="n">
        <v>-0.14</v>
      </c>
      <c r="F213" s="1" t="n">
        <v>57.1</v>
      </c>
      <c r="G213" s="1" t="n">
        <v>21.9</v>
      </c>
      <c r="H213" s="1" t="n">
        <v>33.7</v>
      </c>
      <c r="I213" s="1" t="n">
        <v>33.5</v>
      </c>
      <c r="J213" s="1" t="n">
        <v>82.8</v>
      </c>
      <c r="K213" s="22" t="n">
        <v>9.66231221189638</v>
      </c>
      <c r="L213" s="1" t="n">
        <v>9.68</v>
      </c>
      <c r="M213" s="23" t="n">
        <v>0.0176877881036237</v>
      </c>
      <c r="P213" s="12" t="n">
        <v>7</v>
      </c>
      <c r="Q213" s="13" t="s">
        <v>81</v>
      </c>
      <c r="R213" s="13" t="n">
        <v>10.03</v>
      </c>
      <c r="S213" s="13" t="n">
        <v>4.92</v>
      </c>
      <c r="T213" s="13" t="n">
        <v>0.19</v>
      </c>
      <c r="U213" s="13" t="n">
        <v>0.23</v>
      </c>
      <c r="V213" s="13" t="n">
        <v>4.65</v>
      </c>
      <c r="W213" s="13" t="n">
        <v>0.04</v>
      </c>
      <c r="X213" s="13" t="n">
        <v>57</v>
      </c>
      <c r="Y213" s="13" t="n">
        <v>16.8</v>
      </c>
      <c r="Z213" s="13" t="n">
        <v>33.2</v>
      </c>
      <c r="AA213" s="13" t="n">
        <v>31.1</v>
      </c>
      <c r="AB213" s="13" t="n">
        <v>82.6</v>
      </c>
    </row>
    <row r="214" customFormat="false" ht="12.8" hidden="false" customHeight="false" outlineLevel="0" collapsed="false">
      <c r="A214" s="1" t="n">
        <v>6.36</v>
      </c>
      <c r="B214" s="1" t="n">
        <v>-0.29</v>
      </c>
      <c r="C214" s="1" t="n">
        <v>-0.55</v>
      </c>
      <c r="D214" s="1" t="n">
        <v>4.6</v>
      </c>
      <c r="E214" s="1" t="n">
        <v>-0.13</v>
      </c>
      <c r="F214" s="1" t="n">
        <v>70.8</v>
      </c>
      <c r="G214" s="1" t="n">
        <v>19.6</v>
      </c>
      <c r="H214" s="1" t="n">
        <v>34.5</v>
      </c>
      <c r="I214" s="1" t="n">
        <v>37.9</v>
      </c>
      <c r="J214" s="1" t="n">
        <v>84.3</v>
      </c>
      <c r="K214" s="22" t="n">
        <v>9.95803861248839</v>
      </c>
      <c r="L214" s="1" t="n">
        <v>9.92</v>
      </c>
      <c r="M214" s="23" t="n">
        <v>-0.0380386124883909</v>
      </c>
      <c r="P214" s="12" t="n">
        <v>7</v>
      </c>
      <c r="Q214" s="13" t="s">
        <v>83</v>
      </c>
      <c r="R214" s="13" t="n">
        <v>9.99</v>
      </c>
      <c r="S214" s="13" t="n">
        <v>5.22</v>
      </c>
      <c r="T214" s="13" t="n">
        <v>0.02</v>
      </c>
      <c r="U214" s="13" t="n">
        <v>0.01</v>
      </c>
      <c r="V214" s="13" t="n">
        <v>4.65</v>
      </c>
      <c r="W214" s="13" t="n">
        <v>0.08</v>
      </c>
      <c r="X214" s="13" t="n">
        <v>64.6</v>
      </c>
      <c r="Y214" s="13" t="n">
        <v>18.1</v>
      </c>
      <c r="Z214" s="13" t="n">
        <v>33.4</v>
      </c>
      <c r="AA214" s="13" t="n">
        <v>34.8</v>
      </c>
      <c r="AB214" s="13" t="n">
        <v>82.1</v>
      </c>
    </row>
    <row r="215" customFormat="false" ht="12.8" hidden="false" customHeight="false" outlineLevel="0" collapsed="false">
      <c r="A215" s="1" t="n">
        <v>5.65</v>
      </c>
      <c r="B215" s="1" t="n">
        <v>0.06</v>
      </c>
      <c r="C215" s="1" t="n">
        <v>-0.2</v>
      </c>
      <c r="D215" s="1" t="n">
        <v>4.6</v>
      </c>
      <c r="E215" s="1" t="n">
        <v>-0.11</v>
      </c>
      <c r="F215" s="1" t="n">
        <v>63.7</v>
      </c>
      <c r="G215" s="1" t="n">
        <v>33.1</v>
      </c>
      <c r="H215" s="1" t="n">
        <v>32.3</v>
      </c>
      <c r="I215" s="1" t="n">
        <v>37.1</v>
      </c>
      <c r="J215" s="1" t="n">
        <v>80</v>
      </c>
      <c r="K215" s="22" t="n">
        <v>9.99424447025447</v>
      </c>
      <c r="L215" s="1" t="n">
        <v>10.02</v>
      </c>
      <c r="M215" s="23" t="n">
        <v>0.0257555297455347</v>
      </c>
      <c r="P215" s="12" t="n">
        <v>7</v>
      </c>
      <c r="Q215" s="13" t="s">
        <v>84</v>
      </c>
      <c r="R215" s="13" t="n">
        <v>9.97</v>
      </c>
      <c r="S215" s="13" t="n">
        <v>5.28</v>
      </c>
      <c r="T215" s="13" t="n">
        <v>0.08</v>
      </c>
      <c r="U215" s="13" t="n">
        <v>-0.14</v>
      </c>
      <c r="V215" s="13" t="n">
        <v>4.65</v>
      </c>
      <c r="W215" s="13" t="n">
        <v>0.08</v>
      </c>
      <c r="X215" s="13" t="n">
        <v>62.6</v>
      </c>
      <c r="Y215" s="13" t="n">
        <v>19.5</v>
      </c>
      <c r="Z215" s="13" t="n">
        <v>33.8</v>
      </c>
      <c r="AA215" s="13" t="n">
        <v>32.3</v>
      </c>
      <c r="AB215" s="13" t="n">
        <v>83.6</v>
      </c>
    </row>
    <row r="216" customFormat="false" ht="12.8" hidden="false" customHeight="false" outlineLevel="0" collapsed="false">
      <c r="A216" s="1" t="n">
        <v>5.5</v>
      </c>
      <c r="B216" s="1" t="n">
        <v>0.04</v>
      </c>
      <c r="C216" s="1" t="n">
        <v>-0.15</v>
      </c>
      <c r="D216" s="1" t="n">
        <v>4.6</v>
      </c>
      <c r="E216" s="1" t="n">
        <v>-0.06</v>
      </c>
      <c r="F216" s="1" t="n">
        <v>57.3</v>
      </c>
      <c r="G216" s="1" t="n">
        <v>18.6</v>
      </c>
      <c r="H216" s="1" t="n">
        <v>33.3</v>
      </c>
      <c r="I216" s="1" t="n">
        <v>37.4</v>
      </c>
      <c r="J216" s="1" t="n">
        <v>79.8</v>
      </c>
      <c r="K216" s="22" t="n">
        <v>9.93539297466858</v>
      </c>
      <c r="L216" s="1" t="n">
        <v>9.95</v>
      </c>
      <c r="M216" s="23" t="n">
        <v>0.0146070253314239</v>
      </c>
      <c r="P216" s="12" t="n">
        <v>7</v>
      </c>
      <c r="Q216" s="13" t="s">
        <v>88</v>
      </c>
      <c r="R216" s="13" t="n">
        <v>10.03</v>
      </c>
      <c r="S216" s="13" t="n">
        <v>5.28</v>
      </c>
      <c r="T216" s="13" t="n">
        <v>0.07</v>
      </c>
      <c r="U216" s="13" t="n">
        <v>0.04</v>
      </c>
      <c r="V216" s="13" t="n">
        <v>4.65</v>
      </c>
      <c r="W216" s="13" t="n">
        <v>-0.03</v>
      </c>
      <c r="X216" s="13" t="n">
        <v>62.8</v>
      </c>
      <c r="Y216" s="13" t="n">
        <v>17.8</v>
      </c>
      <c r="Z216" s="13" t="n">
        <v>34.8</v>
      </c>
      <c r="AA216" s="13" t="n">
        <v>30.5</v>
      </c>
      <c r="AB216" s="13" t="n">
        <v>80.3</v>
      </c>
    </row>
    <row r="217" customFormat="false" ht="12.8" hidden="false" customHeight="false" outlineLevel="0" collapsed="false">
      <c r="A217" s="1" t="n">
        <v>5.87</v>
      </c>
      <c r="B217" s="1" t="n">
        <v>-0.17</v>
      </c>
      <c r="C217" s="1" t="n">
        <v>-0.11</v>
      </c>
      <c r="D217" s="1" t="n">
        <v>4.6</v>
      </c>
      <c r="E217" s="1" t="n">
        <v>0</v>
      </c>
      <c r="F217" s="1" t="n">
        <v>57</v>
      </c>
      <c r="G217" s="1" t="n">
        <v>18.2</v>
      </c>
      <c r="H217" s="1" t="n">
        <v>35.3</v>
      </c>
      <c r="I217" s="1" t="n">
        <v>33.6</v>
      </c>
      <c r="J217" s="1" t="n">
        <v>82.7</v>
      </c>
      <c r="K217" s="22" t="n">
        <v>10.1733620265507</v>
      </c>
      <c r="L217" s="1" t="n">
        <v>10.2</v>
      </c>
      <c r="M217" s="23" t="n">
        <v>0.0266379734493221</v>
      </c>
      <c r="P217" s="12" t="n">
        <v>7</v>
      </c>
      <c r="Q217" s="13" t="s">
        <v>89</v>
      </c>
      <c r="R217" s="13" t="n">
        <v>10.24</v>
      </c>
      <c r="S217" s="13" t="n">
        <v>5.32</v>
      </c>
      <c r="T217" s="13" t="n">
        <v>0.16</v>
      </c>
      <c r="U217" s="13" t="n">
        <v>0.12</v>
      </c>
      <c r="V217" s="13" t="n">
        <v>4.65</v>
      </c>
      <c r="W217" s="13" t="n">
        <v>-0.02</v>
      </c>
      <c r="X217" s="13" t="n">
        <v>50.2</v>
      </c>
      <c r="Y217" s="13" t="n">
        <v>13.8</v>
      </c>
      <c r="Z217" s="13" t="n">
        <v>34.1</v>
      </c>
      <c r="AA217" s="13" t="n">
        <v>31.6</v>
      </c>
      <c r="AB217" s="13" t="n">
        <v>80.7</v>
      </c>
    </row>
    <row r="218" customFormat="false" ht="12.8" hidden="false" customHeight="false" outlineLevel="0" collapsed="false">
      <c r="A218" s="1" t="n">
        <v>6.16</v>
      </c>
      <c r="B218" s="1" t="n">
        <v>-0.11</v>
      </c>
      <c r="C218" s="1" t="n">
        <v>-0.36</v>
      </c>
      <c r="D218" s="1" t="n">
        <v>4.6</v>
      </c>
      <c r="E218" s="1" t="n">
        <v>-0.11</v>
      </c>
      <c r="F218" s="1" t="n">
        <v>55.1</v>
      </c>
      <c r="G218" s="1" t="n">
        <v>24.8</v>
      </c>
      <c r="H218" s="1" t="n">
        <v>35.3</v>
      </c>
      <c r="I218" s="1" t="n">
        <v>32.8</v>
      </c>
      <c r="J218" s="1" t="n">
        <v>74.5</v>
      </c>
      <c r="K218" s="22" t="n">
        <v>10.163256950724</v>
      </c>
      <c r="L218" s="1" t="n">
        <v>10.19</v>
      </c>
      <c r="M218" s="23" t="n">
        <v>0.0267430492759804</v>
      </c>
      <c r="P218" s="12" t="n">
        <v>7</v>
      </c>
      <c r="Q218" s="13" t="s">
        <v>90</v>
      </c>
      <c r="R218" s="13" t="n">
        <v>10.16</v>
      </c>
      <c r="S218" s="13" t="n">
        <v>5.52</v>
      </c>
      <c r="T218" s="13" t="n">
        <v>0.02</v>
      </c>
      <c r="U218" s="13" t="n">
        <v>-0.03</v>
      </c>
      <c r="V218" s="13" t="n">
        <v>4.65</v>
      </c>
      <c r="W218" s="13" t="n">
        <v>-0.02</v>
      </c>
      <c r="X218" s="13" t="n">
        <v>56.8</v>
      </c>
      <c r="Y218" s="13" t="n">
        <v>15.5</v>
      </c>
      <c r="Z218" s="13" t="n">
        <v>33.7</v>
      </c>
      <c r="AA218" s="13" t="n">
        <v>32.8</v>
      </c>
      <c r="AB218" s="13" t="n">
        <v>82.4</v>
      </c>
    </row>
    <row r="219" customFormat="false" ht="12.8" hidden="false" customHeight="false" outlineLevel="0" collapsed="false">
      <c r="A219" s="1" t="n">
        <v>6.16</v>
      </c>
      <c r="B219" s="1" t="n">
        <v>-0.06</v>
      </c>
      <c r="C219" s="1" t="n">
        <v>-0.36</v>
      </c>
      <c r="D219" s="1" t="n">
        <v>4.6</v>
      </c>
      <c r="E219" s="1" t="n">
        <v>-0.02</v>
      </c>
      <c r="F219" s="1" t="n">
        <v>54.1</v>
      </c>
      <c r="G219" s="1" t="n">
        <v>33.7</v>
      </c>
      <c r="H219" s="1" t="n">
        <v>34.2</v>
      </c>
      <c r="I219" s="1" t="n">
        <v>35.5</v>
      </c>
      <c r="J219" s="1" t="n">
        <v>78.3</v>
      </c>
      <c r="K219" s="22" t="n">
        <v>10.3055929383095</v>
      </c>
      <c r="L219" s="1" t="n">
        <v>10.33</v>
      </c>
      <c r="M219" s="23" t="n">
        <v>0.0244070616905354</v>
      </c>
      <c r="P219" s="12" t="n">
        <v>7</v>
      </c>
      <c r="Q219" s="13" t="s">
        <v>91</v>
      </c>
      <c r="R219" s="13" t="n">
        <v>10.02</v>
      </c>
      <c r="S219" s="13" t="n">
        <v>5.88</v>
      </c>
      <c r="T219" s="13" t="n">
        <v>-0.02</v>
      </c>
      <c r="U219" s="13" t="n">
        <v>-0.43</v>
      </c>
      <c r="V219" s="13" t="n">
        <v>4.65</v>
      </c>
      <c r="W219" s="13" t="n">
        <v>-0.06</v>
      </c>
      <c r="X219" s="13" t="n">
        <v>56.3</v>
      </c>
      <c r="Y219" s="13" t="n">
        <v>20.8</v>
      </c>
      <c r="Z219" s="13" t="n">
        <v>35.5</v>
      </c>
      <c r="AA219" s="13" t="n">
        <v>37.1</v>
      </c>
      <c r="AB219" s="13" t="n">
        <v>79</v>
      </c>
    </row>
    <row r="220" customFormat="false" ht="12.8" hidden="false" customHeight="false" outlineLevel="0" collapsed="false">
      <c r="A220" s="1" t="n">
        <v>5.97</v>
      </c>
      <c r="B220" s="1" t="n">
        <v>0</v>
      </c>
      <c r="C220" s="1" t="n">
        <v>-0.47</v>
      </c>
      <c r="D220" s="1" t="n">
        <v>4.6</v>
      </c>
      <c r="E220" s="1" t="n">
        <v>-0.08</v>
      </c>
      <c r="F220" s="1" t="n">
        <v>61.4</v>
      </c>
      <c r="G220" s="1" t="n">
        <v>18.3</v>
      </c>
      <c r="H220" s="1" t="n">
        <v>33.3</v>
      </c>
      <c r="I220" s="1" t="n">
        <v>35.3</v>
      </c>
      <c r="J220" s="1" t="n">
        <v>79</v>
      </c>
      <c r="K220" s="22" t="n">
        <v>10.0167813175606</v>
      </c>
      <c r="L220" s="1" t="n">
        <v>10.03</v>
      </c>
      <c r="M220" s="23" t="n">
        <v>0.013218682439426</v>
      </c>
      <c r="P220" s="12" t="n">
        <v>7</v>
      </c>
      <c r="Q220" s="13" t="s">
        <v>92</v>
      </c>
      <c r="R220" s="13" t="n">
        <v>10.19</v>
      </c>
      <c r="S220" s="13" t="n">
        <v>6.06</v>
      </c>
      <c r="T220" s="13" t="n">
        <v>-0.08</v>
      </c>
      <c r="U220" s="13" t="n">
        <v>-0.52</v>
      </c>
      <c r="V220" s="13" t="n">
        <v>4.65</v>
      </c>
      <c r="W220" s="13" t="n">
        <v>0.08</v>
      </c>
      <c r="X220" s="13" t="n">
        <v>57.5</v>
      </c>
      <c r="Y220" s="13" t="n">
        <v>17.9</v>
      </c>
      <c r="Z220" s="13" t="n">
        <v>35.2</v>
      </c>
      <c r="AA220" s="13" t="n">
        <v>32.7</v>
      </c>
      <c r="AB220" s="13" t="n">
        <v>79.8</v>
      </c>
    </row>
    <row r="221" customFormat="false" ht="12.8" hidden="false" customHeight="false" outlineLevel="0" collapsed="false">
      <c r="A221" s="1" t="n">
        <v>6.04</v>
      </c>
      <c r="B221" s="1" t="n">
        <v>-0.16</v>
      </c>
      <c r="C221" s="1" t="n">
        <v>-0.4</v>
      </c>
      <c r="D221" s="1" t="n">
        <v>4.6</v>
      </c>
      <c r="E221" s="1" t="n">
        <v>-0.2</v>
      </c>
      <c r="F221" s="1" t="n">
        <v>66.1</v>
      </c>
      <c r="G221" s="1" t="n">
        <v>15.5</v>
      </c>
      <c r="H221" s="1" t="n">
        <v>30.2</v>
      </c>
      <c r="I221" s="1" t="n">
        <v>31.6</v>
      </c>
      <c r="J221" s="1" t="n">
        <v>76.9</v>
      </c>
      <c r="K221" s="22" t="n">
        <v>9.90305116368836</v>
      </c>
      <c r="L221" s="1" t="n">
        <v>9.89</v>
      </c>
      <c r="M221" s="23" t="n">
        <v>-0.0130511636883597</v>
      </c>
      <c r="P221" s="12" t="n">
        <v>7</v>
      </c>
      <c r="Q221" s="13" t="s">
        <v>93</v>
      </c>
      <c r="R221" s="13" t="n">
        <v>9.93</v>
      </c>
      <c r="S221" s="13" t="n">
        <v>6.09</v>
      </c>
      <c r="T221" s="13" t="n">
        <v>-0.16</v>
      </c>
      <c r="U221" s="13" t="n">
        <v>-0.67</v>
      </c>
      <c r="V221" s="13" t="n">
        <v>4.65</v>
      </c>
      <c r="W221" s="13" t="n">
        <v>0</v>
      </c>
      <c r="X221" s="13" t="n">
        <v>58</v>
      </c>
      <c r="Y221" s="13" t="n">
        <v>23.6</v>
      </c>
      <c r="Z221" s="13" t="n">
        <v>33.7</v>
      </c>
      <c r="AA221" s="13" t="n">
        <v>31</v>
      </c>
      <c r="AB221" s="13" t="n">
        <v>84.6</v>
      </c>
    </row>
    <row r="222" customFormat="false" ht="12.8" hidden="false" customHeight="false" outlineLevel="0" collapsed="false">
      <c r="A222" s="1" t="n">
        <v>5.99</v>
      </c>
      <c r="B222" s="1" t="n">
        <v>0.04</v>
      </c>
      <c r="C222" s="1" t="n">
        <v>-0.3</v>
      </c>
      <c r="D222" s="1" t="n">
        <v>4.6</v>
      </c>
      <c r="E222" s="1" t="n">
        <v>0.06</v>
      </c>
      <c r="F222" s="1" t="n">
        <v>55.4</v>
      </c>
      <c r="G222" s="1" t="n">
        <v>19.3</v>
      </c>
      <c r="H222" s="1" t="n">
        <v>34.3</v>
      </c>
      <c r="I222" s="1" t="n">
        <v>36.5</v>
      </c>
      <c r="J222" s="1" t="n">
        <v>82.3</v>
      </c>
      <c r="K222" s="22" t="n">
        <v>10.3844535377535</v>
      </c>
      <c r="L222" s="1" t="n">
        <v>10.35</v>
      </c>
      <c r="M222" s="23" t="n">
        <v>-0.0344535377534942</v>
      </c>
      <c r="P222" s="12" t="n">
        <v>7</v>
      </c>
      <c r="Q222" s="13" t="s">
        <v>94</v>
      </c>
      <c r="R222" s="13" t="n">
        <v>9.94</v>
      </c>
      <c r="S222" s="13" t="n">
        <v>6.24</v>
      </c>
      <c r="T222" s="13" t="n">
        <v>-0.27</v>
      </c>
      <c r="U222" s="13" t="n">
        <v>-0.52</v>
      </c>
      <c r="V222" s="13" t="n">
        <v>4.65</v>
      </c>
      <c r="W222" s="13" t="n">
        <v>-0.06</v>
      </c>
      <c r="X222" s="13" t="n">
        <v>71.5</v>
      </c>
      <c r="Y222" s="13" t="n">
        <v>25.6</v>
      </c>
      <c r="Z222" s="13" t="n">
        <v>33.5</v>
      </c>
      <c r="AA222" s="13" t="n">
        <v>35.8</v>
      </c>
      <c r="AB222" s="13" t="n">
        <v>86.3</v>
      </c>
    </row>
    <row r="223" customFormat="false" ht="12.8" hidden="false" customHeight="false" outlineLevel="0" collapsed="false">
      <c r="A223" s="1" t="n">
        <v>7.07</v>
      </c>
      <c r="B223" s="1" t="n">
        <v>-0.2</v>
      </c>
      <c r="C223" s="1" t="n">
        <v>-0.71</v>
      </c>
      <c r="D223" s="1" t="n">
        <v>4.6</v>
      </c>
      <c r="E223" s="1" t="n">
        <v>-0.16</v>
      </c>
      <c r="F223" s="1" t="n">
        <v>58.9</v>
      </c>
      <c r="G223" s="1" t="n">
        <v>26.2</v>
      </c>
      <c r="H223" s="1" t="n">
        <v>36.4</v>
      </c>
      <c r="I223" s="1" t="n">
        <v>39.1</v>
      </c>
      <c r="J223" s="1" t="n">
        <v>83.3</v>
      </c>
      <c r="K223" s="22" t="n">
        <v>10.5669097897417</v>
      </c>
      <c r="L223" s="1" t="n">
        <v>10.42</v>
      </c>
      <c r="M223" s="23" t="n">
        <v>-0.146909789741668</v>
      </c>
      <c r="P223" s="12" t="n">
        <v>7</v>
      </c>
      <c r="Q223" s="13" t="s">
        <v>95</v>
      </c>
      <c r="R223" s="13" t="n">
        <v>10.17</v>
      </c>
      <c r="S223" s="13" t="n">
        <v>5.66</v>
      </c>
      <c r="T223" s="13" t="n">
        <v>0.06</v>
      </c>
      <c r="U223" s="13" t="n">
        <v>-0.23</v>
      </c>
      <c r="V223" s="13" t="n">
        <v>4.65</v>
      </c>
      <c r="W223" s="13" t="n">
        <v>0.01</v>
      </c>
      <c r="X223" s="13" t="n">
        <v>65</v>
      </c>
      <c r="Y223" s="13" t="n">
        <v>35.6</v>
      </c>
      <c r="Z223" s="13" t="n">
        <v>32.4</v>
      </c>
      <c r="AA223" s="13" t="n">
        <v>38.3</v>
      </c>
      <c r="AB223" s="13" t="n">
        <v>81.8</v>
      </c>
    </row>
    <row r="224" customFormat="false" ht="12.8" hidden="false" customHeight="false" outlineLevel="0" collapsed="false">
      <c r="A224" s="1" t="n">
        <v>6.71</v>
      </c>
      <c r="B224" s="1" t="n">
        <v>-0.24</v>
      </c>
      <c r="C224" s="1" t="n">
        <v>-0.79</v>
      </c>
      <c r="D224" s="1" t="n">
        <v>4.6</v>
      </c>
      <c r="E224" s="1" t="n">
        <v>-0.1</v>
      </c>
      <c r="F224" s="1" t="n">
        <v>57.7</v>
      </c>
      <c r="G224" s="1" t="n">
        <v>26.8</v>
      </c>
      <c r="H224" s="1" t="n">
        <v>35.4</v>
      </c>
      <c r="I224" s="1" t="n">
        <v>34.6</v>
      </c>
      <c r="J224" s="1" t="n">
        <v>83.1</v>
      </c>
      <c r="K224" s="22" t="n">
        <v>10.1506220475423</v>
      </c>
      <c r="L224" s="1" t="n">
        <v>10.17</v>
      </c>
      <c r="M224" s="23" t="n">
        <v>0.0193779524577291</v>
      </c>
      <c r="P224" s="12" t="n">
        <v>7</v>
      </c>
      <c r="Q224" s="13" t="s">
        <v>97</v>
      </c>
      <c r="R224" s="13" t="n">
        <v>9.97</v>
      </c>
      <c r="S224" s="13" t="n">
        <v>5.41</v>
      </c>
      <c r="T224" s="13" t="n">
        <v>0.04</v>
      </c>
      <c r="U224" s="13" t="n">
        <v>-0.14</v>
      </c>
      <c r="V224" s="13" t="n">
        <v>4.65</v>
      </c>
      <c r="W224" s="13" t="n">
        <v>0</v>
      </c>
      <c r="X224" s="13" t="n">
        <v>59.3</v>
      </c>
      <c r="Y224" s="13" t="n">
        <v>21.4</v>
      </c>
      <c r="Z224" s="13" t="n">
        <v>33.4</v>
      </c>
      <c r="AA224" s="13" t="n">
        <v>36.7</v>
      </c>
      <c r="AB224" s="13" t="n">
        <v>81.8</v>
      </c>
    </row>
    <row r="225" customFormat="false" ht="12.8" hidden="false" customHeight="false" outlineLevel="0" collapsed="false">
      <c r="A225" s="1" t="n">
        <v>6.46</v>
      </c>
      <c r="B225" s="1" t="n">
        <v>-0.1</v>
      </c>
      <c r="C225" s="1" t="n">
        <v>-0.61</v>
      </c>
      <c r="D225" s="1" t="n">
        <v>4.6</v>
      </c>
      <c r="E225" s="1" t="n">
        <v>-0.05</v>
      </c>
      <c r="F225" s="1" t="n">
        <v>62.1</v>
      </c>
      <c r="G225" s="1" t="n">
        <v>36.2</v>
      </c>
      <c r="H225" s="1" t="n">
        <v>33.2</v>
      </c>
      <c r="I225" s="1" t="n">
        <v>38.8</v>
      </c>
      <c r="J225" s="1" t="n">
        <v>83.4</v>
      </c>
      <c r="K225" s="22" t="n">
        <v>10.2793863227885</v>
      </c>
      <c r="L225" s="1" t="n">
        <v>10.3</v>
      </c>
      <c r="M225" s="23" t="n">
        <v>0.0206136772114878</v>
      </c>
      <c r="P225" s="12" t="n">
        <v>7</v>
      </c>
      <c r="Q225" s="13" t="s">
        <v>98</v>
      </c>
      <c r="R225" s="13" t="n">
        <v>10.36</v>
      </c>
      <c r="S225" s="13" t="n">
        <v>5.83</v>
      </c>
      <c r="T225" s="13" t="n">
        <v>-0.17</v>
      </c>
      <c r="U225" s="13" t="n">
        <v>-0.1</v>
      </c>
      <c r="V225" s="13" t="n">
        <v>4.65</v>
      </c>
      <c r="W225" s="13" t="n">
        <v>0.14</v>
      </c>
      <c r="X225" s="13" t="n">
        <v>57.1</v>
      </c>
      <c r="Y225" s="13" t="n">
        <v>20.2</v>
      </c>
      <c r="Z225" s="13" t="n">
        <v>34.4</v>
      </c>
      <c r="AA225" s="13" t="n">
        <v>33.7</v>
      </c>
      <c r="AB225" s="13" t="n">
        <v>84.6</v>
      </c>
    </row>
    <row r="226" customFormat="false" ht="12.8" hidden="false" customHeight="false" outlineLevel="0" collapsed="false">
      <c r="A226" s="1" t="n">
        <v>6.54</v>
      </c>
      <c r="B226" s="1" t="n">
        <v>-0.22</v>
      </c>
      <c r="C226" s="1" t="n">
        <v>-0.6</v>
      </c>
      <c r="D226" s="1" t="n">
        <v>4.6</v>
      </c>
      <c r="E226" s="1" t="n">
        <v>-0.08</v>
      </c>
      <c r="F226" s="1" t="n">
        <v>65.5</v>
      </c>
      <c r="G226" s="1" t="n">
        <v>29.4</v>
      </c>
      <c r="H226" s="1" t="n">
        <v>34.1</v>
      </c>
      <c r="I226" s="1" t="n">
        <v>38.2</v>
      </c>
      <c r="J226" s="1" t="n">
        <v>81</v>
      </c>
      <c r="K226" s="22" t="n">
        <v>10.2112871708003</v>
      </c>
      <c r="L226" s="1" t="n">
        <v>10.25</v>
      </c>
      <c r="M226" s="23" t="n">
        <v>0.0387128291997438</v>
      </c>
      <c r="P226" s="12" t="n">
        <v>7</v>
      </c>
      <c r="Q226" s="13" t="s">
        <v>99</v>
      </c>
      <c r="R226" s="13" t="n">
        <v>10.47</v>
      </c>
      <c r="S226" s="13" t="n">
        <v>6.2</v>
      </c>
      <c r="T226" s="13" t="n">
        <v>-0.11</v>
      </c>
      <c r="U226" s="13" t="n">
        <v>-0.36</v>
      </c>
      <c r="V226" s="13" t="n">
        <v>4.65</v>
      </c>
      <c r="W226" s="13" t="n">
        <v>0.11</v>
      </c>
      <c r="X226" s="13" t="n">
        <v>57</v>
      </c>
      <c r="Y226" s="13" t="n">
        <v>27.2</v>
      </c>
      <c r="Z226" s="13" t="n">
        <v>35.8</v>
      </c>
      <c r="AA226" s="13" t="n">
        <v>31.1</v>
      </c>
      <c r="AB226" s="13" t="n">
        <v>77</v>
      </c>
    </row>
    <row r="227" customFormat="false" ht="12.8" hidden="false" customHeight="false" outlineLevel="0" collapsed="false">
      <c r="A227" s="1" t="n">
        <v>6.24</v>
      </c>
      <c r="B227" s="1" t="n">
        <v>-0.12</v>
      </c>
      <c r="C227" s="1" t="n">
        <v>-0.76</v>
      </c>
      <c r="D227" s="1" t="n">
        <v>4.6</v>
      </c>
      <c r="E227" s="1" t="n">
        <v>-0.08</v>
      </c>
      <c r="F227" s="1" t="n">
        <v>56.6</v>
      </c>
      <c r="G227" s="1" t="n">
        <v>19.3</v>
      </c>
      <c r="H227" s="1" t="n">
        <v>34.7</v>
      </c>
      <c r="I227" s="1" t="n">
        <v>36.8</v>
      </c>
      <c r="J227" s="1" t="n">
        <v>84.2</v>
      </c>
      <c r="K227" s="22" t="n">
        <v>9.86521260156919</v>
      </c>
      <c r="L227" s="1" t="n">
        <v>9.85</v>
      </c>
      <c r="M227" s="23" t="n">
        <v>-0.0152126015691874</v>
      </c>
      <c r="P227" s="12" t="n">
        <v>7</v>
      </c>
      <c r="Q227" s="13" t="s">
        <v>100</v>
      </c>
      <c r="R227" s="13" t="n">
        <v>10.21</v>
      </c>
      <c r="S227" s="13" t="n">
        <v>5.99</v>
      </c>
      <c r="T227" s="13" t="n">
        <v>-0.05</v>
      </c>
      <c r="U227" s="13" t="n">
        <v>-0.35</v>
      </c>
      <c r="V227" s="13" t="n">
        <v>4.65</v>
      </c>
      <c r="W227" s="13" t="n">
        <v>-0.04</v>
      </c>
      <c r="X227" s="13" t="n">
        <v>55</v>
      </c>
      <c r="Y227" s="13" t="n">
        <v>34.1</v>
      </c>
      <c r="Z227" s="13" t="n">
        <v>33.5</v>
      </c>
      <c r="AA227" s="13" t="n">
        <v>32.5</v>
      </c>
      <c r="AB227" s="13" t="n">
        <v>80.6</v>
      </c>
    </row>
    <row r="228" customFormat="false" ht="12.8" hidden="false" customHeight="false" outlineLevel="0" collapsed="false">
      <c r="A228" s="1" t="n">
        <v>6.7</v>
      </c>
      <c r="B228" s="1" t="n">
        <v>-0.09</v>
      </c>
      <c r="C228" s="1" t="n">
        <v>-0.9</v>
      </c>
      <c r="D228" s="1" t="n">
        <v>4.6</v>
      </c>
      <c r="E228" s="1" t="n">
        <v>-0.13</v>
      </c>
      <c r="F228" s="1" t="n">
        <v>55.1</v>
      </c>
      <c r="G228" s="1" t="n">
        <v>19.6</v>
      </c>
      <c r="H228" s="1" t="n">
        <v>34.7</v>
      </c>
      <c r="I228" s="1" t="n">
        <v>38.7</v>
      </c>
      <c r="J228" s="1" t="n">
        <v>86.1</v>
      </c>
      <c r="K228" s="22" t="n">
        <v>10.1702249016976</v>
      </c>
      <c r="L228" s="1" t="n">
        <v>10.13</v>
      </c>
      <c r="M228" s="23" t="n">
        <v>-0.0402249016975542</v>
      </c>
      <c r="P228" s="12" t="n">
        <v>7</v>
      </c>
      <c r="Q228" s="13" t="s">
        <v>101</v>
      </c>
      <c r="R228" s="13" t="n">
        <v>10.18</v>
      </c>
      <c r="S228" s="13" t="n">
        <v>5.95</v>
      </c>
      <c r="T228" s="13" t="n">
        <v>-0.01</v>
      </c>
      <c r="U228" s="13" t="n">
        <v>-0.47</v>
      </c>
      <c r="V228" s="13" t="n">
        <v>4.65</v>
      </c>
      <c r="W228" s="13" t="n">
        <v>0.05</v>
      </c>
      <c r="X228" s="13" t="n">
        <v>63</v>
      </c>
      <c r="Y228" s="13" t="n">
        <v>19.2</v>
      </c>
      <c r="Z228" s="13" t="n">
        <v>33.2</v>
      </c>
      <c r="AA228" s="13" t="n">
        <v>33.7</v>
      </c>
      <c r="AB228" s="13" t="n">
        <v>81</v>
      </c>
    </row>
    <row r="229" customFormat="false" ht="12.8" hidden="false" customHeight="false" outlineLevel="0" collapsed="false">
      <c r="A229" s="1" t="n">
        <v>6.59</v>
      </c>
      <c r="B229" s="1" t="n">
        <v>0.17</v>
      </c>
      <c r="C229" s="1" t="n">
        <v>-1.58</v>
      </c>
      <c r="D229" s="1" t="n">
        <v>4.6</v>
      </c>
      <c r="E229" s="1" t="n">
        <v>-0.27</v>
      </c>
      <c r="F229" s="1" t="n">
        <v>60.1</v>
      </c>
      <c r="G229" s="1" t="n">
        <v>24.5</v>
      </c>
      <c r="H229" s="1" t="n">
        <v>34.2</v>
      </c>
      <c r="I229" s="1" t="n">
        <v>35.8</v>
      </c>
      <c r="J229" s="1" t="n">
        <v>89.3</v>
      </c>
      <c r="K229" s="22" t="n">
        <v>9.49041357386088</v>
      </c>
      <c r="L229" s="1" t="n">
        <v>9.52</v>
      </c>
      <c r="M229" s="23" t="n">
        <v>0.029586426139117</v>
      </c>
      <c r="P229" s="12" t="n">
        <v>7</v>
      </c>
      <c r="Q229" s="13" t="s">
        <v>102</v>
      </c>
      <c r="R229" s="13" t="n">
        <v>10.13</v>
      </c>
      <c r="S229" s="13" t="n">
        <v>6.03</v>
      </c>
      <c r="T229" s="13" t="n">
        <v>-0.17</v>
      </c>
      <c r="U229" s="13" t="n">
        <v>-0.39</v>
      </c>
      <c r="V229" s="13" t="n">
        <v>4.65</v>
      </c>
      <c r="W229" s="13" t="n">
        <v>-0.01</v>
      </c>
      <c r="X229" s="13" t="n">
        <v>68</v>
      </c>
      <c r="Y229" s="13" t="n">
        <v>17.1</v>
      </c>
      <c r="Z229" s="13" t="n">
        <v>31</v>
      </c>
      <c r="AA229" s="13" t="n">
        <v>29.9</v>
      </c>
      <c r="AB229" s="13" t="n">
        <v>79.1</v>
      </c>
    </row>
    <row r="230" customFormat="false" ht="12.8" hidden="false" customHeight="false" outlineLevel="0" collapsed="false">
      <c r="A230" s="1" t="n">
        <v>6.21</v>
      </c>
      <c r="B230" s="1" t="n">
        <v>-0.33</v>
      </c>
      <c r="C230" s="1" t="n">
        <v>-0.22</v>
      </c>
      <c r="D230" s="1" t="n">
        <v>4.65</v>
      </c>
      <c r="E230" s="1" t="n">
        <v>-0.02</v>
      </c>
      <c r="F230" s="1" t="n">
        <v>53.5</v>
      </c>
      <c r="G230" s="1" t="n">
        <v>13.5</v>
      </c>
      <c r="H230" s="1" t="n">
        <v>32.4</v>
      </c>
      <c r="I230" s="1" t="n">
        <v>32.6</v>
      </c>
      <c r="J230" s="1" t="n">
        <v>84.4</v>
      </c>
      <c r="K230" s="22" t="n">
        <v>10.3064390445411</v>
      </c>
      <c r="L230" s="1" t="n">
        <v>10.31</v>
      </c>
      <c r="M230" s="23" t="n">
        <v>0.00356095545894064</v>
      </c>
      <c r="P230" s="12" t="n">
        <v>7</v>
      </c>
      <c r="Q230" s="13" t="s">
        <v>103</v>
      </c>
      <c r="R230" s="13" t="n">
        <v>10.31</v>
      </c>
      <c r="S230" s="13" t="n">
        <v>5.9</v>
      </c>
      <c r="T230" s="13" t="n">
        <v>0.04</v>
      </c>
      <c r="U230" s="13" t="n">
        <v>-0.29</v>
      </c>
      <c r="V230" s="13" t="n">
        <v>4.65</v>
      </c>
      <c r="W230" s="13" t="n">
        <v>0</v>
      </c>
      <c r="X230" s="13" t="n">
        <v>57.9</v>
      </c>
      <c r="Y230" s="13" t="n">
        <v>21.5</v>
      </c>
      <c r="Z230" s="13" t="n">
        <v>34.1</v>
      </c>
      <c r="AA230" s="13" t="n">
        <v>33.3</v>
      </c>
      <c r="AB230" s="13" t="n">
        <v>83.9</v>
      </c>
    </row>
    <row r="231" customFormat="false" ht="12.8" hidden="false" customHeight="false" outlineLevel="0" collapsed="false">
      <c r="A231" s="1" t="n">
        <v>6.35</v>
      </c>
      <c r="B231" s="1" t="n">
        <v>-0.37</v>
      </c>
      <c r="C231" s="1" t="n">
        <v>-0.79</v>
      </c>
      <c r="D231" s="1" t="n">
        <v>4.65</v>
      </c>
      <c r="E231" s="1" t="n">
        <v>-0.01</v>
      </c>
      <c r="F231" s="1" t="n">
        <v>61.4</v>
      </c>
      <c r="G231" s="1" t="n">
        <v>28.4</v>
      </c>
      <c r="H231" s="1" t="n">
        <v>33.5</v>
      </c>
      <c r="I231" s="1" t="n">
        <v>34.2</v>
      </c>
      <c r="J231" s="1" t="n">
        <v>84.8</v>
      </c>
      <c r="K231" s="22" t="n">
        <v>9.80259366894562</v>
      </c>
      <c r="L231" s="1" t="n">
        <v>9.85</v>
      </c>
      <c r="M231" s="23" t="n">
        <v>0.0474063310543844</v>
      </c>
      <c r="P231" s="12" t="n">
        <v>7</v>
      </c>
      <c r="Q231" s="13" t="s">
        <v>104</v>
      </c>
      <c r="R231" s="13" t="n">
        <v>10.78</v>
      </c>
      <c r="S231" s="13" t="n">
        <v>6.93</v>
      </c>
      <c r="T231" s="13" t="n">
        <v>-0.19</v>
      </c>
      <c r="U231" s="13" t="n">
        <v>-0.68</v>
      </c>
      <c r="V231" s="13" t="n">
        <v>4.65</v>
      </c>
      <c r="W231" s="13" t="n">
        <v>0.06</v>
      </c>
      <c r="X231" s="13" t="n">
        <v>58.9</v>
      </c>
      <c r="Y231" s="13" t="n">
        <v>24.8</v>
      </c>
      <c r="Z231" s="13" t="n">
        <v>34.5</v>
      </c>
      <c r="AA231" s="13" t="n">
        <v>34.8</v>
      </c>
      <c r="AB231" s="13" t="n">
        <v>85.1</v>
      </c>
    </row>
    <row r="232" customFormat="false" ht="12.8" hidden="false" customHeight="false" outlineLevel="0" collapsed="false">
      <c r="A232" s="1" t="n">
        <v>5.99</v>
      </c>
      <c r="B232" s="1" t="n">
        <v>-0.35</v>
      </c>
      <c r="C232" s="1" t="n">
        <v>-0.62</v>
      </c>
      <c r="D232" s="1" t="n">
        <v>4.65</v>
      </c>
      <c r="E232" s="1" t="n">
        <v>-0.07</v>
      </c>
      <c r="F232" s="1" t="n">
        <v>63.7</v>
      </c>
      <c r="G232" s="1" t="n">
        <v>22.2</v>
      </c>
      <c r="H232" s="1" t="n">
        <v>34</v>
      </c>
      <c r="I232" s="1" t="n">
        <v>31.4</v>
      </c>
      <c r="J232" s="1" t="n">
        <v>87.1</v>
      </c>
      <c r="K232" s="22" t="n">
        <v>9.57187916425086</v>
      </c>
      <c r="L232" s="1" t="n">
        <v>9.62</v>
      </c>
      <c r="M232" s="23" t="n">
        <v>0.0481208357491418</v>
      </c>
      <c r="P232" s="12" t="n">
        <v>7</v>
      </c>
      <c r="Q232" s="13" t="s">
        <v>105</v>
      </c>
      <c r="R232" s="13" t="n">
        <v>10.41</v>
      </c>
      <c r="S232" s="13" t="n">
        <v>6.7</v>
      </c>
      <c r="T232" s="13" t="n">
        <v>-0.27</v>
      </c>
      <c r="U232" s="13" t="n">
        <v>-0.76</v>
      </c>
      <c r="V232" s="13" t="n">
        <v>4.65</v>
      </c>
      <c r="W232" s="13" t="n">
        <v>0.07</v>
      </c>
      <c r="X232" s="13" t="n">
        <v>59.3</v>
      </c>
      <c r="Y232" s="13" t="n">
        <v>25.6</v>
      </c>
      <c r="Z232" s="13" t="n">
        <v>34.5</v>
      </c>
      <c r="AA232" s="13" t="n">
        <v>33.8</v>
      </c>
      <c r="AB232" s="13" t="n">
        <v>84.7</v>
      </c>
    </row>
    <row r="233" customFormat="false" ht="12.8" hidden="false" customHeight="false" outlineLevel="0" collapsed="false">
      <c r="A233" s="1" t="n">
        <v>5.91</v>
      </c>
      <c r="B233" s="1" t="n">
        <v>-0.16</v>
      </c>
      <c r="C233" s="1" t="n">
        <v>-0.33</v>
      </c>
      <c r="D233" s="1" t="n">
        <v>4.65</v>
      </c>
      <c r="E233" s="1" t="n">
        <v>0.03</v>
      </c>
      <c r="F233" s="1" t="n">
        <v>64.1</v>
      </c>
      <c r="G233" s="1" t="n">
        <v>24.4</v>
      </c>
      <c r="H233" s="1" t="n">
        <v>32.5</v>
      </c>
      <c r="I233" s="1" t="n">
        <v>33.4</v>
      </c>
      <c r="J233" s="1" t="n">
        <v>86</v>
      </c>
      <c r="K233" s="22" t="n">
        <v>10.0878506447451</v>
      </c>
      <c r="L233" s="1" t="n">
        <v>10.11</v>
      </c>
      <c r="M233" s="23" t="n">
        <v>0.0221493552549248</v>
      </c>
      <c r="P233" s="12" t="n">
        <v>7</v>
      </c>
      <c r="Q233" s="13" t="s">
        <v>106</v>
      </c>
      <c r="R233" s="13" t="n">
        <v>10.12</v>
      </c>
      <c r="S233" s="13" t="n">
        <v>6.34</v>
      </c>
      <c r="T233" s="13" t="n">
        <v>-0.1</v>
      </c>
      <c r="U233" s="13" t="n">
        <v>-0.6</v>
      </c>
      <c r="V233" s="13" t="n">
        <v>4.65</v>
      </c>
      <c r="W233" s="13" t="n">
        <v>-0.03</v>
      </c>
      <c r="X233" s="13" t="n">
        <v>64.1</v>
      </c>
      <c r="Y233" s="13" t="n">
        <v>38.3</v>
      </c>
      <c r="Z233" s="13" t="n">
        <v>34</v>
      </c>
      <c r="AA233" s="13" t="n">
        <v>38.9</v>
      </c>
      <c r="AB233" s="13" t="n">
        <v>85.1</v>
      </c>
    </row>
    <row r="234" customFormat="false" ht="12.8" hidden="false" customHeight="false" outlineLevel="0" collapsed="false">
      <c r="A234" s="1" t="n">
        <v>6.72</v>
      </c>
      <c r="B234" s="1" t="n">
        <v>-0.63</v>
      </c>
      <c r="C234" s="1" t="n">
        <v>-0.72</v>
      </c>
      <c r="D234" s="1" t="n">
        <v>4.65</v>
      </c>
      <c r="E234" s="1" t="n">
        <v>-0.01</v>
      </c>
      <c r="F234" s="1" t="n">
        <v>62.9</v>
      </c>
      <c r="G234" s="1" t="n">
        <v>32.3</v>
      </c>
      <c r="H234" s="1" t="n">
        <v>33</v>
      </c>
      <c r="I234" s="1" t="n">
        <v>37.9</v>
      </c>
      <c r="J234" s="1" t="n">
        <v>85.1</v>
      </c>
      <c r="K234" s="22" t="n">
        <v>9.98109650424672</v>
      </c>
      <c r="L234" s="1" t="n">
        <v>10.01</v>
      </c>
      <c r="M234" s="23" t="n">
        <v>0.0289034957532852</v>
      </c>
      <c r="P234" s="12" t="n">
        <v>7</v>
      </c>
      <c r="Q234" s="13" t="s">
        <v>107</v>
      </c>
      <c r="R234" s="13" t="n">
        <v>10.25</v>
      </c>
      <c r="S234" s="13" t="n">
        <v>6.41</v>
      </c>
      <c r="T234" s="13" t="n">
        <v>-0.22</v>
      </c>
      <c r="U234" s="13" t="n">
        <v>-0.57</v>
      </c>
      <c r="V234" s="13" t="n">
        <v>4.65</v>
      </c>
      <c r="W234" s="13" t="n">
        <v>0.02</v>
      </c>
      <c r="X234" s="13" t="n">
        <v>66.6</v>
      </c>
      <c r="Y234" s="13" t="n">
        <v>30.8</v>
      </c>
      <c r="Z234" s="13" t="n">
        <v>34.3</v>
      </c>
      <c r="AA234" s="13" t="n">
        <v>37.5</v>
      </c>
      <c r="AB234" s="13" t="n">
        <v>82.8</v>
      </c>
    </row>
    <row r="235" customFormat="false" ht="12.8" hidden="false" customHeight="false" outlineLevel="0" collapsed="false">
      <c r="A235" s="1" t="n">
        <v>6.12</v>
      </c>
      <c r="B235" s="1" t="n">
        <v>-0.31</v>
      </c>
      <c r="C235" s="1" t="n">
        <v>-0.49</v>
      </c>
      <c r="D235" s="1" t="n">
        <v>4.65</v>
      </c>
      <c r="E235" s="1" t="n">
        <v>-0.06</v>
      </c>
      <c r="F235" s="1" t="n">
        <v>77.9</v>
      </c>
      <c r="G235" s="1" t="n">
        <v>29.1</v>
      </c>
      <c r="H235" s="1" t="n">
        <v>33.7</v>
      </c>
      <c r="I235" s="1" t="n">
        <v>37.4</v>
      </c>
      <c r="J235" s="1" t="n">
        <v>87.1</v>
      </c>
      <c r="K235" s="22" t="n">
        <v>9.86155900682037</v>
      </c>
      <c r="L235" s="1" t="n">
        <v>9.75</v>
      </c>
      <c r="M235" s="23" t="n">
        <v>-0.11155900682037</v>
      </c>
      <c r="P235" s="12" t="n">
        <v>7</v>
      </c>
      <c r="Q235" s="13" t="s">
        <v>108</v>
      </c>
      <c r="R235" s="13" t="n">
        <v>10.09</v>
      </c>
      <c r="S235" s="13" t="n">
        <v>6.21</v>
      </c>
      <c r="T235" s="13" t="n">
        <v>-0.13</v>
      </c>
      <c r="U235" s="13" t="n">
        <v>-0.75</v>
      </c>
      <c r="V235" s="13" t="n">
        <v>4.65</v>
      </c>
      <c r="W235" s="13" t="n">
        <v>0.15</v>
      </c>
      <c r="X235" s="13" t="n">
        <v>60.1</v>
      </c>
      <c r="Y235" s="13" t="n">
        <v>20.7</v>
      </c>
      <c r="Z235" s="13" t="n">
        <v>34.5</v>
      </c>
      <c r="AA235" s="13" t="n">
        <v>34.1</v>
      </c>
      <c r="AB235" s="13" t="n">
        <v>85.9</v>
      </c>
    </row>
    <row r="236" customFormat="false" ht="12.8" hidden="false" customHeight="false" outlineLevel="0" collapsed="false">
      <c r="A236" s="1" t="n">
        <v>5.43</v>
      </c>
      <c r="B236" s="1" t="n">
        <v>-0.2</v>
      </c>
      <c r="C236" s="1" t="n">
        <v>-0.28</v>
      </c>
      <c r="D236" s="1" t="n">
        <v>4.65</v>
      </c>
      <c r="E236" s="1" t="n">
        <v>0.01</v>
      </c>
      <c r="F236" s="1" t="n">
        <v>59.8</v>
      </c>
      <c r="G236" s="1" t="n">
        <v>27.9</v>
      </c>
      <c r="H236" s="1" t="n">
        <v>33.8</v>
      </c>
      <c r="I236" s="1" t="n">
        <v>31.3</v>
      </c>
      <c r="J236" s="1" t="n">
        <v>84.8</v>
      </c>
      <c r="K236" s="22" t="n">
        <v>9.58665723939411</v>
      </c>
      <c r="L236" s="1" t="n">
        <v>9.62</v>
      </c>
      <c r="M236" s="23" t="n">
        <v>0.0333427606058923</v>
      </c>
      <c r="P236" s="12" t="n">
        <v>7</v>
      </c>
      <c r="Q236" s="13" t="s">
        <v>109</v>
      </c>
      <c r="R236" s="13" t="n">
        <v>10.31</v>
      </c>
      <c r="S236" s="13" t="n">
        <v>6.65</v>
      </c>
      <c r="T236" s="13" t="n">
        <v>-0.12</v>
      </c>
      <c r="U236" s="13" t="n">
        <v>-0.9</v>
      </c>
      <c r="V236" s="13" t="n">
        <v>4.65</v>
      </c>
      <c r="W236" s="13" t="n">
        <v>0.01</v>
      </c>
      <c r="X236" s="13" t="n">
        <v>51.6</v>
      </c>
      <c r="Y236" s="13" t="n">
        <v>21.5</v>
      </c>
      <c r="Z236" s="13" t="n">
        <v>34.1</v>
      </c>
      <c r="AA236" s="13" t="n">
        <v>39</v>
      </c>
      <c r="AB236" s="13" t="n">
        <v>87.5</v>
      </c>
    </row>
    <row r="237" customFormat="false" ht="12.8" hidden="false" customHeight="false" outlineLevel="0" collapsed="false">
      <c r="A237" s="1" t="n">
        <v>5.07</v>
      </c>
      <c r="B237" s="1" t="n">
        <v>-0.04</v>
      </c>
      <c r="C237" s="1" t="n">
        <v>0.02</v>
      </c>
      <c r="D237" s="1" t="n">
        <v>4.65</v>
      </c>
      <c r="E237" s="1" t="n">
        <v>-0.04</v>
      </c>
      <c r="F237" s="1" t="n">
        <v>55.7</v>
      </c>
      <c r="G237" s="1" t="n">
        <v>17.2</v>
      </c>
      <c r="H237" s="1" t="n">
        <v>32.1</v>
      </c>
      <c r="I237" s="1" t="n">
        <v>32.2</v>
      </c>
      <c r="J237" s="1" t="n">
        <v>82.7</v>
      </c>
      <c r="K237" s="22" t="n">
        <v>9.67551692048982</v>
      </c>
      <c r="L237" s="1" t="n">
        <v>9.67</v>
      </c>
      <c r="M237" s="23" t="n">
        <v>-0.005516920489816</v>
      </c>
      <c r="P237" s="12" t="n">
        <v>7</v>
      </c>
      <c r="Q237" s="13" t="s">
        <v>110</v>
      </c>
      <c r="R237" s="13" t="n">
        <v>9.44</v>
      </c>
      <c r="S237" s="13" t="n">
        <v>6.41</v>
      </c>
      <c r="T237" s="13" t="n">
        <v>0.11</v>
      </c>
      <c r="U237" s="13" t="n">
        <v>-1.48</v>
      </c>
      <c r="V237" s="13" t="n">
        <v>4.65</v>
      </c>
      <c r="W237" s="13" t="n">
        <v>-0.25</v>
      </c>
      <c r="X237" s="13" t="n">
        <v>60.2</v>
      </c>
      <c r="Y237" s="13" t="n">
        <v>28.8</v>
      </c>
      <c r="Z237" s="13" t="n">
        <v>33.9</v>
      </c>
      <c r="AA237" s="13" t="n">
        <v>33.9</v>
      </c>
      <c r="AB237" s="13" t="n">
        <v>90.1</v>
      </c>
    </row>
    <row r="238" customFormat="false" ht="12.8" hidden="false" customHeight="false" outlineLevel="0" collapsed="false">
      <c r="A238" s="1" t="n">
        <v>5.38</v>
      </c>
      <c r="B238" s="1" t="n">
        <v>-0.08</v>
      </c>
      <c r="C238" s="1" t="n">
        <v>-0.09</v>
      </c>
      <c r="D238" s="1" t="n">
        <v>4.65</v>
      </c>
      <c r="E238" s="1" t="n">
        <v>-0.06</v>
      </c>
      <c r="F238" s="1" t="n">
        <v>61.7</v>
      </c>
      <c r="G238" s="1" t="n">
        <v>27.6</v>
      </c>
      <c r="H238" s="1" t="n">
        <v>33.6</v>
      </c>
      <c r="I238" s="1" t="n">
        <v>34.6</v>
      </c>
      <c r="J238" s="1" t="n">
        <v>83.1</v>
      </c>
      <c r="K238" s="22" t="n">
        <v>9.78376102633349</v>
      </c>
      <c r="L238" s="1" t="n">
        <v>9.82</v>
      </c>
      <c r="M238" s="23" t="n">
        <v>0.0362389736665119</v>
      </c>
      <c r="P238" s="12" t="n">
        <v>8</v>
      </c>
      <c r="Q238" s="13" t="s">
        <v>42</v>
      </c>
      <c r="R238" s="13" t="n">
        <v>10.28</v>
      </c>
      <c r="S238" s="13" t="n">
        <v>6.21</v>
      </c>
      <c r="T238" s="13" t="n">
        <v>-0.33</v>
      </c>
      <c r="U238" s="13" t="n">
        <v>-0.19</v>
      </c>
      <c r="V238" s="13" t="n">
        <v>4.55</v>
      </c>
      <c r="W238" s="13" t="n">
        <v>0.03</v>
      </c>
      <c r="X238" s="13" t="n">
        <v>56.1</v>
      </c>
      <c r="Y238" s="13" t="n">
        <v>16</v>
      </c>
      <c r="Z238" s="13" t="n">
        <v>32.2</v>
      </c>
      <c r="AA238" s="13" t="n">
        <v>33.3</v>
      </c>
      <c r="AB238" s="13" t="n">
        <v>87.9</v>
      </c>
    </row>
    <row r="239" customFormat="false" ht="12.8" hidden="false" customHeight="false" outlineLevel="0" collapsed="false">
      <c r="A239" s="1" t="n">
        <v>5.2</v>
      </c>
      <c r="B239" s="1" t="n">
        <v>-0.02</v>
      </c>
      <c r="C239" s="1" t="n">
        <v>-0.08</v>
      </c>
      <c r="D239" s="1" t="n">
        <v>4.65</v>
      </c>
      <c r="E239" s="1" t="n">
        <v>0.01</v>
      </c>
      <c r="F239" s="1" t="n">
        <v>55.5</v>
      </c>
      <c r="G239" s="1" t="n">
        <v>14.5</v>
      </c>
      <c r="H239" s="1" t="n">
        <v>32.3</v>
      </c>
      <c r="I239" s="1" t="n">
        <v>32.6</v>
      </c>
      <c r="J239" s="1" t="n">
        <v>83.8</v>
      </c>
      <c r="K239" s="22" t="n">
        <v>9.77430138745971</v>
      </c>
      <c r="L239" s="1" t="n">
        <v>9.77</v>
      </c>
      <c r="M239" s="23" t="n">
        <v>-0.00430138745971043</v>
      </c>
      <c r="P239" s="12" t="n">
        <v>8</v>
      </c>
      <c r="Q239" s="13" t="s">
        <v>45</v>
      </c>
      <c r="R239" s="13" t="n">
        <v>9.85</v>
      </c>
      <c r="S239" s="13" t="n">
        <v>6.38</v>
      </c>
      <c r="T239" s="13" t="n">
        <v>-0.41</v>
      </c>
      <c r="U239" s="13" t="n">
        <v>-0.77</v>
      </c>
      <c r="V239" s="13" t="n">
        <v>4.55</v>
      </c>
      <c r="W239" s="13" t="n">
        <v>0.11</v>
      </c>
      <c r="X239" s="13" t="n">
        <v>63.2</v>
      </c>
      <c r="Y239" s="13" t="n">
        <v>29.2</v>
      </c>
      <c r="Z239" s="13" t="n">
        <v>31.6</v>
      </c>
      <c r="AA239" s="13" t="n">
        <v>32.9</v>
      </c>
      <c r="AB239" s="13" t="n">
        <v>88.4</v>
      </c>
    </row>
    <row r="240" customFormat="false" ht="12.8" hidden="false" customHeight="false" outlineLevel="0" collapsed="false">
      <c r="A240" s="1" t="n">
        <v>5.02</v>
      </c>
      <c r="B240" s="1" t="n">
        <v>-0.01</v>
      </c>
      <c r="C240" s="1" t="n">
        <v>0.11</v>
      </c>
      <c r="D240" s="1" t="n">
        <v>4.65</v>
      </c>
      <c r="E240" s="1" t="n">
        <v>-0.02</v>
      </c>
      <c r="F240" s="1" t="n">
        <v>48.1</v>
      </c>
      <c r="G240" s="1" t="n">
        <v>9.7</v>
      </c>
      <c r="H240" s="1" t="n">
        <v>33.2</v>
      </c>
      <c r="I240" s="1" t="n">
        <v>30.5</v>
      </c>
      <c r="J240" s="1" t="n">
        <v>83.5</v>
      </c>
      <c r="K240" s="22" t="n">
        <v>9.77380243933381</v>
      </c>
      <c r="L240" s="1" t="n">
        <v>9.76</v>
      </c>
      <c r="M240" s="23" t="n">
        <v>-0.0138024393338139</v>
      </c>
      <c r="P240" s="12" t="n">
        <v>8</v>
      </c>
      <c r="Q240" s="13" t="s">
        <v>46</v>
      </c>
      <c r="R240" s="13" t="n">
        <v>9.51</v>
      </c>
      <c r="S240" s="13" t="n">
        <v>6.02</v>
      </c>
      <c r="T240" s="13" t="n">
        <v>-0.37</v>
      </c>
      <c r="U240" s="13" t="n">
        <v>-0.64</v>
      </c>
      <c r="V240" s="13" t="n">
        <v>4.55</v>
      </c>
      <c r="W240" s="13" t="n">
        <v>-0.06</v>
      </c>
      <c r="X240" s="13" t="n">
        <v>65.7</v>
      </c>
      <c r="Y240" s="13" t="n">
        <v>21.8</v>
      </c>
      <c r="Z240" s="13" t="n">
        <v>33.2</v>
      </c>
      <c r="AA240" s="13" t="n">
        <v>32.8</v>
      </c>
      <c r="AB240" s="13" t="n">
        <v>90.2</v>
      </c>
    </row>
    <row r="241" customFormat="false" ht="12.8" hidden="false" customHeight="false" outlineLevel="0" collapsed="false">
      <c r="A241" s="1" t="n">
        <v>5.1</v>
      </c>
      <c r="B241" s="1" t="n">
        <v>-0.06</v>
      </c>
      <c r="C241" s="1" t="n">
        <v>0.11</v>
      </c>
      <c r="D241" s="1" t="n">
        <v>4.65</v>
      </c>
      <c r="E241" s="1" t="n">
        <v>-0.02</v>
      </c>
      <c r="F241" s="1" t="n">
        <v>47.7</v>
      </c>
      <c r="G241" s="1" t="n">
        <v>16</v>
      </c>
      <c r="H241" s="1" t="n">
        <v>33.5</v>
      </c>
      <c r="I241" s="1" t="n">
        <v>32.2</v>
      </c>
      <c r="J241" s="1" t="n">
        <v>83.4</v>
      </c>
      <c r="K241" s="22" t="n">
        <v>9.79604011337015</v>
      </c>
      <c r="L241" s="1" t="n">
        <v>9.79</v>
      </c>
      <c r="M241" s="23" t="n">
        <v>-0.00604011337014754</v>
      </c>
      <c r="P241" s="12" t="n">
        <v>8</v>
      </c>
      <c r="Q241" s="13" t="s">
        <v>48</v>
      </c>
      <c r="R241" s="13" t="n">
        <v>10.1</v>
      </c>
      <c r="S241" s="13" t="n">
        <v>5.99</v>
      </c>
      <c r="T241" s="13" t="n">
        <v>-0.16</v>
      </c>
      <c r="U241" s="13" t="n">
        <v>-0.35</v>
      </c>
      <c r="V241" s="13" t="n">
        <v>4.55</v>
      </c>
      <c r="W241" s="13" t="n">
        <v>0.06</v>
      </c>
      <c r="X241" s="13" t="n">
        <v>65.8</v>
      </c>
      <c r="Y241" s="13" t="n">
        <v>26.6</v>
      </c>
      <c r="Z241" s="13" t="n">
        <v>32.2</v>
      </c>
      <c r="AA241" s="13" t="n">
        <v>33.9</v>
      </c>
      <c r="AB241" s="13" t="n">
        <v>89.4</v>
      </c>
    </row>
    <row r="242" customFormat="false" ht="12.8" hidden="false" customHeight="false" outlineLevel="0" collapsed="false">
      <c r="A242" s="1" t="n">
        <v>4.46</v>
      </c>
      <c r="B242" s="1" t="n">
        <v>0.17</v>
      </c>
      <c r="C242" s="1" t="n">
        <v>0.63</v>
      </c>
      <c r="D242" s="1" t="n">
        <v>4.65</v>
      </c>
      <c r="E242" s="1" t="n">
        <v>-0.01</v>
      </c>
      <c r="F242" s="1" t="n">
        <v>53.8</v>
      </c>
      <c r="G242" s="1" t="n">
        <v>11.6</v>
      </c>
      <c r="H242" s="1" t="n">
        <v>34.4</v>
      </c>
      <c r="I242" s="1" t="n">
        <v>32</v>
      </c>
      <c r="J242" s="1" t="n">
        <v>82.3</v>
      </c>
      <c r="K242" s="22" t="n">
        <v>9.91003910240216</v>
      </c>
      <c r="L242" s="1" t="n">
        <v>9.91</v>
      </c>
      <c r="M242" s="23" t="n">
        <v>-3.91024021588748E-005</v>
      </c>
      <c r="P242" s="12" t="n">
        <v>8</v>
      </c>
      <c r="Q242" s="13" t="s">
        <v>49</v>
      </c>
      <c r="R242" s="13" t="n">
        <v>10.01</v>
      </c>
      <c r="S242" s="13" t="n">
        <v>6.81</v>
      </c>
      <c r="T242" s="13" t="n">
        <v>-0.66</v>
      </c>
      <c r="U242" s="13" t="n">
        <v>-0.69</v>
      </c>
      <c r="V242" s="13" t="n">
        <v>4.55</v>
      </c>
      <c r="W242" s="13" t="n">
        <v>0.04</v>
      </c>
      <c r="X242" s="13" t="n">
        <v>64.3</v>
      </c>
      <c r="Y242" s="13" t="n">
        <v>32.8</v>
      </c>
      <c r="Z242" s="13" t="n">
        <v>34</v>
      </c>
      <c r="AA242" s="13" t="n">
        <v>36</v>
      </c>
      <c r="AB242" s="13" t="n">
        <v>88.6</v>
      </c>
    </row>
    <row r="243" customFormat="false" ht="12.8" hidden="false" customHeight="false" outlineLevel="0" collapsed="false">
      <c r="A243" s="1" t="n">
        <v>5</v>
      </c>
      <c r="B243" s="1" t="n">
        <v>-0.06</v>
      </c>
      <c r="C243" s="1" t="n">
        <v>0.36</v>
      </c>
      <c r="D243" s="1" t="n">
        <v>4.65</v>
      </c>
      <c r="E243" s="1" t="n">
        <v>-0.04</v>
      </c>
      <c r="F243" s="1" t="n">
        <v>48.2</v>
      </c>
      <c r="G243" s="1" t="n">
        <v>13.5</v>
      </c>
      <c r="H243" s="1" t="n">
        <v>33.4</v>
      </c>
      <c r="I243" s="1" t="n">
        <v>31.9</v>
      </c>
      <c r="J243" s="1" t="n">
        <v>82.6</v>
      </c>
      <c r="K243" s="22" t="n">
        <v>9.9322247384042</v>
      </c>
      <c r="L243" s="1" t="n">
        <v>9.92</v>
      </c>
      <c r="M243" s="23" t="n">
        <v>-0.012224738404198</v>
      </c>
      <c r="P243" s="12" t="n">
        <v>8</v>
      </c>
      <c r="Q243" s="13" t="s">
        <v>50</v>
      </c>
      <c r="R243" s="13" t="n">
        <v>9.75</v>
      </c>
      <c r="S243" s="13" t="n">
        <v>6.15</v>
      </c>
      <c r="T243" s="13" t="n">
        <v>-0.33</v>
      </c>
      <c r="U243" s="13" t="n">
        <v>-0.5</v>
      </c>
      <c r="V243" s="13" t="n">
        <v>4.55</v>
      </c>
      <c r="W243" s="13" t="n">
        <v>-0.04</v>
      </c>
      <c r="X243" s="13" t="n">
        <v>79.2</v>
      </c>
      <c r="Y243" s="13" t="n">
        <v>30.6</v>
      </c>
      <c r="Z243" s="13" t="n">
        <v>33</v>
      </c>
      <c r="AA243" s="13" t="n">
        <v>35.8</v>
      </c>
      <c r="AB243" s="13" t="n">
        <v>90.2</v>
      </c>
    </row>
    <row r="244" customFormat="false" ht="12.8" hidden="false" customHeight="false" outlineLevel="0" collapsed="false">
      <c r="A244" s="1" t="n">
        <v>5.32</v>
      </c>
      <c r="B244" s="1" t="n">
        <v>-0.15</v>
      </c>
      <c r="C244" s="1" t="n">
        <v>-0.31</v>
      </c>
      <c r="D244" s="1" t="n">
        <v>4.65</v>
      </c>
      <c r="E244" s="1" t="n">
        <v>0.08</v>
      </c>
      <c r="F244" s="1" t="n">
        <v>70.4</v>
      </c>
      <c r="G244" s="1" t="n">
        <v>24.2</v>
      </c>
      <c r="H244" s="1" t="n">
        <v>34.2</v>
      </c>
      <c r="I244" s="1" t="n">
        <v>36.1</v>
      </c>
      <c r="J244" s="1" t="n">
        <v>84.8</v>
      </c>
      <c r="K244" s="22" t="n">
        <v>9.54877705872143</v>
      </c>
      <c r="L244" s="1" t="n">
        <v>9.55</v>
      </c>
      <c r="M244" s="23" t="n">
        <v>0.00122294127857536</v>
      </c>
      <c r="P244" s="12" t="n">
        <v>8</v>
      </c>
      <c r="Q244" s="13" t="s">
        <v>51</v>
      </c>
      <c r="R244" s="13" t="n">
        <v>9.5</v>
      </c>
      <c r="S244" s="13" t="n">
        <v>5.48</v>
      </c>
      <c r="T244" s="13" t="n">
        <v>-0.21</v>
      </c>
      <c r="U244" s="13" t="n">
        <v>-0.32</v>
      </c>
      <c r="V244" s="13" t="n">
        <v>4.55</v>
      </c>
      <c r="W244" s="13" t="n">
        <v>0.02</v>
      </c>
      <c r="X244" s="13" t="n">
        <v>62.8</v>
      </c>
      <c r="Y244" s="13" t="n">
        <v>25.8</v>
      </c>
      <c r="Z244" s="13" t="n">
        <v>33.5</v>
      </c>
      <c r="AA244" s="13" t="n">
        <v>32.2</v>
      </c>
      <c r="AB244" s="13" t="n">
        <v>88.7</v>
      </c>
    </row>
    <row r="245" customFormat="false" ht="12.8" hidden="false" customHeight="false" outlineLevel="0" collapsed="false">
      <c r="A245" s="1" t="n">
        <v>4.95</v>
      </c>
      <c r="B245" s="1" t="n">
        <v>-0.07</v>
      </c>
      <c r="C245" s="1" t="n">
        <v>0.11</v>
      </c>
      <c r="D245" s="1" t="n">
        <v>4.65</v>
      </c>
      <c r="E245" s="1" t="n">
        <v>0.04</v>
      </c>
      <c r="F245" s="1" t="n">
        <v>72.3</v>
      </c>
      <c r="G245" s="1" t="n">
        <v>33.2</v>
      </c>
      <c r="H245" s="1" t="n">
        <v>33.1</v>
      </c>
      <c r="I245" s="1" t="n">
        <v>38.5</v>
      </c>
      <c r="J245" s="1" t="n">
        <v>83.8</v>
      </c>
      <c r="K245" s="22" t="n">
        <v>9.64581253501524</v>
      </c>
      <c r="L245" s="1" t="n">
        <v>9.65</v>
      </c>
      <c r="M245" s="23" t="n">
        <v>0.0041874649847653</v>
      </c>
      <c r="P245" s="12" t="n">
        <v>8</v>
      </c>
      <c r="Q245" s="13" t="s">
        <v>52</v>
      </c>
      <c r="R245" s="13" t="n">
        <v>9.52</v>
      </c>
      <c r="S245" s="13" t="n">
        <v>5.06</v>
      </c>
      <c r="T245" s="13" t="n">
        <v>-0.05</v>
      </c>
      <c r="U245" s="13" t="n">
        <v>0</v>
      </c>
      <c r="V245" s="13" t="n">
        <v>4.55</v>
      </c>
      <c r="W245" s="13" t="n">
        <v>-0.05</v>
      </c>
      <c r="X245" s="13" t="n">
        <v>58.4</v>
      </c>
      <c r="Y245" s="13" t="n">
        <v>16.7</v>
      </c>
      <c r="Z245" s="13" t="n">
        <v>32.4</v>
      </c>
      <c r="AA245" s="13" t="n">
        <v>32.2</v>
      </c>
      <c r="AB245" s="13" t="n">
        <v>86.8</v>
      </c>
    </row>
    <row r="246" customFormat="false" ht="12.8" hidden="false" customHeight="false" outlineLevel="0" collapsed="false">
      <c r="A246" s="1" t="n">
        <v>5.19</v>
      </c>
      <c r="B246" s="1" t="n">
        <v>-0.01</v>
      </c>
      <c r="C246" s="1" t="n">
        <v>0.04</v>
      </c>
      <c r="D246" s="1" t="n">
        <v>4.65</v>
      </c>
      <c r="E246" s="1" t="n">
        <v>0.01</v>
      </c>
      <c r="F246" s="1" t="n">
        <v>67</v>
      </c>
      <c r="G246" s="1" t="n">
        <v>27.5</v>
      </c>
      <c r="H246" s="1" t="n">
        <v>33.6</v>
      </c>
      <c r="I246" s="1" t="n">
        <v>32.8</v>
      </c>
      <c r="J246" s="1" t="n">
        <v>82.9</v>
      </c>
      <c r="K246" s="22" t="n">
        <v>9.85514932005695</v>
      </c>
      <c r="L246" s="1" t="n">
        <v>9.88</v>
      </c>
      <c r="M246" s="23" t="n">
        <v>0.0248506799430501</v>
      </c>
      <c r="P246" s="12" t="n">
        <v>8</v>
      </c>
      <c r="Q246" s="13" t="s">
        <v>53</v>
      </c>
      <c r="R246" s="13" t="n">
        <v>9.82</v>
      </c>
      <c r="S246" s="13" t="n">
        <v>5.43</v>
      </c>
      <c r="T246" s="13" t="n">
        <v>-0.09</v>
      </c>
      <c r="U246" s="13" t="n">
        <v>-0.09</v>
      </c>
      <c r="V246" s="13" t="n">
        <v>4.55</v>
      </c>
      <c r="W246" s="13" t="n">
        <v>0.03</v>
      </c>
      <c r="X246" s="13" t="n">
        <v>63.8</v>
      </c>
      <c r="Y246" s="13" t="n">
        <v>25.9</v>
      </c>
      <c r="Z246" s="13" t="n">
        <v>33.6</v>
      </c>
      <c r="AA246" s="13" t="n">
        <v>36</v>
      </c>
      <c r="AB246" s="13" t="n">
        <v>86.4</v>
      </c>
    </row>
    <row r="247" customFormat="false" ht="12.8" hidden="false" customHeight="false" outlineLevel="0" collapsed="false">
      <c r="A247" s="1" t="n">
        <v>5.47</v>
      </c>
      <c r="B247" s="1" t="n">
        <v>-0.14</v>
      </c>
      <c r="C247" s="1" t="n">
        <v>-0.04</v>
      </c>
      <c r="D247" s="1" t="n">
        <v>4.65</v>
      </c>
      <c r="E247" s="1" t="n">
        <v>-0.01</v>
      </c>
      <c r="F247" s="1" t="n">
        <v>67.6</v>
      </c>
      <c r="G247" s="1" t="n">
        <v>24.3</v>
      </c>
      <c r="H247" s="1" t="n">
        <v>32.9</v>
      </c>
      <c r="I247" s="1" t="n">
        <v>33.6</v>
      </c>
      <c r="J247" s="1" t="n">
        <v>81.8</v>
      </c>
      <c r="K247" s="22" t="n">
        <v>9.91269426194383</v>
      </c>
      <c r="L247" s="1" t="n">
        <v>9.94</v>
      </c>
      <c r="M247" s="23" t="n">
        <v>0.0273057380561745</v>
      </c>
      <c r="P247" s="12" t="n">
        <v>8</v>
      </c>
      <c r="Q247" s="13" t="s">
        <v>54</v>
      </c>
      <c r="R247" s="13" t="n">
        <v>9.68</v>
      </c>
      <c r="S247" s="13" t="n">
        <v>5.24</v>
      </c>
      <c r="T247" s="13" t="n">
        <v>-0.02</v>
      </c>
      <c r="U247" s="13" t="n">
        <v>-0.09</v>
      </c>
      <c r="V247" s="13" t="n">
        <v>4.55</v>
      </c>
      <c r="W247" s="13" t="n">
        <v>-0.01</v>
      </c>
      <c r="X247" s="13" t="n">
        <v>57.4</v>
      </c>
      <c r="Y247" s="13" t="n">
        <v>14.5</v>
      </c>
      <c r="Z247" s="13" t="n">
        <v>32.9</v>
      </c>
      <c r="AA247" s="13" t="n">
        <v>31.8</v>
      </c>
      <c r="AB247" s="13" t="n">
        <v>87.3</v>
      </c>
    </row>
    <row r="248" customFormat="false" ht="12.8" hidden="false" customHeight="false" outlineLevel="0" collapsed="false">
      <c r="A248" s="1" t="n">
        <v>5.46</v>
      </c>
      <c r="B248" s="1" t="n">
        <v>-0.16</v>
      </c>
      <c r="C248" s="1" t="n">
        <v>-0.14</v>
      </c>
      <c r="D248" s="1" t="n">
        <v>4.65</v>
      </c>
      <c r="E248" s="1" t="n">
        <v>0.06</v>
      </c>
      <c r="F248" s="1" t="n">
        <v>69</v>
      </c>
      <c r="G248" s="1" t="n">
        <v>22.5</v>
      </c>
      <c r="H248" s="1" t="n">
        <v>33.2</v>
      </c>
      <c r="I248" s="1" t="n">
        <v>33.4</v>
      </c>
      <c r="J248" s="1" t="n">
        <v>82.6</v>
      </c>
      <c r="K248" s="22" t="n">
        <v>9.84505527984544</v>
      </c>
      <c r="L248" s="1" t="n">
        <v>9.89</v>
      </c>
      <c r="M248" s="23" t="n">
        <v>0.044944720154561</v>
      </c>
      <c r="P248" s="12" t="n">
        <v>8</v>
      </c>
      <c r="Q248" s="13" t="s">
        <v>56</v>
      </c>
      <c r="R248" s="13" t="n">
        <v>9.67</v>
      </c>
      <c r="S248" s="13" t="n">
        <v>5.03</v>
      </c>
      <c r="T248" s="13" t="n">
        <v>-0.02</v>
      </c>
      <c r="U248" s="13" t="n">
        <v>0.1</v>
      </c>
      <c r="V248" s="13" t="n">
        <v>4.55</v>
      </c>
      <c r="W248" s="13" t="n">
        <v>0</v>
      </c>
      <c r="X248" s="13" t="n">
        <v>51</v>
      </c>
      <c r="Y248" s="13" t="n">
        <v>10.5</v>
      </c>
      <c r="Z248" s="13" t="n">
        <v>33.1</v>
      </c>
      <c r="AA248" s="13" t="n">
        <v>31.9</v>
      </c>
      <c r="AB248" s="13" t="n">
        <v>87.2</v>
      </c>
    </row>
    <row r="249" customFormat="false" ht="12.8" hidden="false" customHeight="false" outlineLevel="0" collapsed="false">
      <c r="A249" s="1" t="n">
        <v>5.27</v>
      </c>
      <c r="B249" s="1" t="n">
        <v>-0.08</v>
      </c>
      <c r="C249" s="1" t="n">
        <v>-0.17</v>
      </c>
      <c r="D249" s="1" t="n">
        <v>4.65</v>
      </c>
      <c r="E249" s="1" t="n">
        <v>0.08</v>
      </c>
      <c r="F249" s="1" t="n">
        <v>64.5</v>
      </c>
      <c r="G249" s="1" t="n">
        <v>31.2</v>
      </c>
      <c r="H249" s="1" t="n">
        <v>34</v>
      </c>
      <c r="I249" s="1" t="n">
        <v>36.2</v>
      </c>
      <c r="J249" s="1" t="n">
        <v>84.6</v>
      </c>
      <c r="K249" s="22" t="n">
        <v>9.71647916278853</v>
      </c>
      <c r="L249" s="1" t="n">
        <v>9.69</v>
      </c>
      <c r="M249" s="23" t="n">
        <v>-0.026479162788533</v>
      </c>
      <c r="P249" s="12" t="n">
        <v>8</v>
      </c>
      <c r="Q249" s="13" t="s">
        <v>58</v>
      </c>
      <c r="R249" s="13" t="n">
        <v>9.73</v>
      </c>
      <c r="S249" s="13" t="n">
        <v>5.1</v>
      </c>
      <c r="T249" s="13" t="n">
        <v>-0.06</v>
      </c>
      <c r="U249" s="13" t="n">
        <v>0.1</v>
      </c>
      <c r="V249" s="13" t="n">
        <v>4.55</v>
      </c>
      <c r="W249" s="13" t="n">
        <v>0.02</v>
      </c>
      <c r="X249" s="13" t="n">
        <v>51.6</v>
      </c>
      <c r="Y249" s="13" t="n">
        <v>17.2</v>
      </c>
      <c r="Z249" s="13" t="n">
        <v>32.9</v>
      </c>
      <c r="AA249" s="13" t="n">
        <v>32.4</v>
      </c>
      <c r="AB249" s="13" t="n">
        <v>87</v>
      </c>
    </row>
    <row r="250" customFormat="false" ht="12.8" hidden="false" customHeight="false" outlineLevel="0" collapsed="false">
      <c r="A250" s="1" t="n">
        <v>5.39</v>
      </c>
      <c r="B250" s="1" t="n">
        <v>0</v>
      </c>
      <c r="C250" s="1" t="n">
        <v>-0.1</v>
      </c>
      <c r="D250" s="1" t="n">
        <v>4.65</v>
      </c>
      <c r="E250" s="1" t="n">
        <v>0.07</v>
      </c>
      <c r="F250" s="1" t="n">
        <v>65.5</v>
      </c>
      <c r="G250" s="1" t="n">
        <v>24.6</v>
      </c>
      <c r="H250" s="1" t="n">
        <v>34.8</v>
      </c>
      <c r="I250" s="1" t="n">
        <v>36.2</v>
      </c>
      <c r="J250" s="1" t="n">
        <v>82.7</v>
      </c>
      <c r="K250" s="22" t="n">
        <v>9.97681577796447</v>
      </c>
      <c r="L250" s="1" t="n">
        <v>9.93</v>
      </c>
      <c r="M250" s="23" t="n">
        <v>-0.0468157779644702</v>
      </c>
      <c r="P250" s="12" t="n">
        <v>8</v>
      </c>
      <c r="Q250" s="13" t="s">
        <v>60</v>
      </c>
      <c r="R250" s="13" t="n">
        <v>9.85</v>
      </c>
      <c r="S250" s="13" t="n">
        <v>4.49</v>
      </c>
      <c r="T250" s="13" t="n">
        <v>0.16</v>
      </c>
      <c r="U250" s="13" t="n">
        <v>0.62</v>
      </c>
      <c r="V250" s="13" t="n">
        <v>4.55</v>
      </c>
      <c r="W250" s="13" t="n">
        <v>0.02</v>
      </c>
      <c r="X250" s="13" t="n">
        <v>54.6</v>
      </c>
      <c r="Y250" s="13" t="n">
        <v>14.2</v>
      </c>
      <c r="Z250" s="13" t="n">
        <v>34</v>
      </c>
      <c r="AA250" s="13" t="n">
        <v>33.3</v>
      </c>
      <c r="AB250" s="13" t="n">
        <v>86.1</v>
      </c>
    </row>
    <row r="251" customFormat="false" ht="12.8" hidden="false" customHeight="false" outlineLevel="0" collapsed="false">
      <c r="A251" s="1" t="n">
        <v>5.07</v>
      </c>
      <c r="B251" s="1" t="n">
        <v>-0.04</v>
      </c>
      <c r="C251" s="1" t="n">
        <v>0.08</v>
      </c>
      <c r="D251" s="1" t="n">
        <v>4.65</v>
      </c>
      <c r="E251" s="1" t="n">
        <v>0.03</v>
      </c>
      <c r="F251" s="1" t="n">
        <v>59.7</v>
      </c>
      <c r="G251" s="1" t="n">
        <v>17.7</v>
      </c>
      <c r="H251" s="1" t="n">
        <v>34.3</v>
      </c>
      <c r="I251" s="1" t="n">
        <v>34.6</v>
      </c>
      <c r="J251" s="1" t="n">
        <v>83.8</v>
      </c>
      <c r="K251" s="22" t="n">
        <v>9.77746672369449</v>
      </c>
      <c r="L251" s="1" t="n">
        <v>9.8</v>
      </c>
      <c r="M251" s="23" t="n">
        <v>0.0225332763055128</v>
      </c>
      <c r="P251" s="12" t="n">
        <v>8</v>
      </c>
      <c r="Q251" s="13" t="s">
        <v>62</v>
      </c>
      <c r="R251" s="13" t="n">
        <v>9.92</v>
      </c>
      <c r="S251" s="13" t="n">
        <v>5.08</v>
      </c>
      <c r="T251" s="13" t="n">
        <v>-0.07</v>
      </c>
      <c r="U251" s="13" t="n">
        <v>0.34</v>
      </c>
      <c r="V251" s="13" t="n">
        <v>4.55</v>
      </c>
      <c r="W251" s="13" t="n">
        <v>0.05</v>
      </c>
      <c r="X251" s="13" t="n">
        <v>51.8</v>
      </c>
      <c r="Y251" s="13" t="n">
        <v>13.8</v>
      </c>
      <c r="Z251" s="13" t="n">
        <v>32.8</v>
      </c>
      <c r="AA251" s="13" t="n">
        <v>32.9</v>
      </c>
      <c r="AB251" s="13" t="n">
        <v>86.5</v>
      </c>
    </row>
    <row r="252" customFormat="false" ht="12.8" hidden="false" customHeight="false" outlineLevel="0" collapsed="false">
      <c r="A252" s="1" t="n">
        <v>4.92</v>
      </c>
      <c r="B252" s="1" t="n">
        <v>0.19</v>
      </c>
      <c r="C252" s="1" t="n">
        <v>0.23</v>
      </c>
      <c r="D252" s="1" t="n">
        <v>4.65</v>
      </c>
      <c r="E252" s="1" t="n">
        <v>0.04</v>
      </c>
      <c r="F252" s="1" t="n">
        <v>57</v>
      </c>
      <c r="G252" s="1" t="n">
        <v>16.8</v>
      </c>
      <c r="H252" s="1" t="n">
        <v>33.2</v>
      </c>
      <c r="I252" s="1" t="n">
        <v>31.1</v>
      </c>
      <c r="J252" s="1" t="n">
        <v>82.6</v>
      </c>
      <c r="K252" s="22" t="n">
        <v>10.0369273547355</v>
      </c>
      <c r="L252" s="1" t="n">
        <v>10.03</v>
      </c>
      <c r="M252" s="23" t="n">
        <v>-0.00692735473548112</v>
      </c>
      <c r="P252" s="12" t="n">
        <v>8</v>
      </c>
      <c r="Q252" s="13" t="s">
        <v>64</v>
      </c>
      <c r="R252" s="13" t="n">
        <v>9.21</v>
      </c>
      <c r="S252" s="13" t="n">
        <v>5.28</v>
      </c>
      <c r="T252" s="13" t="n">
        <v>-0.15</v>
      </c>
      <c r="U252" s="13" t="n">
        <v>-0.28</v>
      </c>
      <c r="V252" s="13" t="n">
        <v>4.55</v>
      </c>
      <c r="W252" s="13" t="n">
        <v>0.03</v>
      </c>
      <c r="X252" s="13" t="n">
        <v>72.1</v>
      </c>
      <c r="Y252" s="13" t="n">
        <v>28.4</v>
      </c>
      <c r="Z252" s="13" t="n">
        <v>35.5</v>
      </c>
      <c r="AA252" s="13" t="n">
        <v>38.7</v>
      </c>
      <c r="AB252" s="13" t="n">
        <v>88.6</v>
      </c>
    </row>
    <row r="253" customFormat="false" ht="12.8" hidden="false" customHeight="false" outlineLevel="0" collapsed="false">
      <c r="A253" s="1" t="n">
        <v>5.22</v>
      </c>
      <c r="B253" s="1" t="n">
        <v>0.02</v>
      </c>
      <c r="C253" s="1" t="n">
        <v>0.01</v>
      </c>
      <c r="D253" s="1" t="n">
        <v>4.65</v>
      </c>
      <c r="E253" s="1" t="n">
        <v>0.08</v>
      </c>
      <c r="F253" s="1" t="n">
        <v>64.6</v>
      </c>
      <c r="G253" s="1" t="n">
        <v>18.1</v>
      </c>
      <c r="H253" s="1" t="n">
        <v>33.4</v>
      </c>
      <c r="I253" s="1" t="n">
        <v>34.8</v>
      </c>
      <c r="J253" s="1" t="n">
        <v>82.1</v>
      </c>
      <c r="K253" s="22" t="n">
        <v>9.96746860459795</v>
      </c>
      <c r="L253" s="1" t="n">
        <v>9.99</v>
      </c>
      <c r="M253" s="23" t="n">
        <v>0.0225313954020532</v>
      </c>
      <c r="P253" s="12" t="n">
        <v>8</v>
      </c>
      <c r="Q253" s="13" t="s">
        <v>66</v>
      </c>
      <c r="R253" s="13" t="n">
        <v>9.59</v>
      </c>
      <c r="S253" s="13" t="n">
        <v>4.97</v>
      </c>
      <c r="T253" s="13" t="n">
        <v>-0.08</v>
      </c>
      <c r="U253" s="13" t="n">
        <v>0.11</v>
      </c>
      <c r="V253" s="13" t="n">
        <v>4.55</v>
      </c>
      <c r="W253" s="13" t="n">
        <v>0.03</v>
      </c>
      <c r="X253" s="13" t="n">
        <v>73.7</v>
      </c>
      <c r="Y253" s="13" t="n">
        <v>28.4</v>
      </c>
      <c r="Z253" s="13" t="n">
        <v>33</v>
      </c>
      <c r="AA253" s="13" t="n">
        <v>38.4</v>
      </c>
      <c r="AB253" s="13" t="n">
        <v>87.5</v>
      </c>
    </row>
    <row r="254" customFormat="false" ht="12.8" hidden="false" customHeight="false" outlineLevel="0" collapsed="false">
      <c r="A254" s="1" t="n">
        <v>5.28</v>
      </c>
      <c r="B254" s="1" t="n">
        <v>0.08</v>
      </c>
      <c r="C254" s="1" t="n">
        <v>-0.14</v>
      </c>
      <c r="D254" s="1" t="n">
        <v>4.65</v>
      </c>
      <c r="E254" s="1" t="n">
        <v>0.08</v>
      </c>
      <c r="F254" s="1" t="n">
        <v>62.6</v>
      </c>
      <c r="G254" s="1" t="n">
        <v>19.5</v>
      </c>
      <c r="H254" s="1" t="n">
        <v>33.8</v>
      </c>
      <c r="I254" s="1" t="n">
        <v>32.3</v>
      </c>
      <c r="J254" s="1" t="n">
        <v>83.6</v>
      </c>
      <c r="K254" s="22" t="n">
        <v>9.93393077882068</v>
      </c>
      <c r="L254" s="1" t="n">
        <v>9.97</v>
      </c>
      <c r="M254" s="23" t="n">
        <v>0.036069221179325</v>
      </c>
      <c r="P254" s="12" t="n">
        <v>8</v>
      </c>
      <c r="Q254" s="13" t="s">
        <v>67</v>
      </c>
      <c r="R254" s="13" t="n">
        <v>9.7</v>
      </c>
      <c r="S254" s="13" t="n">
        <v>5.12</v>
      </c>
      <c r="T254" s="13" t="n">
        <v>0</v>
      </c>
      <c r="U254" s="13" t="n">
        <v>0.06</v>
      </c>
      <c r="V254" s="13" t="n">
        <v>4.55</v>
      </c>
      <c r="W254" s="13" t="n">
        <v>0.01</v>
      </c>
      <c r="X254" s="13" t="n">
        <v>69.1</v>
      </c>
      <c r="Y254" s="13" t="n">
        <v>27.4</v>
      </c>
      <c r="Z254" s="13" t="n">
        <v>33.6</v>
      </c>
      <c r="AA254" s="13" t="n">
        <v>33.8</v>
      </c>
      <c r="AB254" s="13" t="n">
        <v>87.1</v>
      </c>
    </row>
    <row r="255" customFormat="false" ht="12.8" hidden="false" customHeight="false" outlineLevel="0" collapsed="false">
      <c r="A255" s="1" t="n">
        <v>5.28</v>
      </c>
      <c r="B255" s="1" t="n">
        <v>0.07</v>
      </c>
      <c r="C255" s="1" t="n">
        <v>0.04</v>
      </c>
      <c r="D255" s="1" t="n">
        <v>4.65</v>
      </c>
      <c r="E255" s="1" t="n">
        <v>-0.03</v>
      </c>
      <c r="F255" s="1" t="n">
        <v>62.8</v>
      </c>
      <c r="G255" s="1" t="n">
        <v>17.8</v>
      </c>
      <c r="H255" s="1" t="n">
        <v>34.8</v>
      </c>
      <c r="I255" s="1" t="n">
        <v>30.5</v>
      </c>
      <c r="J255" s="1" t="n">
        <v>80.3</v>
      </c>
      <c r="K255" s="22" t="n">
        <v>9.99160737260379</v>
      </c>
      <c r="L255" s="1" t="n">
        <v>10.03</v>
      </c>
      <c r="M255" s="23" t="n">
        <v>0.0383926273962061</v>
      </c>
      <c r="P255" s="12" t="n">
        <v>8</v>
      </c>
      <c r="Q255" s="13" t="s">
        <v>69</v>
      </c>
      <c r="R255" s="13" t="n">
        <v>9.71</v>
      </c>
      <c r="S255" s="13" t="n">
        <v>5.43</v>
      </c>
      <c r="T255" s="13" t="n">
        <v>-0.14</v>
      </c>
      <c r="U255" s="13" t="n">
        <v>-0.05</v>
      </c>
      <c r="V255" s="13" t="n">
        <v>4.55</v>
      </c>
      <c r="W255" s="13" t="n">
        <v>-0.1</v>
      </c>
      <c r="X255" s="13" t="n">
        <v>69.9</v>
      </c>
      <c r="Y255" s="13" t="n">
        <v>22.7</v>
      </c>
      <c r="Z255" s="13" t="n">
        <v>32.8</v>
      </c>
      <c r="AA255" s="13" t="n">
        <v>32.8</v>
      </c>
      <c r="AB255" s="13" t="n">
        <v>86.2</v>
      </c>
    </row>
    <row r="256" customFormat="false" ht="12.8" hidden="false" customHeight="false" outlineLevel="0" collapsed="false">
      <c r="A256" s="1" t="n">
        <v>5.32</v>
      </c>
      <c r="B256" s="1" t="n">
        <v>0.16</v>
      </c>
      <c r="C256" s="1" t="n">
        <v>0.12</v>
      </c>
      <c r="D256" s="1" t="n">
        <v>4.65</v>
      </c>
      <c r="E256" s="1" t="n">
        <v>-0.02</v>
      </c>
      <c r="F256" s="1" t="n">
        <v>50.2</v>
      </c>
      <c r="G256" s="1" t="n">
        <v>13.8</v>
      </c>
      <c r="H256" s="1" t="n">
        <v>34.1</v>
      </c>
      <c r="I256" s="1" t="n">
        <v>31.6</v>
      </c>
      <c r="J256" s="1" t="n">
        <v>80.7</v>
      </c>
      <c r="K256" s="22" t="n">
        <v>10.2437390569216</v>
      </c>
      <c r="L256" s="1" t="n">
        <v>10.24</v>
      </c>
      <c r="M256" s="23" t="n">
        <v>-0.00373905692154963</v>
      </c>
      <c r="P256" s="12" t="n">
        <v>8</v>
      </c>
      <c r="Q256" s="13" t="s">
        <v>75</v>
      </c>
      <c r="R256" s="13" t="n">
        <v>9.55</v>
      </c>
      <c r="S256" s="13" t="n">
        <v>5.4</v>
      </c>
      <c r="T256" s="13" t="n">
        <v>-0.16</v>
      </c>
      <c r="U256" s="13" t="n">
        <v>-0.13</v>
      </c>
      <c r="V256" s="13" t="n">
        <v>4.55</v>
      </c>
      <c r="W256" s="13" t="n">
        <v>-0.09</v>
      </c>
      <c r="X256" s="13" t="n">
        <v>70.2</v>
      </c>
      <c r="Y256" s="13" t="n">
        <v>27.2</v>
      </c>
      <c r="Z256" s="13" t="n">
        <v>32.7</v>
      </c>
      <c r="AA256" s="13" t="n">
        <v>34.7</v>
      </c>
      <c r="AB256" s="13" t="n">
        <v>86.7</v>
      </c>
    </row>
    <row r="257" customFormat="false" ht="12.8" hidden="false" customHeight="false" outlineLevel="0" collapsed="false">
      <c r="A257" s="1" t="n">
        <v>5.52</v>
      </c>
      <c r="B257" s="1" t="n">
        <v>0.02</v>
      </c>
      <c r="C257" s="1" t="n">
        <v>-0.03</v>
      </c>
      <c r="D257" s="1" t="n">
        <v>4.65</v>
      </c>
      <c r="E257" s="1" t="n">
        <v>-0.02</v>
      </c>
      <c r="F257" s="1" t="n">
        <v>56.8</v>
      </c>
      <c r="G257" s="1" t="n">
        <v>15.5</v>
      </c>
      <c r="H257" s="1" t="n">
        <v>33.7</v>
      </c>
      <c r="I257" s="1" t="n">
        <v>32.8</v>
      </c>
      <c r="J257" s="1" t="n">
        <v>82.4</v>
      </c>
      <c r="K257" s="22" t="n">
        <v>10.1426356394932</v>
      </c>
      <c r="L257" s="1" t="n">
        <v>10.16</v>
      </c>
      <c r="M257" s="23" t="n">
        <v>0.017364360506761</v>
      </c>
      <c r="P257" s="12" t="n">
        <v>8</v>
      </c>
      <c r="Q257" s="13" t="s">
        <v>76</v>
      </c>
      <c r="R257" s="13" t="n">
        <v>9.63</v>
      </c>
      <c r="S257" s="13" t="n">
        <v>5.28</v>
      </c>
      <c r="T257" s="13" t="n">
        <v>-0.09</v>
      </c>
      <c r="U257" s="13" t="n">
        <v>-0.17</v>
      </c>
      <c r="V257" s="13" t="n">
        <v>4.55</v>
      </c>
      <c r="W257" s="13" t="n">
        <v>0.05</v>
      </c>
      <c r="X257" s="13" t="n">
        <v>65.9</v>
      </c>
      <c r="Y257" s="13" t="n">
        <v>25.3</v>
      </c>
      <c r="Z257" s="13" t="n">
        <v>33.4</v>
      </c>
      <c r="AA257" s="13" t="n">
        <v>35.3</v>
      </c>
      <c r="AB257" s="13" t="n">
        <v>87.9</v>
      </c>
    </row>
    <row r="258" customFormat="false" ht="12.8" hidden="false" customHeight="false" outlineLevel="0" collapsed="false">
      <c r="A258" s="1" t="n">
        <v>5.88</v>
      </c>
      <c r="B258" s="1" t="n">
        <v>-0.02</v>
      </c>
      <c r="C258" s="1" t="n">
        <v>-0.43</v>
      </c>
      <c r="D258" s="1" t="n">
        <v>4.65</v>
      </c>
      <c r="E258" s="1" t="n">
        <v>-0.06</v>
      </c>
      <c r="F258" s="1" t="n">
        <v>56.3</v>
      </c>
      <c r="G258" s="1" t="n">
        <v>20.8</v>
      </c>
      <c r="H258" s="1" t="n">
        <v>35.5</v>
      </c>
      <c r="I258" s="1" t="n">
        <v>37.1</v>
      </c>
      <c r="J258" s="1" t="n">
        <v>79</v>
      </c>
      <c r="K258" s="22" t="n">
        <v>9.99976276247172</v>
      </c>
      <c r="L258" s="1" t="n">
        <v>10.02</v>
      </c>
      <c r="M258" s="23" t="n">
        <v>0.0202372375282796</v>
      </c>
      <c r="P258" s="12" t="n">
        <v>8</v>
      </c>
      <c r="Q258" s="13" t="s">
        <v>78</v>
      </c>
      <c r="R258" s="13" t="n">
        <v>9.8</v>
      </c>
      <c r="S258" s="13" t="n">
        <v>5.4</v>
      </c>
      <c r="T258" s="13" t="n">
        <v>-0.01</v>
      </c>
      <c r="U258" s="13" t="n">
        <v>-0.12</v>
      </c>
      <c r="V258" s="13" t="n">
        <v>4.55</v>
      </c>
      <c r="W258" s="13" t="n">
        <v>0.03</v>
      </c>
      <c r="X258" s="13" t="n">
        <v>65.9</v>
      </c>
      <c r="Y258" s="13" t="n">
        <v>26.4</v>
      </c>
      <c r="Z258" s="13" t="n">
        <v>34.2</v>
      </c>
      <c r="AA258" s="13" t="n">
        <v>35.3</v>
      </c>
      <c r="AB258" s="13" t="n">
        <v>87.3</v>
      </c>
    </row>
    <row r="259" customFormat="false" ht="12.8" hidden="false" customHeight="false" outlineLevel="0" collapsed="false">
      <c r="A259" s="1" t="n">
        <v>6.06</v>
      </c>
      <c r="B259" s="1" t="n">
        <v>-0.08</v>
      </c>
      <c r="C259" s="1" t="n">
        <v>-0.52</v>
      </c>
      <c r="D259" s="1" t="n">
        <v>4.65</v>
      </c>
      <c r="E259" s="1" t="n">
        <v>0.08</v>
      </c>
      <c r="F259" s="1" t="n">
        <v>57.5</v>
      </c>
      <c r="G259" s="1" t="n">
        <v>17.9</v>
      </c>
      <c r="H259" s="1" t="n">
        <v>35.2</v>
      </c>
      <c r="I259" s="1" t="n">
        <v>32.7</v>
      </c>
      <c r="J259" s="1" t="n">
        <v>79.8</v>
      </c>
      <c r="K259" s="22" t="n">
        <v>10.1662088200614</v>
      </c>
      <c r="L259" s="1" t="n">
        <v>10.19</v>
      </c>
      <c r="M259" s="23" t="n">
        <v>0.0237911799386001</v>
      </c>
      <c r="P259" s="12" t="n">
        <v>8</v>
      </c>
      <c r="Q259" s="13" t="s">
        <v>80</v>
      </c>
      <c r="R259" s="13" t="n">
        <v>9.61</v>
      </c>
      <c r="S259" s="13" t="n">
        <v>5.1</v>
      </c>
      <c r="T259" s="13" t="n">
        <v>-0.05</v>
      </c>
      <c r="U259" s="13" t="n">
        <v>0.07</v>
      </c>
      <c r="V259" s="13" t="n">
        <v>4.55</v>
      </c>
      <c r="W259" s="13" t="n">
        <v>-0.02</v>
      </c>
      <c r="X259" s="13" t="n">
        <v>62.8</v>
      </c>
      <c r="Y259" s="13" t="n">
        <v>18.8</v>
      </c>
      <c r="Z259" s="13" t="n">
        <v>34.3</v>
      </c>
      <c r="AA259" s="13" t="n">
        <v>35</v>
      </c>
      <c r="AB259" s="13" t="n">
        <v>87.5</v>
      </c>
    </row>
    <row r="260" customFormat="false" ht="12.8" hidden="false" customHeight="false" outlineLevel="0" collapsed="false">
      <c r="A260" s="1" t="n">
        <v>6.09</v>
      </c>
      <c r="B260" s="1" t="n">
        <v>-0.16</v>
      </c>
      <c r="C260" s="1" t="n">
        <v>-0.67</v>
      </c>
      <c r="D260" s="1" t="n">
        <v>4.65</v>
      </c>
      <c r="E260" s="1" t="n">
        <v>0</v>
      </c>
      <c r="F260" s="1" t="n">
        <v>58</v>
      </c>
      <c r="G260" s="1" t="n">
        <v>23.6</v>
      </c>
      <c r="H260" s="1" t="n">
        <v>33.7</v>
      </c>
      <c r="I260" s="1" t="n">
        <v>31</v>
      </c>
      <c r="J260" s="1" t="n">
        <v>84.6</v>
      </c>
      <c r="K260" s="22" t="n">
        <v>9.89296146729254</v>
      </c>
      <c r="L260" s="1" t="n">
        <v>9.93</v>
      </c>
      <c r="M260" s="23" t="n">
        <v>0.0370385327074594</v>
      </c>
      <c r="P260" s="12" t="n">
        <v>8</v>
      </c>
      <c r="Q260" s="13" t="s">
        <v>81</v>
      </c>
      <c r="R260" s="13" t="n">
        <v>9.93</v>
      </c>
      <c r="S260" s="13" t="n">
        <v>4.94</v>
      </c>
      <c r="T260" s="13" t="n">
        <v>0.18</v>
      </c>
      <c r="U260" s="13" t="n">
        <v>0.21</v>
      </c>
      <c r="V260" s="13" t="n">
        <v>4.55</v>
      </c>
      <c r="W260" s="13" t="n">
        <v>0.03</v>
      </c>
      <c r="X260" s="13" t="n">
        <v>57.7</v>
      </c>
      <c r="Y260" s="13" t="n">
        <v>17.2</v>
      </c>
      <c r="Z260" s="13" t="n">
        <v>32.9</v>
      </c>
      <c r="AA260" s="13" t="n">
        <v>31.7</v>
      </c>
      <c r="AB260" s="13" t="n">
        <v>86.8</v>
      </c>
    </row>
    <row r="261" customFormat="false" ht="12.8" hidden="false" customHeight="false" outlineLevel="0" collapsed="false">
      <c r="A261" s="1" t="n">
        <v>6.24</v>
      </c>
      <c r="B261" s="1" t="n">
        <v>-0.27</v>
      </c>
      <c r="C261" s="1" t="n">
        <v>-0.52</v>
      </c>
      <c r="D261" s="1" t="n">
        <v>4.65</v>
      </c>
      <c r="E261" s="1" t="n">
        <v>-0.06</v>
      </c>
      <c r="F261" s="1" t="n">
        <v>71.5</v>
      </c>
      <c r="G261" s="1" t="n">
        <v>25.6</v>
      </c>
      <c r="H261" s="1" t="n">
        <v>33.5</v>
      </c>
      <c r="I261" s="1" t="n">
        <v>35.8</v>
      </c>
      <c r="J261" s="1" t="n">
        <v>86.3</v>
      </c>
      <c r="K261" s="22" t="n">
        <v>10.0068111671665</v>
      </c>
      <c r="L261" s="1" t="n">
        <v>9.94</v>
      </c>
      <c r="M261" s="23" t="n">
        <v>-0.0668111671664615</v>
      </c>
      <c r="P261" s="12" t="n">
        <v>8</v>
      </c>
      <c r="Q261" s="13" t="s">
        <v>83</v>
      </c>
      <c r="R261" s="13" t="n">
        <v>9.77</v>
      </c>
      <c r="S261" s="13" t="n">
        <v>5.22</v>
      </c>
      <c r="T261" s="13" t="n">
        <v>0.02</v>
      </c>
      <c r="U261" s="13" t="n">
        <v>-0.01</v>
      </c>
      <c r="V261" s="13" t="n">
        <v>4.55</v>
      </c>
      <c r="W261" s="13" t="n">
        <v>-0.02</v>
      </c>
      <c r="X261" s="13" t="n">
        <v>65.7</v>
      </c>
      <c r="Y261" s="13" t="n">
        <v>19.2</v>
      </c>
      <c r="Z261" s="13" t="n">
        <v>33.4</v>
      </c>
      <c r="AA261" s="13" t="n">
        <v>34.3</v>
      </c>
      <c r="AB261" s="13" t="n">
        <v>85.9</v>
      </c>
    </row>
    <row r="262" customFormat="false" ht="12.8" hidden="false" customHeight="false" outlineLevel="0" collapsed="false">
      <c r="A262" s="1" t="n">
        <v>5.66</v>
      </c>
      <c r="B262" s="1" t="n">
        <v>0.06</v>
      </c>
      <c r="C262" s="1" t="n">
        <v>-0.23</v>
      </c>
      <c r="D262" s="1" t="n">
        <v>4.65</v>
      </c>
      <c r="E262" s="1" t="n">
        <v>0.01</v>
      </c>
      <c r="F262" s="1" t="n">
        <v>65</v>
      </c>
      <c r="G262" s="1" t="n">
        <v>35.6</v>
      </c>
      <c r="H262" s="1" t="n">
        <v>32.4</v>
      </c>
      <c r="I262" s="1" t="n">
        <v>38.3</v>
      </c>
      <c r="J262" s="1" t="n">
        <v>81.8</v>
      </c>
      <c r="K262" s="22" t="n">
        <v>10.1335505394579</v>
      </c>
      <c r="L262" s="1" t="n">
        <v>10.17</v>
      </c>
      <c r="M262" s="23" t="n">
        <v>0.0364494605420589</v>
      </c>
      <c r="P262" s="12" t="n">
        <v>8</v>
      </c>
      <c r="Q262" s="13" t="s">
        <v>84</v>
      </c>
      <c r="R262" s="13" t="n">
        <v>9.88</v>
      </c>
      <c r="S262" s="13" t="n">
        <v>5.35</v>
      </c>
      <c r="T262" s="13" t="n">
        <v>0.09</v>
      </c>
      <c r="U262" s="13" t="n">
        <v>-0.17</v>
      </c>
      <c r="V262" s="13" t="n">
        <v>4.55</v>
      </c>
      <c r="W262" s="13" t="n">
        <v>0.05</v>
      </c>
      <c r="X262" s="13" t="n">
        <v>65</v>
      </c>
      <c r="Y262" s="13" t="n">
        <v>16.7</v>
      </c>
      <c r="Z262" s="13" t="n">
        <v>33.6</v>
      </c>
      <c r="AA262" s="13" t="n">
        <v>31.6</v>
      </c>
      <c r="AB262" s="13" t="n">
        <v>87.6</v>
      </c>
    </row>
    <row r="263" customFormat="false" ht="12.8" hidden="false" customHeight="false" outlineLevel="0" collapsed="false">
      <c r="A263" s="1" t="n">
        <v>5.41</v>
      </c>
      <c r="B263" s="1" t="n">
        <v>0.04</v>
      </c>
      <c r="C263" s="1" t="n">
        <v>-0.14</v>
      </c>
      <c r="D263" s="1" t="n">
        <v>4.65</v>
      </c>
      <c r="E263" s="1" t="n">
        <v>0</v>
      </c>
      <c r="F263" s="1" t="n">
        <v>59.3</v>
      </c>
      <c r="G263" s="1" t="n">
        <v>21.4</v>
      </c>
      <c r="H263" s="1" t="n">
        <v>33.4</v>
      </c>
      <c r="I263" s="1" t="n">
        <v>36.7</v>
      </c>
      <c r="J263" s="1" t="n">
        <v>81.8</v>
      </c>
      <c r="K263" s="22" t="n">
        <v>9.9548903324888</v>
      </c>
      <c r="L263" s="1" t="n">
        <v>9.97</v>
      </c>
      <c r="M263" s="23" t="n">
        <v>0.0151096675112061</v>
      </c>
      <c r="P263" s="12" t="n">
        <v>8</v>
      </c>
      <c r="Q263" s="13" t="s">
        <v>88</v>
      </c>
      <c r="R263" s="13" t="n">
        <v>9.89</v>
      </c>
      <c r="S263" s="13" t="n">
        <v>5.25</v>
      </c>
      <c r="T263" s="13" t="n">
        <v>0.08</v>
      </c>
      <c r="U263" s="13" t="n">
        <v>0.05</v>
      </c>
      <c r="V263" s="13" t="n">
        <v>4.55</v>
      </c>
      <c r="W263" s="13" t="n">
        <v>-0.04</v>
      </c>
      <c r="X263" s="13" t="n">
        <v>64.1</v>
      </c>
      <c r="Y263" s="13" t="n">
        <v>17.9</v>
      </c>
      <c r="Z263" s="13" t="n">
        <v>33.6</v>
      </c>
      <c r="AA263" s="13" t="n">
        <v>31.3</v>
      </c>
      <c r="AB263" s="13" t="n">
        <v>84.9</v>
      </c>
    </row>
    <row r="264" customFormat="false" ht="12.8" hidden="false" customHeight="false" outlineLevel="0" collapsed="false">
      <c r="A264" s="1" t="n">
        <v>5.83</v>
      </c>
      <c r="B264" s="1" t="n">
        <v>-0.17</v>
      </c>
      <c r="C264" s="1" t="n">
        <v>-0.1</v>
      </c>
      <c r="D264" s="1" t="n">
        <v>4.65</v>
      </c>
      <c r="E264" s="1" t="n">
        <v>0.14</v>
      </c>
      <c r="F264" s="1" t="n">
        <v>57.1</v>
      </c>
      <c r="G264" s="1" t="n">
        <v>20.2</v>
      </c>
      <c r="H264" s="1" t="n">
        <v>34.4</v>
      </c>
      <c r="I264" s="1" t="n">
        <v>33.7</v>
      </c>
      <c r="J264" s="1" t="n">
        <v>84.6</v>
      </c>
      <c r="K264" s="22" t="n">
        <v>10.3337038822057</v>
      </c>
      <c r="L264" s="1" t="n">
        <v>10.36</v>
      </c>
      <c r="M264" s="23" t="n">
        <v>0.0262961177943293</v>
      </c>
      <c r="P264" s="12" t="n">
        <v>8</v>
      </c>
      <c r="Q264" s="13" t="s">
        <v>89</v>
      </c>
      <c r="R264" s="13" t="n">
        <v>10.13</v>
      </c>
      <c r="S264" s="13" t="n">
        <v>5.34</v>
      </c>
      <c r="T264" s="13" t="n">
        <v>0.16</v>
      </c>
      <c r="U264" s="13" t="n">
        <v>0.11</v>
      </c>
      <c r="V264" s="13" t="n">
        <v>4.55</v>
      </c>
      <c r="W264" s="13" t="n">
        <v>-0.04</v>
      </c>
      <c r="X264" s="13" t="n">
        <v>51.5</v>
      </c>
      <c r="Y264" s="13" t="n">
        <v>13.1</v>
      </c>
      <c r="Z264" s="13" t="n">
        <v>33.7</v>
      </c>
      <c r="AA264" s="13" t="n">
        <v>32.7</v>
      </c>
      <c r="AB264" s="13" t="n">
        <v>85</v>
      </c>
    </row>
    <row r="265" customFormat="false" ht="12.8" hidden="false" customHeight="false" outlineLevel="0" collapsed="false">
      <c r="A265" s="1" t="n">
        <v>6.2</v>
      </c>
      <c r="B265" s="1" t="n">
        <v>-0.11</v>
      </c>
      <c r="C265" s="1" t="n">
        <v>-0.36</v>
      </c>
      <c r="D265" s="1" t="n">
        <v>4.65</v>
      </c>
      <c r="E265" s="1" t="n">
        <v>0.11</v>
      </c>
      <c r="F265" s="1" t="n">
        <v>57</v>
      </c>
      <c r="G265" s="1" t="n">
        <v>27.2</v>
      </c>
      <c r="H265" s="1" t="n">
        <v>35.8</v>
      </c>
      <c r="I265" s="1" t="n">
        <v>31.1</v>
      </c>
      <c r="J265" s="1" t="n">
        <v>77</v>
      </c>
      <c r="K265" s="22" t="n">
        <v>10.4545489768858</v>
      </c>
      <c r="L265" s="1" t="n">
        <v>10.47</v>
      </c>
      <c r="M265" s="23" t="n">
        <v>0.0154510231141778</v>
      </c>
      <c r="P265" s="12" t="n">
        <v>8</v>
      </c>
      <c r="Q265" s="13" t="s">
        <v>90</v>
      </c>
      <c r="R265" s="13" t="n">
        <v>10.12</v>
      </c>
      <c r="S265" s="13" t="n">
        <v>5.56</v>
      </c>
      <c r="T265" s="13" t="n">
        <v>0.02</v>
      </c>
      <c r="U265" s="13" t="n">
        <v>-0.04</v>
      </c>
      <c r="V265" s="13" t="n">
        <v>4.55</v>
      </c>
      <c r="W265" s="13" t="n">
        <v>0.02</v>
      </c>
      <c r="X265" s="13" t="n">
        <v>57.9</v>
      </c>
      <c r="Y265" s="13" t="n">
        <v>15.4</v>
      </c>
      <c r="Z265" s="13" t="n">
        <v>33.6</v>
      </c>
      <c r="AA265" s="13" t="n">
        <v>33.3</v>
      </c>
      <c r="AB265" s="13" t="n">
        <v>86.5</v>
      </c>
    </row>
    <row r="266" customFormat="false" ht="12.8" hidden="false" customHeight="false" outlineLevel="0" collapsed="false">
      <c r="A266" s="1" t="n">
        <v>5.99</v>
      </c>
      <c r="B266" s="1" t="n">
        <v>-0.05</v>
      </c>
      <c r="C266" s="1" t="n">
        <v>-0.35</v>
      </c>
      <c r="D266" s="1" t="n">
        <v>4.65</v>
      </c>
      <c r="E266" s="1" t="n">
        <v>-0.04</v>
      </c>
      <c r="F266" s="1" t="n">
        <v>55</v>
      </c>
      <c r="G266" s="1" t="n">
        <v>34.1</v>
      </c>
      <c r="H266" s="1" t="n">
        <v>33.5</v>
      </c>
      <c r="I266" s="1" t="n">
        <v>32.5</v>
      </c>
      <c r="J266" s="1" t="n">
        <v>80.6</v>
      </c>
      <c r="K266" s="22" t="n">
        <v>10.1881533552382</v>
      </c>
      <c r="L266" s="1" t="n">
        <v>10.21</v>
      </c>
      <c r="M266" s="23" t="n">
        <v>0.0218466447618297</v>
      </c>
      <c r="P266" s="12" t="n">
        <v>8</v>
      </c>
      <c r="Q266" s="13" t="s">
        <v>91</v>
      </c>
      <c r="R266" s="13" t="n">
        <v>9.91</v>
      </c>
      <c r="S266" s="13" t="n">
        <v>5.91</v>
      </c>
      <c r="T266" s="13" t="n">
        <v>-0.02</v>
      </c>
      <c r="U266" s="13" t="n">
        <v>-0.44</v>
      </c>
      <c r="V266" s="13" t="n">
        <v>4.55</v>
      </c>
      <c r="W266" s="13" t="n">
        <v>-0.06</v>
      </c>
      <c r="X266" s="13" t="n">
        <v>59</v>
      </c>
      <c r="Y266" s="13" t="n">
        <v>20.4</v>
      </c>
      <c r="Z266" s="13" t="n">
        <v>35.1</v>
      </c>
      <c r="AA266" s="13" t="n">
        <v>36.9</v>
      </c>
      <c r="AB266" s="13" t="n">
        <v>83.5</v>
      </c>
    </row>
    <row r="267" customFormat="false" ht="12.8" hidden="false" customHeight="false" outlineLevel="0" collapsed="false">
      <c r="A267" s="1" t="n">
        <v>5.95</v>
      </c>
      <c r="B267" s="1" t="n">
        <v>-0.01</v>
      </c>
      <c r="C267" s="1" t="n">
        <v>-0.47</v>
      </c>
      <c r="D267" s="1" t="n">
        <v>4.65</v>
      </c>
      <c r="E267" s="1" t="n">
        <v>0.05</v>
      </c>
      <c r="F267" s="1" t="n">
        <v>63</v>
      </c>
      <c r="G267" s="1" t="n">
        <v>19.2</v>
      </c>
      <c r="H267" s="1" t="n">
        <v>33.2</v>
      </c>
      <c r="I267" s="1" t="n">
        <v>33.7</v>
      </c>
      <c r="J267" s="1" t="n">
        <v>81</v>
      </c>
      <c r="K267" s="22" t="n">
        <v>10.1579912346643</v>
      </c>
      <c r="L267" s="1" t="n">
        <v>10.18</v>
      </c>
      <c r="M267" s="23" t="n">
        <v>0.0220087653357215</v>
      </c>
      <c r="P267" s="12" t="n">
        <v>8</v>
      </c>
      <c r="Q267" s="13" t="s">
        <v>92</v>
      </c>
      <c r="R267" s="13" t="n">
        <v>10.06</v>
      </c>
      <c r="S267" s="13" t="n">
        <v>6.11</v>
      </c>
      <c r="T267" s="13" t="n">
        <v>-0.11</v>
      </c>
      <c r="U267" s="13" t="n">
        <v>-0.52</v>
      </c>
      <c r="V267" s="13" t="n">
        <v>4.55</v>
      </c>
      <c r="W267" s="13" t="n">
        <v>0.05</v>
      </c>
      <c r="X267" s="13" t="n">
        <v>61.5</v>
      </c>
      <c r="Y267" s="13" t="n">
        <v>16.7</v>
      </c>
      <c r="Z267" s="13" t="n">
        <v>34.3</v>
      </c>
      <c r="AA267" s="13" t="n">
        <v>34.7</v>
      </c>
      <c r="AB267" s="13" t="n">
        <v>84.3</v>
      </c>
    </row>
    <row r="268" customFormat="false" ht="12.8" hidden="false" customHeight="false" outlineLevel="0" collapsed="false">
      <c r="A268" s="1" t="n">
        <v>6.03</v>
      </c>
      <c r="B268" s="1" t="n">
        <v>-0.17</v>
      </c>
      <c r="C268" s="1" t="n">
        <v>-0.39</v>
      </c>
      <c r="D268" s="1" t="n">
        <v>4.65</v>
      </c>
      <c r="E268" s="1" t="n">
        <v>-0.01</v>
      </c>
      <c r="F268" s="1" t="n">
        <v>68</v>
      </c>
      <c r="G268" s="1" t="n">
        <v>17.1</v>
      </c>
      <c r="H268" s="1" t="n">
        <v>31</v>
      </c>
      <c r="I268" s="1" t="n">
        <v>29.9</v>
      </c>
      <c r="J268" s="1" t="n">
        <v>79.1</v>
      </c>
      <c r="K268" s="22" t="n">
        <v>10.1129325476943</v>
      </c>
      <c r="L268" s="1" t="n">
        <v>10.13</v>
      </c>
      <c r="M268" s="23" t="n">
        <v>0.0170674523056782</v>
      </c>
      <c r="P268" s="12" t="n">
        <v>8</v>
      </c>
      <c r="Q268" s="13" t="s">
        <v>93</v>
      </c>
      <c r="R268" s="13" t="n">
        <v>9.86</v>
      </c>
      <c r="S268" s="13" t="n">
        <v>6.04</v>
      </c>
      <c r="T268" s="13" t="n">
        <v>-0.15</v>
      </c>
      <c r="U268" s="13" t="n">
        <v>-0.66</v>
      </c>
      <c r="V268" s="13" t="n">
        <v>4.55</v>
      </c>
      <c r="W268" s="13" t="n">
        <v>0.07</v>
      </c>
      <c r="X268" s="13" t="n">
        <v>61.6</v>
      </c>
      <c r="Y268" s="13" t="n">
        <v>25.5</v>
      </c>
      <c r="Z268" s="13" t="n">
        <v>32.4</v>
      </c>
      <c r="AA268" s="13" t="n">
        <v>32</v>
      </c>
      <c r="AB268" s="13" t="n">
        <v>87.7</v>
      </c>
    </row>
    <row r="269" customFormat="false" ht="12.8" hidden="false" customHeight="false" outlineLevel="0" collapsed="false">
      <c r="A269" s="1" t="n">
        <v>5.9</v>
      </c>
      <c r="B269" s="1" t="n">
        <v>0.04</v>
      </c>
      <c r="C269" s="1" t="n">
        <v>-0.29</v>
      </c>
      <c r="D269" s="1" t="n">
        <v>4.65</v>
      </c>
      <c r="E269" s="1" t="n">
        <v>0</v>
      </c>
      <c r="F269" s="1" t="n">
        <v>57.9</v>
      </c>
      <c r="G269" s="1" t="n">
        <v>21.5</v>
      </c>
      <c r="H269" s="1" t="n">
        <v>34.1</v>
      </c>
      <c r="I269" s="1" t="n">
        <v>33.3</v>
      </c>
      <c r="J269" s="1" t="n">
        <v>83.9</v>
      </c>
      <c r="K269" s="22" t="n">
        <v>10.2898772023792</v>
      </c>
      <c r="L269" s="1" t="n">
        <v>10.31</v>
      </c>
      <c r="M269" s="23" t="n">
        <v>0.020122797620779</v>
      </c>
      <c r="P269" s="12" t="n">
        <v>8</v>
      </c>
      <c r="Q269" s="13" t="s">
        <v>94</v>
      </c>
      <c r="R269" s="13" t="n">
        <v>9.94</v>
      </c>
      <c r="S269" s="13" t="n">
        <v>6.35</v>
      </c>
      <c r="T269" s="13" t="n">
        <v>-0.26</v>
      </c>
      <c r="U269" s="13" t="n">
        <v>-0.51</v>
      </c>
      <c r="V269" s="13" t="n">
        <v>4.55</v>
      </c>
      <c r="W269" s="13" t="n">
        <v>0.08</v>
      </c>
      <c r="X269" s="13" t="n">
        <v>72.4</v>
      </c>
      <c r="Y269" s="13" t="n">
        <v>39.5</v>
      </c>
      <c r="Z269" s="13" t="n">
        <v>33.5</v>
      </c>
      <c r="AA269" s="13" t="n">
        <v>34.5</v>
      </c>
      <c r="AB269" s="13" t="n">
        <v>89.7</v>
      </c>
    </row>
    <row r="270" customFormat="false" ht="12.8" hidden="false" customHeight="false" outlineLevel="0" collapsed="false">
      <c r="A270" s="1" t="n">
        <v>6.93</v>
      </c>
      <c r="B270" s="1" t="n">
        <v>-0.19</v>
      </c>
      <c r="C270" s="1" t="n">
        <v>-0.68</v>
      </c>
      <c r="D270" s="1" t="n">
        <v>4.65</v>
      </c>
      <c r="E270" s="1" t="n">
        <v>0.06</v>
      </c>
      <c r="F270" s="1" t="n">
        <v>58.9</v>
      </c>
      <c r="G270" s="1" t="n">
        <v>24.8</v>
      </c>
      <c r="H270" s="1" t="n">
        <v>34.5</v>
      </c>
      <c r="I270" s="1" t="n">
        <v>34.8</v>
      </c>
      <c r="J270" s="1" t="n">
        <v>85.1</v>
      </c>
      <c r="K270" s="22" t="n">
        <v>10.7459942228566</v>
      </c>
      <c r="L270" s="1" t="n">
        <v>10.78</v>
      </c>
      <c r="M270" s="23" t="n">
        <v>0.0340057771433528</v>
      </c>
      <c r="P270" s="12" t="n">
        <v>8</v>
      </c>
      <c r="Q270" s="13" t="s">
        <v>95</v>
      </c>
      <c r="R270" s="13" t="n">
        <v>10.05</v>
      </c>
      <c r="S270" s="13" t="n">
        <v>5.65</v>
      </c>
      <c r="T270" s="13" t="n">
        <v>0.07</v>
      </c>
      <c r="U270" s="13" t="n">
        <v>-0.24</v>
      </c>
      <c r="V270" s="13" t="n">
        <v>4.55</v>
      </c>
      <c r="W270" s="13" t="n">
        <v>0.01</v>
      </c>
      <c r="X270" s="13" t="n">
        <v>66.2</v>
      </c>
      <c r="Y270" s="13" t="n">
        <v>34.8</v>
      </c>
      <c r="Z270" s="13" t="n">
        <v>32.2</v>
      </c>
      <c r="AA270" s="13" t="n">
        <v>38.9</v>
      </c>
      <c r="AB270" s="13" t="n">
        <v>85.9</v>
      </c>
    </row>
    <row r="271" customFormat="false" ht="12.8" hidden="false" customHeight="false" outlineLevel="0" collapsed="false">
      <c r="A271" s="1" t="n">
        <v>6.7</v>
      </c>
      <c r="B271" s="1" t="n">
        <v>-0.27</v>
      </c>
      <c r="C271" s="1" t="n">
        <v>-0.76</v>
      </c>
      <c r="D271" s="1" t="n">
        <v>4.65</v>
      </c>
      <c r="E271" s="1" t="n">
        <v>0.07</v>
      </c>
      <c r="F271" s="1" t="n">
        <v>59.3</v>
      </c>
      <c r="G271" s="1" t="n">
        <v>25.6</v>
      </c>
      <c r="H271" s="1" t="n">
        <v>34.5</v>
      </c>
      <c r="I271" s="1" t="n">
        <v>33.8</v>
      </c>
      <c r="J271" s="1" t="n">
        <v>84.7</v>
      </c>
      <c r="K271" s="22" t="n">
        <v>10.360271134325</v>
      </c>
      <c r="L271" s="1" t="n">
        <v>10.41</v>
      </c>
      <c r="M271" s="23" t="n">
        <v>0.0497288656750179</v>
      </c>
      <c r="P271" s="12" t="n">
        <v>8</v>
      </c>
      <c r="Q271" s="13" t="s">
        <v>97</v>
      </c>
      <c r="R271" s="13" t="n">
        <v>9.78</v>
      </c>
      <c r="S271" s="13" t="n">
        <v>5.38</v>
      </c>
      <c r="T271" s="13" t="n">
        <v>0.04</v>
      </c>
      <c r="U271" s="13" t="n">
        <v>-0.13</v>
      </c>
      <c r="V271" s="13" t="n">
        <v>4.55</v>
      </c>
      <c r="W271" s="13" t="n">
        <v>-0.06</v>
      </c>
      <c r="X271" s="13" t="n">
        <v>60.8</v>
      </c>
      <c r="Y271" s="13" t="n">
        <v>22.2</v>
      </c>
      <c r="Z271" s="13" t="n">
        <v>33.4</v>
      </c>
      <c r="AA271" s="13" t="n">
        <v>35.3</v>
      </c>
      <c r="AB271" s="13" t="n">
        <v>86.1</v>
      </c>
    </row>
    <row r="272" customFormat="false" ht="12.8" hidden="false" customHeight="false" outlineLevel="0" collapsed="false">
      <c r="A272" s="1" t="n">
        <v>6.34</v>
      </c>
      <c r="B272" s="1" t="n">
        <v>-0.1</v>
      </c>
      <c r="C272" s="1" t="n">
        <v>-0.6</v>
      </c>
      <c r="D272" s="1" t="n">
        <v>4.65</v>
      </c>
      <c r="E272" s="1" t="n">
        <v>-0.03</v>
      </c>
      <c r="F272" s="1" t="n">
        <v>64.1</v>
      </c>
      <c r="G272" s="1" t="n">
        <v>38.3</v>
      </c>
      <c r="H272" s="1" t="n">
        <v>34</v>
      </c>
      <c r="I272" s="1" t="n">
        <v>38.9</v>
      </c>
      <c r="J272" s="1" t="n">
        <v>85.1</v>
      </c>
      <c r="K272" s="22" t="n">
        <v>10.2242908959433</v>
      </c>
      <c r="L272" s="1" t="n">
        <v>10.12</v>
      </c>
      <c r="M272" s="23" t="n">
        <v>-0.104290895943306</v>
      </c>
      <c r="P272" s="12" t="n">
        <v>8</v>
      </c>
      <c r="Q272" s="13" t="s">
        <v>98</v>
      </c>
      <c r="R272" s="13" t="n">
        <v>10.15</v>
      </c>
      <c r="S272" s="13" t="n">
        <v>5.83</v>
      </c>
      <c r="T272" s="13" t="n">
        <v>-0.17</v>
      </c>
      <c r="U272" s="13" t="n">
        <v>-0.09</v>
      </c>
      <c r="V272" s="13" t="n">
        <v>4.55</v>
      </c>
      <c r="W272" s="13" t="n">
        <v>0.03</v>
      </c>
      <c r="X272" s="13" t="n">
        <v>60.8</v>
      </c>
      <c r="Y272" s="13" t="n">
        <v>19</v>
      </c>
      <c r="Z272" s="13" t="n">
        <v>32.4</v>
      </c>
      <c r="AA272" s="13" t="n">
        <v>33.3</v>
      </c>
      <c r="AB272" s="13" t="n">
        <v>88.2</v>
      </c>
    </row>
    <row r="273" customFormat="false" ht="12.8" hidden="false" customHeight="false" outlineLevel="0" collapsed="false">
      <c r="A273" s="1" t="n">
        <v>6.41</v>
      </c>
      <c r="B273" s="1" t="n">
        <v>-0.22</v>
      </c>
      <c r="C273" s="1" t="n">
        <v>-0.57</v>
      </c>
      <c r="D273" s="1" t="n">
        <v>4.65</v>
      </c>
      <c r="E273" s="1" t="n">
        <v>0.02</v>
      </c>
      <c r="F273" s="1" t="n">
        <v>66.6</v>
      </c>
      <c r="G273" s="1" t="n">
        <v>30.8</v>
      </c>
      <c r="H273" s="1" t="n">
        <v>34.3</v>
      </c>
      <c r="I273" s="1" t="n">
        <v>37.5</v>
      </c>
      <c r="J273" s="1" t="n">
        <v>82.8</v>
      </c>
      <c r="K273" s="22" t="n">
        <v>10.2512233522599</v>
      </c>
      <c r="L273" s="1" t="n">
        <v>10.25</v>
      </c>
      <c r="M273" s="23" t="n">
        <v>-0.00122335225985459</v>
      </c>
      <c r="P273" s="12" t="n">
        <v>8</v>
      </c>
      <c r="Q273" s="13" t="s">
        <v>99</v>
      </c>
      <c r="R273" s="13" t="n">
        <v>10.24</v>
      </c>
      <c r="S273" s="13" t="n">
        <v>6.16</v>
      </c>
      <c r="T273" s="13" t="n">
        <v>-0.11</v>
      </c>
      <c r="U273" s="13" t="n">
        <v>-0.38</v>
      </c>
      <c r="V273" s="13" t="n">
        <v>4.55</v>
      </c>
      <c r="W273" s="13" t="n">
        <v>0.02</v>
      </c>
      <c r="X273" s="13" t="n">
        <v>56.6</v>
      </c>
      <c r="Y273" s="13" t="n">
        <v>29</v>
      </c>
      <c r="Z273" s="13" t="n">
        <v>35.3</v>
      </c>
      <c r="AA273" s="13" t="n">
        <v>31.7</v>
      </c>
      <c r="AB273" s="13" t="n">
        <v>82.3</v>
      </c>
    </row>
    <row r="274" customFormat="false" ht="12.8" hidden="false" customHeight="false" outlineLevel="0" collapsed="false">
      <c r="A274" s="1" t="n">
        <v>6.21</v>
      </c>
      <c r="B274" s="1" t="n">
        <v>-0.13</v>
      </c>
      <c r="C274" s="1" t="n">
        <v>-0.75</v>
      </c>
      <c r="D274" s="1" t="n">
        <v>4.65</v>
      </c>
      <c r="E274" s="1" t="n">
        <v>0.15</v>
      </c>
      <c r="F274" s="1" t="n">
        <v>60.1</v>
      </c>
      <c r="G274" s="1" t="n">
        <v>20.7</v>
      </c>
      <c r="H274" s="1" t="n">
        <v>34.5</v>
      </c>
      <c r="I274" s="1" t="n">
        <v>34.1</v>
      </c>
      <c r="J274" s="1" t="n">
        <v>85.9</v>
      </c>
      <c r="K274" s="22" t="n">
        <v>10.1005900161388</v>
      </c>
      <c r="L274" s="1" t="n">
        <v>10.09</v>
      </c>
      <c r="M274" s="23" t="n">
        <v>-0.0105900161388135</v>
      </c>
      <c r="P274" s="12" t="n">
        <v>8</v>
      </c>
      <c r="Q274" s="13" t="s">
        <v>100</v>
      </c>
      <c r="R274" s="13" t="n">
        <v>10.02</v>
      </c>
      <c r="S274" s="13" t="n">
        <v>5.95</v>
      </c>
      <c r="T274" s="13" t="n">
        <v>-0.03</v>
      </c>
      <c r="U274" s="13" t="n">
        <v>-0.34</v>
      </c>
      <c r="V274" s="13" t="n">
        <v>4.55</v>
      </c>
      <c r="W274" s="13" t="n">
        <v>-0.11</v>
      </c>
      <c r="X274" s="13" t="n">
        <v>57.9</v>
      </c>
      <c r="Y274" s="13" t="n">
        <v>34.5</v>
      </c>
      <c r="Z274" s="13" t="n">
        <v>33.2</v>
      </c>
      <c r="AA274" s="13" t="n">
        <v>34</v>
      </c>
      <c r="AB274" s="13" t="n">
        <v>84.9</v>
      </c>
    </row>
    <row r="275" customFormat="false" ht="12.8" hidden="false" customHeight="false" outlineLevel="0" collapsed="false">
      <c r="A275" s="1" t="n">
        <v>6.65</v>
      </c>
      <c r="B275" s="1" t="n">
        <v>-0.12</v>
      </c>
      <c r="C275" s="1" t="n">
        <v>-0.9</v>
      </c>
      <c r="D275" s="1" t="n">
        <v>4.65</v>
      </c>
      <c r="E275" s="1" t="n">
        <v>0.01</v>
      </c>
      <c r="F275" s="1" t="n">
        <v>51.6</v>
      </c>
      <c r="G275" s="1" t="n">
        <v>21.5</v>
      </c>
      <c r="H275" s="1" t="n">
        <v>34.1</v>
      </c>
      <c r="I275" s="1" t="n">
        <v>39</v>
      </c>
      <c r="J275" s="1" t="n">
        <v>87.5</v>
      </c>
      <c r="K275" s="22" t="n">
        <v>10.2826625395825</v>
      </c>
      <c r="L275" s="1" t="n">
        <v>10.31</v>
      </c>
      <c r="M275" s="23" t="n">
        <v>0.0273374604174741</v>
      </c>
      <c r="P275" s="12" t="n">
        <v>8</v>
      </c>
      <c r="Q275" s="13" t="s">
        <v>101</v>
      </c>
      <c r="R275" s="13" t="n">
        <v>9.98</v>
      </c>
      <c r="S275" s="13" t="n">
        <v>5.89</v>
      </c>
      <c r="T275" s="13" t="n">
        <v>-0.01</v>
      </c>
      <c r="U275" s="13" t="n">
        <v>-0.45</v>
      </c>
      <c r="V275" s="13" t="n">
        <v>4.55</v>
      </c>
      <c r="W275" s="13" t="n">
        <v>-0.02</v>
      </c>
      <c r="X275" s="13" t="n">
        <v>63.2</v>
      </c>
      <c r="Y275" s="13" t="n">
        <v>20.1</v>
      </c>
      <c r="Z275" s="13" t="n">
        <v>32.7</v>
      </c>
      <c r="AA275" s="13" t="n">
        <v>34.1</v>
      </c>
      <c r="AB275" s="13" t="n">
        <v>85</v>
      </c>
    </row>
    <row r="276" customFormat="false" ht="12.8" hidden="false" customHeight="false" outlineLevel="0" collapsed="false">
      <c r="A276" s="1" t="n">
        <v>6.41</v>
      </c>
      <c r="B276" s="1" t="n">
        <v>0.11</v>
      </c>
      <c r="C276" s="1" t="n">
        <v>-1.48</v>
      </c>
      <c r="D276" s="1" t="n">
        <v>4.65</v>
      </c>
      <c r="E276" s="1" t="n">
        <v>-0.25</v>
      </c>
      <c r="F276" s="1" t="n">
        <v>60.2</v>
      </c>
      <c r="G276" s="1" t="n">
        <v>28.8</v>
      </c>
      <c r="H276" s="1" t="n">
        <v>33.9</v>
      </c>
      <c r="I276" s="1" t="n">
        <v>33.9</v>
      </c>
      <c r="J276" s="1" t="n">
        <v>90.1</v>
      </c>
      <c r="K276" s="22" t="n">
        <v>9.41611701011406</v>
      </c>
      <c r="L276" s="1" t="n">
        <v>9.44</v>
      </c>
      <c r="M276" s="23" t="n">
        <v>0.0238829898859407</v>
      </c>
      <c r="P276" s="12" t="n">
        <v>8</v>
      </c>
      <c r="Q276" s="13" t="s">
        <v>102</v>
      </c>
      <c r="R276" s="13" t="n">
        <v>10.05</v>
      </c>
      <c r="S276" s="13" t="n">
        <v>6.05</v>
      </c>
      <c r="T276" s="13" t="n">
        <v>-0.18</v>
      </c>
      <c r="U276" s="13" t="n">
        <v>-0.4</v>
      </c>
      <c r="V276" s="13" t="n">
        <v>4.55</v>
      </c>
      <c r="W276" s="13" t="n">
        <v>0.03</v>
      </c>
      <c r="X276" s="13" t="n">
        <v>69.1</v>
      </c>
      <c r="Y276" s="13" t="n">
        <v>17.9</v>
      </c>
      <c r="Z276" s="13" t="n">
        <v>31.1</v>
      </c>
      <c r="AA276" s="13" t="n">
        <v>34.9</v>
      </c>
      <c r="AB276" s="13" t="n">
        <v>83.8</v>
      </c>
    </row>
    <row r="277" customFormat="false" ht="12.8" hidden="false" customHeight="false" outlineLevel="0" collapsed="false">
      <c r="A277" s="1" t="n">
        <v>6.21</v>
      </c>
      <c r="B277" s="1" t="n">
        <v>-0.33</v>
      </c>
      <c r="C277" s="1" t="n">
        <v>-0.19</v>
      </c>
      <c r="D277" s="1" t="n">
        <v>4.55</v>
      </c>
      <c r="E277" s="1" t="n">
        <v>0.03</v>
      </c>
      <c r="F277" s="1" t="n">
        <v>56.1</v>
      </c>
      <c r="G277" s="1" t="n">
        <v>16</v>
      </c>
      <c r="H277" s="1" t="n">
        <v>32.2</v>
      </c>
      <c r="I277" s="1" t="n">
        <v>33.3</v>
      </c>
      <c r="J277" s="1" t="n">
        <v>87.9</v>
      </c>
      <c r="K277" s="22" t="n">
        <v>10.2837914588936</v>
      </c>
      <c r="L277" s="1" t="n">
        <v>10.28</v>
      </c>
      <c r="M277" s="23" t="n">
        <v>-0.00379145889361432</v>
      </c>
      <c r="P277" s="12" t="n">
        <v>8</v>
      </c>
      <c r="Q277" s="13" t="s">
        <v>103</v>
      </c>
      <c r="R277" s="13" t="n">
        <v>10.11</v>
      </c>
      <c r="S277" s="13" t="n">
        <v>5.85</v>
      </c>
      <c r="T277" s="13" t="n">
        <v>0.06</v>
      </c>
      <c r="U277" s="13" t="n">
        <v>-0.29</v>
      </c>
      <c r="V277" s="13" t="n">
        <v>4.55</v>
      </c>
      <c r="W277" s="13" t="n">
        <v>-0.07</v>
      </c>
      <c r="X277" s="13" t="n">
        <v>58.9</v>
      </c>
      <c r="Y277" s="13" t="n">
        <v>22.8</v>
      </c>
      <c r="Z277" s="13" t="n">
        <v>33.1</v>
      </c>
      <c r="AA277" s="13" t="n">
        <v>34.5</v>
      </c>
      <c r="AB277" s="13" t="n">
        <v>87.5</v>
      </c>
    </row>
    <row r="278" customFormat="false" ht="12.8" hidden="false" customHeight="false" outlineLevel="0" collapsed="false">
      <c r="A278" s="1" t="n">
        <v>6.38</v>
      </c>
      <c r="B278" s="1" t="n">
        <v>-0.41</v>
      </c>
      <c r="C278" s="1" t="n">
        <v>-0.77</v>
      </c>
      <c r="D278" s="1" t="n">
        <v>4.55</v>
      </c>
      <c r="E278" s="1" t="n">
        <v>0.11</v>
      </c>
      <c r="F278" s="1" t="n">
        <v>63.2</v>
      </c>
      <c r="G278" s="1" t="n">
        <v>29.2</v>
      </c>
      <c r="H278" s="1" t="n">
        <v>31.6</v>
      </c>
      <c r="I278" s="1" t="n">
        <v>32.9</v>
      </c>
      <c r="J278" s="1" t="n">
        <v>88.4</v>
      </c>
      <c r="K278" s="22" t="n">
        <v>9.84515623071572</v>
      </c>
      <c r="L278" s="1" t="n">
        <v>9.85</v>
      </c>
      <c r="M278" s="23" t="n">
        <v>0.00484376928428354</v>
      </c>
      <c r="P278" s="12" t="n">
        <v>8</v>
      </c>
      <c r="Q278" s="13" t="s">
        <v>104</v>
      </c>
      <c r="R278" s="13" t="n">
        <v>10.55</v>
      </c>
      <c r="S278" s="13" t="n">
        <v>6.91</v>
      </c>
      <c r="T278" s="13" t="n">
        <v>-0.18</v>
      </c>
      <c r="U278" s="13" t="n">
        <v>-0.67</v>
      </c>
      <c r="V278" s="13" t="n">
        <v>4.55</v>
      </c>
      <c r="W278" s="13" t="n">
        <v>-0.05</v>
      </c>
      <c r="X278" s="13" t="n">
        <v>59.3</v>
      </c>
      <c r="Y278" s="13" t="n">
        <v>24.6</v>
      </c>
      <c r="Z278" s="13" t="n">
        <v>33.3</v>
      </c>
      <c r="AA278" s="13" t="n">
        <v>36.9</v>
      </c>
      <c r="AB278" s="13" t="n">
        <v>88.7</v>
      </c>
    </row>
    <row r="279" customFormat="false" ht="12.8" hidden="false" customHeight="false" outlineLevel="0" collapsed="false">
      <c r="A279" s="1" t="n">
        <v>6.02</v>
      </c>
      <c r="B279" s="1" t="n">
        <v>-0.37</v>
      </c>
      <c r="C279" s="1" t="n">
        <v>-0.64</v>
      </c>
      <c r="D279" s="1" t="n">
        <v>4.55</v>
      </c>
      <c r="E279" s="1" t="n">
        <v>-0.06</v>
      </c>
      <c r="F279" s="1" t="n">
        <v>65.7</v>
      </c>
      <c r="G279" s="1" t="n">
        <v>21.8</v>
      </c>
      <c r="H279" s="1" t="n">
        <v>33.2</v>
      </c>
      <c r="I279" s="1" t="n">
        <v>32.8</v>
      </c>
      <c r="J279" s="1" t="n">
        <v>90.2</v>
      </c>
      <c r="K279" s="22" t="n">
        <v>9.47893064857366</v>
      </c>
      <c r="L279" s="1" t="n">
        <v>9.51</v>
      </c>
      <c r="M279" s="23" t="n">
        <v>0.0310693514263374</v>
      </c>
      <c r="P279" s="12" t="n">
        <v>8</v>
      </c>
      <c r="Q279" s="13" t="s">
        <v>105</v>
      </c>
      <c r="R279" s="13" t="n">
        <v>10.06</v>
      </c>
      <c r="S279" s="13" t="n">
        <v>6.56</v>
      </c>
      <c r="T279" s="13" t="n">
        <v>-0.27</v>
      </c>
      <c r="U279" s="13" t="n">
        <v>-0.73</v>
      </c>
      <c r="V279" s="13" t="n">
        <v>4.55</v>
      </c>
      <c r="W279" s="13" t="n">
        <v>-0.06</v>
      </c>
      <c r="X279" s="13" t="n">
        <v>58.8</v>
      </c>
      <c r="Y279" s="13" t="n">
        <v>23.5</v>
      </c>
      <c r="Z279" s="13" t="n">
        <v>33.4</v>
      </c>
      <c r="AA279" s="13" t="n">
        <v>36.5</v>
      </c>
      <c r="AB279" s="13" t="n">
        <v>88.1</v>
      </c>
    </row>
    <row r="280" customFormat="false" ht="12.8" hidden="false" customHeight="false" outlineLevel="0" collapsed="false">
      <c r="A280" s="1" t="n">
        <v>5.99</v>
      </c>
      <c r="B280" s="1" t="n">
        <v>-0.16</v>
      </c>
      <c r="C280" s="1" t="n">
        <v>-0.35</v>
      </c>
      <c r="D280" s="1" t="n">
        <v>4.55</v>
      </c>
      <c r="E280" s="1" t="n">
        <v>0.06</v>
      </c>
      <c r="F280" s="1" t="n">
        <v>65.8</v>
      </c>
      <c r="G280" s="1" t="n">
        <v>26.6</v>
      </c>
      <c r="H280" s="1" t="n">
        <v>32.2</v>
      </c>
      <c r="I280" s="1" t="n">
        <v>33.9</v>
      </c>
      <c r="J280" s="1" t="n">
        <v>89.4</v>
      </c>
      <c r="K280" s="22" t="n">
        <v>10.0780884967826</v>
      </c>
      <c r="L280" s="1" t="n">
        <v>10.1</v>
      </c>
      <c r="M280" s="23" t="n">
        <v>0.0219115032174209</v>
      </c>
      <c r="P280" s="12" t="n">
        <v>8</v>
      </c>
      <c r="Q280" s="13" t="s">
        <v>106</v>
      </c>
      <c r="R280" s="13" t="n">
        <v>10.08</v>
      </c>
      <c r="S280" s="13" t="n">
        <v>6.3</v>
      </c>
      <c r="T280" s="13" t="n">
        <v>-0.1</v>
      </c>
      <c r="U280" s="13" t="n">
        <v>-0.59</v>
      </c>
      <c r="V280" s="13" t="n">
        <v>4.55</v>
      </c>
      <c r="W280" s="13" t="n">
        <v>-0.09</v>
      </c>
      <c r="X280" s="13" t="n">
        <v>63.9</v>
      </c>
      <c r="Y280" s="13" t="n">
        <v>37.3</v>
      </c>
      <c r="Z280" s="13" t="n">
        <v>32.6</v>
      </c>
      <c r="AA280" s="13" t="n">
        <v>37.9</v>
      </c>
      <c r="AB280" s="13" t="n">
        <v>88.4</v>
      </c>
    </row>
    <row r="281" customFormat="false" ht="12.8" hidden="false" customHeight="false" outlineLevel="0" collapsed="false">
      <c r="A281" s="1" t="n">
        <v>6.81</v>
      </c>
      <c r="B281" s="1" t="n">
        <v>-0.66</v>
      </c>
      <c r="C281" s="1" t="n">
        <v>-0.69</v>
      </c>
      <c r="D281" s="1" t="n">
        <v>4.55</v>
      </c>
      <c r="E281" s="1" t="n">
        <v>0.04</v>
      </c>
      <c r="F281" s="1" t="n">
        <v>64.3</v>
      </c>
      <c r="G281" s="1" t="n">
        <v>32.8</v>
      </c>
      <c r="H281" s="1" t="n">
        <v>34</v>
      </c>
      <c r="I281" s="1" t="n">
        <v>36</v>
      </c>
      <c r="J281" s="1" t="n">
        <v>88.6</v>
      </c>
      <c r="K281" s="22" t="n">
        <v>10.010103411125</v>
      </c>
      <c r="L281" s="1" t="n">
        <v>10.01</v>
      </c>
      <c r="M281" s="23" t="n">
        <v>-0.000103411125035535</v>
      </c>
      <c r="P281" s="12" t="n">
        <v>8</v>
      </c>
      <c r="Q281" s="13" t="s">
        <v>107</v>
      </c>
      <c r="R281" s="13" t="n">
        <v>10.08</v>
      </c>
      <c r="S281" s="13" t="n">
        <v>6.35</v>
      </c>
      <c r="T281" s="13" t="n">
        <v>-0.21</v>
      </c>
      <c r="U281" s="13" t="n">
        <v>-0.55</v>
      </c>
      <c r="V281" s="13" t="n">
        <v>4.55</v>
      </c>
      <c r="W281" s="13" t="n">
        <v>-0.07</v>
      </c>
      <c r="X281" s="13" t="n">
        <v>64.8</v>
      </c>
      <c r="Y281" s="13" t="n">
        <v>34.9</v>
      </c>
      <c r="Z281" s="13" t="n">
        <v>33.2</v>
      </c>
      <c r="AA281" s="13" t="n">
        <v>38</v>
      </c>
      <c r="AB281" s="13" t="n">
        <v>86.8</v>
      </c>
    </row>
    <row r="282" customFormat="false" ht="12.8" hidden="false" customHeight="false" outlineLevel="0" collapsed="false">
      <c r="A282" s="1" t="n">
        <v>6.15</v>
      </c>
      <c r="B282" s="1" t="n">
        <v>-0.33</v>
      </c>
      <c r="C282" s="1" t="n">
        <v>-0.5</v>
      </c>
      <c r="D282" s="1" t="n">
        <v>4.55</v>
      </c>
      <c r="E282" s="1" t="n">
        <v>-0.04</v>
      </c>
      <c r="F282" s="1" t="n">
        <v>79.2</v>
      </c>
      <c r="G282" s="1" t="n">
        <v>30.6</v>
      </c>
      <c r="H282" s="1" t="n">
        <v>33</v>
      </c>
      <c r="I282" s="1" t="n">
        <v>35.8</v>
      </c>
      <c r="J282" s="1" t="n">
        <v>90.2</v>
      </c>
      <c r="K282" s="22" t="n">
        <v>9.78612657046951</v>
      </c>
      <c r="L282" s="1" t="n">
        <v>9.75</v>
      </c>
      <c r="M282" s="23" t="n">
        <v>-0.0361265704695057</v>
      </c>
      <c r="P282" s="12" t="n">
        <v>8</v>
      </c>
      <c r="Q282" s="13" t="s">
        <v>108</v>
      </c>
      <c r="R282" s="13" t="n">
        <v>9.77</v>
      </c>
      <c r="S282" s="13" t="n">
        <v>6.14</v>
      </c>
      <c r="T282" s="13" t="n">
        <v>-0.13</v>
      </c>
      <c r="U282" s="13" t="n">
        <v>-0.75</v>
      </c>
      <c r="V282" s="13" t="n">
        <v>4.55</v>
      </c>
      <c r="W282" s="13" t="n">
        <v>-0.04</v>
      </c>
      <c r="X282" s="13" t="n">
        <v>60.3</v>
      </c>
      <c r="Y282" s="13" t="n">
        <v>20</v>
      </c>
      <c r="Z282" s="13" t="n">
        <v>34.2</v>
      </c>
      <c r="AA282" s="13" t="n">
        <v>33.6</v>
      </c>
      <c r="AB282" s="13" t="n">
        <v>89.3</v>
      </c>
    </row>
    <row r="283" customFormat="false" ht="12.8" hidden="false" customHeight="false" outlineLevel="0" collapsed="false">
      <c r="A283" s="1" t="n">
        <v>5.48</v>
      </c>
      <c r="B283" s="1" t="n">
        <v>-0.21</v>
      </c>
      <c r="C283" s="1" t="n">
        <v>-0.32</v>
      </c>
      <c r="D283" s="1" t="n">
        <v>4.55</v>
      </c>
      <c r="E283" s="1" t="n">
        <v>0.02</v>
      </c>
      <c r="F283" s="1" t="n">
        <v>62.8</v>
      </c>
      <c r="G283" s="1" t="n">
        <v>25.8</v>
      </c>
      <c r="H283" s="1" t="n">
        <v>33.5</v>
      </c>
      <c r="I283" s="1" t="n">
        <v>32.2</v>
      </c>
      <c r="J283" s="1" t="n">
        <v>88.7</v>
      </c>
      <c r="K283" s="22" t="n">
        <v>9.49880868465318</v>
      </c>
      <c r="L283" s="1" t="n">
        <v>9.5</v>
      </c>
      <c r="M283" s="23" t="n">
        <v>0.00119131534682282</v>
      </c>
      <c r="P283" s="12" t="n">
        <v>8</v>
      </c>
      <c r="Q283" s="13" t="s">
        <v>109</v>
      </c>
      <c r="R283" s="13" t="n">
        <v>10.13</v>
      </c>
      <c r="S283" s="13" t="n">
        <v>6.64</v>
      </c>
      <c r="T283" s="13" t="n">
        <v>-0.11</v>
      </c>
      <c r="U283" s="13" t="n">
        <v>-0.91</v>
      </c>
      <c r="V283" s="13" t="n">
        <v>4.55</v>
      </c>
      <c r="W283" s="13" t="n">
        <v>-0.04</v>
      </c>
      <c r="X283" s="13" t="n">
        <v>54.1</v>
      </c>
      <c r="Y283" s="13" t="n">
        <v>18.3</v>
      </c>
      <c r="Z283" s="13" t="n">
        <v>33.6</v>
      </c>
      <c r="AA283" s="13" t="n">
        <v>37.8</v>
      </c>
      <c r="AB283" s="13" t="n">
        <v>90.2</v>
      </c>
    </row>
    <row r="284" customFormat="false" ht="12.8" hidden="false" customHeight="false" outlineLevel="0" collapsed="false">
      <c r="A284" s="1" t="n">
        <v>5.06</v>
      </c>
      <c r="B284" s="1" t="n">
        <v>-0.05</v>
      </c>
      <c r="C284" s="1" t="n">
        <v>0</v>
      </c>
      <c r="D284" s="1" t="n">
        <v>4.55</v>
      </c>
      <c r="E284" s="1" t="n">
        <v>-0.05</v>
      </c>
      <c r="F284" s="1" t="n">
        <v>58.4</v>
      </c>
      <c r="G284" s="1" t="n">
        <v>16.7</v>
      </c>
      <c r="H284" s="1" t="n">
        <v>32.4</v>
      </c>
      <c r="I284" s="1" t="n">
        <v>32.2</v>
      </c>
      <c r="J284" s="1" t="n">
        <v>86.8</v>
      </c>
      <c r="K284" s="22" t="n">
        <v>9.5214566747987</v>
      </c>
      <c r="L284" s="1" t="n">
        <v>9.52</v>
      </c>
      <c r="M284" s="23" t="n">
        <v>-0.00145667479869971</v>
      </c>
      <c r="P284" s="12" t="n">
        <v>8</v>
      </c>
      <c r="Q284" s="13" t="s">
        <v>110</v>
      </c>
      <c r="R284" s="13" t="n">
        <v>9.44</v>
      </c>
      <c r="S284" s="13" t="n">
        <v>6.4</v>
      </c>
      <c r="T284" s="13" t="n">
        <v>0.11</v>
      </c>
      <c r="U284" s="13" t="n">
        <v>-1.41</v>
      </c>
      <c r="V284" s="13" t="n">
        <v>4.55</v>
      </c>
      <c r="W284" s="13" t="n">
        <v>-0.01</v>
      </c>
      <c r="X284" s="13" t="n">
        <v>59.8</v>
      </c>
      <c r="Y284" s="13" t="n">
        <v>31.4</v>
      </c>
      <c r="Z284" s="13" t="n">
        <v>33.2</v>
      </c>
      <c r="AA284" s="13" t="n">
        <v>36</v>
      </c>
      <c r="AB284" s="13" t="n">
        <v>92.4</v>
      </c>
    </row>
    <row r="285" customFormat="false" ht="12.8" hidden="false" customHeight="false" outlineLevel="0" collapsed="false">
      <c r="A285" s="1" t="n">
        <v>5.43</v>
      </c>
      <c r="B285" s="1" t="n">
        <v>-0.09</v>
      </c>
      <c r="C285" s="1" t="n">
        <v>-0.09</v>
      </c>
      <c r="D285" s="1" t="n">
        <v>4.55</v>
      </c>
      <c r="E285" s="1" t="n">
        <v>0.03</v>
      </c>
      <c r="F285" s="1" t="n">
        <v>63.8</v>
      </c>
      <c r="G285" s="1" t="n">
        <v>25.9</v>
      </c>
      <c r="H285" s="1" t="n">
        <v>33.6</v>
      </c>
      <c r="I285" s="1" t="n">
        <v>36</v>
      </c>
      <c r="J285" s="1" t="n">
        <v>86.4</v>
      </c>
      <c r="K285" s="22" t="n">
        <v>9.81224022574578</v>
      </c>
      <c r="L285" s="1" t="n">
        <v>9.82</v>
      </c>
      <c r="M285" s="23" t="n">
        <v>0.00775977425421814</v>
      </c>
    </row>
    <row r="286" customFormat="false" ht="12.8" hidden="false" customHeight="false" outlineLevel="0" collapsed="false">
      <c r="A286" s="1" t="n">
        <v>5.24</v>
      </c>
      <c r="B286" s="1" t="n">
        <v>-0.02</v>
      </c>
      <c r="C286" s="1" t="n">
        <v>-0.09</v>
      </c>
      <c r="D286" s="1" t="n">
        <v>4.55</v>
      </c>
      <c r="E286" s="1" t="n">
        <v>-0.01</v>
      </c>
      <c r="F286" s="1" t="n">
        <v>57.4</v>
      </c>
      <c r="G286" s="1" t="n">
        <v>14.5</v>
      </c>
      <c r="H286" s="1" t="n">
        <v>32.9</v>
      </c>
      <c r="I286" s="1" t="n">
        <v>31.8</v>
      </c>
      <c r="J286" s="1" t="n">
        <v>87.3</v>
      </c>
      <c r="K286" s="22" t="n">
        <v>9.67896198813049</v>
      </c>
      <c r="L286" s="1" t="n">
        <v>9.68</v>
      </c>
      <c r="M286" s="23" t="n">
        <v>0.00103801186951102</v>
      </c>
    </row>
    <row r="287" customFormat="false" ht="12.8" hidden="false" customHeight="false" outlineLevel="0" collapsed="false">
      <c r="A287" s="1" t="n">
        <v>5.03</v>
      </c>
      <c r="B287" s="1" t="n">
        <v>-0.02</v>
      </c>
      <c r="C287" s="1" t="n">
        <v>0.1</v>
      </c>
      <c r="D287" s="1" t="n">
        <v>4.55</v>
      </c>
      <c r="E287" s="1" t="n">
        <v>0</v>
      </c>
      <c r="F287" s="1" t="n">
        <v>51</v>
      </c>
      <c r="G287" s="1" t="n">
        <v>10.5</v>
      </c>
      <c r="H287" s="1" t="n">
        <v>33.1</v>
      </c>
      <c r="I287" s="1" t="n">
        <v>31.9</v>
      </c>
      <c r="J287" s="1" t="n">
        <v>87.2</v>
      </c>
      <c r="K287" s="22" t="n">
        <v>9.68169702913346</v>
      </c>
      <c r="L287" s="1" t="n">
        <v>9.67</v>
      </c>
      <c r="M287" s="23" t="n">
        <v>-0.0116970291334582</v>
      </c>
    </row>
    <row r="288" customFormat="false" ht="12.8" hidden="false" customHeight="false" outlineLevel="0" collapsed="false">
      <c r="A288" s="1" t="n">
        <v>5.1</v>
      </c>
      <c r="B288" s="1" t="n">
        <v>-0.06</v>
      </c>
      <c r="C288" s="1" t="n">
        <v>0.1</v>
      </c>
      <c r="D288" s="1" t="n">
        <v>4.55</v>
      </c>
      <c r="E288" s="1" t="n">
        <v>0.02</v>
      </c>
      <c r="F288" s="1" t="n">
        <v>51.6</v>
      </c>
      <c r="G288" s="1" t="n">
        <v>17.2</v>
      </c>
      <c r="H288" s="1" t="n">
        <v>32.9</v>
      </c>
      <c r="I288" s="1" t="n">
        <v>32.4</v>
      </c>
      <c r="J288" s="1" t="n">
        <v>87</v>
      </c>
      <c r="K288" s="22" t="n">
        <v>9.72592556340548</v>
      </c>
      <c r="L288" s="1" t="n">
        <v>9.73</v>
      </c>
      <c r="M288" s="23" t="n">
        <v>0.00407443659451801</v>
      </c>
    </row>
    <row r="289" customFormat="false" ht="12.8" hidden="false" customHeight="false" outlineLevel="0" collapsed="false">
      <c r="A289" s="1" t="n">
        <v>4.49</v>
      </c>
      <c r="B289" s="1" t="n">
        <v>0.16</v>
      </c>
      <c r="C289" s="1" t="n">
        <v>0.62</v>
      </c>
      <c r="D289" s="1" t="n">
        <v>4.55</v>
      </c>
      <c r="E289" s="1" t="n">
        <v>0.02</v>
      </c>
      <c r="F289" s="1" t="n">
        <v>54.6</v>
      </c>
      <c r="G289" s="1" t="n">
        <v>14.2</v>
      </c>
      <c r="H289" s="1" t="n">
        <v>34</v>
      </c>
      <c r="I289" s="1" t="n">
        <v>33.3</v>
      </c>
      <c r="J289" s="1" t="n">
        <v>86.1</v>
      </c>
      <c r="K289" s="22" t="n">
        <v>9.85210204532259</v>
      </c>
      <c r="L289" s="1" t="n">
        <v>9.85</v>
      </c>
      <c r="M289" s="23" t="n">
        <v>-0.00210204532258906</v>
      </c>
    </row>
    <row r="290" customFormat="false" ht="12.8" hidden="false" customHeight="false" outlineLevel="0" collapsed="false">
      <c r="A290" s="1" t="n">
        <v>5.08</v>
      </c>
      <c r="B290" s="1" t="n">
        <v>-0.07</v>
      </c>
      <c r="C290" s="1" t="n">
        <v>0.34</v>
      </c>
      <c r="D290" s="1" t="n">
        <v>4.55</v>
      </c>
      <c r="E290" s="1" t="n">
        <v>0.05</v>
      </c>
      <c r="F290" s="1" t="n">
        <v>51.8</v>
      </c>
      <c r="G290" s="1" t="n">
        <v>13.8</v>
      </c>
      <c r="H290" s="1" t="n">
        <v>32.8</v>
      </c>
      <c r="I290" s="1" t="n">
        <v>32.9</v>
      </c>
      <c r="J290" s="1" t="n">
        <v>86.5</v>
      </c>
      <c r="K290" s="22" t="n">
        <v>9.9720271524639</v>
      </c>
      <c r="L290" s="1" t="n">
        <v>9.92</v>
      </c>
      <c r="M290" s="23" t="n">
        <v>-0.0520271524639036</v>
      </c>
    </row>
    <row r="291" customFormat="false" ht="12.8" hidden="false" customHeight="false" outlineLevel="0" collapsed="false">
      <c r="A291" s="1" t="n">
        <v>5.28</v>
      </c>
      <c r="B291" s="1" t="n">
        <v>-0.15</v>
      </c>
      <c r="C291" s="1" t="n">
        <v>-0.28</v>
      </c>
      <c r="D291" s="1" t="n">
        <v>4.55</v>
      </c>
      <c r="E291" s="1" t="n">
        <v>0.03</v>
      </c>
      <c r="F291" s="1" t="n">
        <v>72.1</v>
      </c>
      <c r="G291" s="1" t="n">
        <v>28.4</v>
      </c>
      <c r="H291" s="1" t="n">
        <v>35.5</v>
      </c>
      <c r="I291" s="1" t="n">
        <v>38.7</v>
      </c>
      <c r="J291" s="1" t="n">
        <v>88.6</v>
      </c>
      <c r="K291" s="22" t="n">
        <v>9.37541966526269</v>
      </c>
      <c r="L291" s="1" t="n">
        <v>9.21</v>
      </c>
      <c r="M291" s="23" t="n">
        <v>-0.165419665262691</v>
      </c>
    </row>
    <row r="292" customFormat="false" ht="12.8" hidden="false" customHeight="false" outlineLevel="0" collapsed="false">
      <c r="A292" s="1" t="n">
        <v>4.97</v>
      </c>
      <c r="B292" s="1" t="n">
        <v>-0.08</v>
      </c>
      <c r="C292" s="1" t="n">
        <v>0.11</v>
      </c>
      <c r="D292" s="1" t="n">
        <v>4.55</v>
      </c>
      <c r="E292" s="1" t="n">
        <v>0.03</v>
      </c>
      <c r="F292" s="1" t="n">
        <v>73.7</v>
      </c>
      <c r="G292" s="1" t="n">
        <v>28.4</v>
      </c>
      <c r="H292" s="1" t="n">
        <v>33</v>
      </c>
      <c r="I292" s="1" t="n">
        <v>38.4</v>
      </c>
      <c r="J292" s="1" t="n">
        <v>87.5</v>
      </c>
      <c r="K292" s="22" t="n">
        <v>9.5517480754618</v>
      </c>
      <c r="L292" s="1" t="n">
        <v>9.59</v>
      </c>
      <c r="M292" s="23" t="n">
        <v>0.0382519245381978</v>
      </c>
    </row>
    <row r="293" customFormat="false" ht="12.8" hidden="false" customHeight="false" outlineLevel="0" collapsed="false">
      <c r="A293" s="1" t="n">
        <v>5.12</v>
      </c>
      <c r="B293" s="1" t="n">
        <v>0</v>
      </c>
      <c r="C293" s="1" t="n">
        <v>0.06</v>
      </c>
      <c r="D293" s="1" t="n">
        <v>4.55</v>
      </c>
      <c r="E293" s="1" t="n">
        <v>0.01</v>
      </c>
      <c r="F293" s="1" t="n">
        <v>69.1</v>
      </c>
      <c r="G293" s="1" t="n">
        <v>27.4</v>
      </c>
      <c r="H293" s="1" t="n">
        <v>33.6</v>
      </c>
      <c r="I293" s="1" t="n">
        <v>33.8</v>
      </c>
      <c r="J293" s="1" t="n">
        <v>87.1</v>
      </c>
      <c r="K293" s="22" t="n">
        <v>9.71498557706818</v>
      </c>
      <c r="L293" s="1" t="n">
        <v>9.7</v>
      </c>
      <c r="M293" s="23" t="n">
        <v>-0.0149855770681828</v>
      </c>
    </row>
    <row r="294" customFormat="false" ht="12.8" hidden="false" customHeight="false" outlineLevel="0" collapsed="false">
      <c r="A294" s="1" t="n">
        <v>5.43</v>
      </c>
      <c r="B294" s="1" t="n">
        <v>-0.14</v>
      </c>
      <c r="C294" s="1" t="n">
        <v>-0.05</v>
      </c>
      <c r="D294" s="1" t="n">
        <v>4.55</v>
      </c>
      <c r="E294" s="1" t="n">
        <v>-0.1</v>
      </c>
      <c r="F294" s="1" t="n">
        <v>69.9</v>
      </c>
      <c r="G294" s="1" t="n">
        <v>22.7</v>
      </c>
      <c r="H294" s="1" t="n">
        <v>32.8</v>
      </c>
      <c r="I294" s="1" t="n">
        <v>32.8</v>
      </c>
      <c r="J294" s="1" t="n">
        <v>86.2</v>
      </c>
      <c r="K294" s="22" t="n">
        <v>9.6765312015115</v>
      </c>
      <c r="L294" s="1" t="n">
        <v>9.71</v>
      </c>
      <c r="M294" s="23" t="n">
        <v>0.0334687984885047</v>
      </c>
    </row>
    <row r="295" customFormat="false" ht="12.8" hidden="false" customHeight="false" outlineLevel="0" collapsed="false">
      <c r="A295" s="1" t="n">
        <v>5.4</v>
      </c>
      <c r="B295" s="1" t="n">
        <v>-0.16</v>
      </c>
      <c r="C295" s="1" t="n">
        <v>-0.13</v>
      </c>
      <c r="D295" s="1" t="n">
        <v>4.55</v>
      </c>
      <c r="E295" s="1" t="n">
        <v>-0.09</v>
      </c>
      <c r="F295" s="1" t="n">
        <v>70.2</v>
      </c>
      <c r="G295" s="1" t="n">
        <v>27.2</v>
      </c>
      <c r="H295" s="1" t="n">
        <v>32.7</v>
      </c>
      <c r="I295" s="1" t="n">
        <v>34.7</v>
      </c>
      <c r="J295" s="1" t="n">
        <v>86.7</v>
      </c>
      <c r="K295" s="22" t="n">
        <v>9.55145023358919</v>
      </c>
      <c r="L295" s="1" t="n">
        <v>9.55</v>
      </c>
      <c r="M295" s="23" t="n">
        <v>-0.00145023358918728</v>
      </c>
    </row>
    <row r="296" customFormat="false" ht="12.8" hidden="false" customHeight="false" outlineLevel="0" collapsed="false">
      <c r="A296" s="1" t="n">
        <v>5.28</v>
      </c>
      <c r="B296" s="1" t="n">
        <v>-0.09</v>
      </c>
      <c r="C296" s="1" t="n">
        <v>-0.17</v>
      </c>
      <c r="D296" s="1" t="n">
        <v>4.55</v>
      </c>
      <c r="E296" s="1" t="n">
        <v>0.05</v>
      </c>
      <c r="F296" s="1" t="n">
        <v>65.9</v>
      </c>
      <c r="G296" s="1" t="n">
        <v>25.3</v>
      </c>
      <c r="H296" s="1" t="n">
        <v>33.4</v>
      </c>
      <c r="I296" s="1" t="n">
        <v>35.3</v>
      </c>
      <c r="J296" s="1" t="n">
        <v>87.9</v>
      </c>
      <c r="K296" s="22" t="n">
        <v>9.59850802422549</v>
      </c>
      <c r="L296" s="1" t="n">
        <v>9.63</v>
      </c>
      <c r="M296" s="23" t="n">
        <v>0.0314919757745145</v>
      </c>
    </row>
    <row r="297" customFormat="false" ht="12.8" hidden="false" customHeight="false" outlineLevel="0" collapsed="false">
      <c r="A297" s="1" t="n">
        <v>5.4</v>
      </c>
      <c r="B297" s="1" t="n">
        <v>-0.01</v>
      </c>
      <c r="C297" s="1" t="n">
        <v>-0.12</v>
      </c>
      <c r="D297" s="1" t="n">
        <v>4.55</v>
      </c>
      <c r="E297" s="1" t="n">
        <v>0.03</v>
      </c>
      <c r="F297" s="1" t="n">
        <v>65.9</v>
      </c>
      <c r="G297" s="1" t="n">
        <v>26.4</v>
      </c>
      <c r="H297" s="1" t="n">
        <v>34.2</v>
      </c>
      <c r="I297" s="1" t="n">
        <v>35.3</v>
      </c>
      <c r="J297" s="1" t="n">
        <v>87.3</v>
      </c>
      <c r="K297" s="22" t="n">
        <v>9.82350936555962</v>
      </c>
      <c r="L297" s="1" t="n">
        <v>9.8</v>
      </c>
      <c r="M297" s="23" t="n">
        <v>-0.0235093655596188</v>
      </c>
    </row>
    <row r="298" customFormat="false" ht="12.8" hidden="false" customHeight="false" outlineLevel="0" collapsed="false">
      <c r="A298" s="1" t="n">
        <v>5.1</v>
      </c>
      <c r="B298" s="1" t="n">
        <v>-0.05</v>
      </c>
      <c r="C298" s="1" t="n">
        <v>0.07</v>
      </c>
      <c r="D298" s="1" t="n">
        <v>4.55</v>
      </c>
      <c r="E298" s="1" t="n">
        <v>-0.02</v>
      </c>
      <c r="F298" s="1" t="n">
        <v>62.8</v>
      </c>
      <c r="G298" s="1" t="n">
        <v>18.8</v>
      </c>
      <c r="H298" s="1" t="n">
        <v>34.3</v>
      </c>
      <c r="I298" s="1" t="n">
        <v>35</v>
      </c>
      <c r="J298" s="1" t="n">
        <v>87.5</v>
      </c>
      <c r="K298" s="22" t="n">
        <v>9.63601210815482</v>
      </c>
      <c r="L298" s="1" t="n">
        <v>9.61</v>
      </c>
      <c r="M298" s="23" t="n">
        <v>-0.0260121081548164</v>
      </c>
    </row>
    <row r="299" customFormat="false" ht="12.8" hidden="false" customHeight="false" outlineLevel="0" collapsed="false">
      <c r="A299" s="1" t="n">
        <v>4.94</v>
      </c>
      <c r="B299" s="1" t="n">
        <v>0.18</v>
      </c>
      <c r="C299" s="1" t="n">
        <v>0.21</v>
      </c>
      <c r="D299" s="1" t="n">
        <v>4.55</v>
      </c>
      <c r="E299" s="1" t="n">
        <v>0.03</v>
      </c>
      <c r="F299" s="1" t="n">
        <v>57.7</v>
      </c>
      <c r="G299" s="1" t="n">
        <v>17.2</v>
      </c>
      <c r="H299" s="1" t="n">
        <v>32.9</v>
      </c>
      <c r="I299" s="1" t="n">
        <v>31.7</v>
      </c>
      <c r="J299" s="1" t="n">
        <v>86.8</v>
      </c>
      <c r="K299" s="22" t="n">
        <v>9.92105547855859</v>
      </c>
      <c r="L299" s="1" t="n">
        <v>9.93</v>
      </c>
      <c r="M299" s="23" t="n">
        <v>0.00894452144140523</v>
      </c>
    </row>
    <row r="300" customFormat="false" ht="12.8" hidden="false" customHeight="false" outlineLevel="0" collapsed="false">
      <c r="A300" s="1" t="n">
        <v>5.22</v>
      </c>
      <c r="B300" s="1" t="n">
        <v>0.02</v>
      </c>
      <c r="C300" s="1" t="n">
        <v>-0.01</v>
      </c>
      <c r="D300" s="1" t="n">
        <v>4.55</v>
      </c>
      <c r="E300" s="1" t="n">
        <v>-0.02</v>
      </c>
      <c r="F300" s="1" t="n">
        <v>65.7</v>
      </c>
      <c r="G300" s="1" t="n">
        <v>19.2</v>
      </c>
      <c r="H300" s="1" t="n">
        <v>33.4</v>
      </c>
      <c r="I300" s="1" t="n">
        <v>34.3</v>
      </c>
      <c r="J300" s="1" t="n">
        <v>85.9</v>
      </c>
      <c r="K300" s="22" t="n">
        <v>9.75031676359805</v>
      </c>
      <c r="L300" s="1" t="n">
        <v>9.77</v>
      </c>
      <c r="M300" s="23" t="n">
        <v>0.0196832364019457</v>
      </c>
    </row>
    <row r="301" customFormat="false" ht="12.8" hidden="false" customHeight="false" outlineLevel="0" collapsed="false">
      <c r="A301" s="1" t="n">
        <v>5.35</v>
      </c>
      <c r="B301" s="1" t="n">
        <v>0.09</v>
      </c>
      <c r="C301" s="1" t="n">
        <v>-0.17</v>
      </c>
      <c r="D301" s="1" t="n">
        <v>4.55</v>
      </c>
      <c r="E301" s="1" t="n">
        <v>0.05</v>
      </c>
      <c r="F301" s="1" t="n">
        <v>65</v>
      </c>
      <c r="G301" s="1" t="n">
        <v>16.7</v>
      </c>
      <c r="H301" s="1" t="n">
        <v>33.6</v>
      </c>
      <c r="I301" s="1" t="n">
        <v>31.6</v>
      </c>
      <c r="J301" s="1" t="n">
        <v>87.6</v>
      </c>
      <c r="K301" s="22" t="n">
        <v>9.85818492653243</v>
      </c>
      <c r="L301" s="1" t="n">
        <v>9.88</v>
      </c>
      <c r="M301" s="23" t="n">
        <v>0.0218150734675753</v>
      </c>
    </row>
    <row r="302" customFormat="false" ht="12.8" hidden="false" customHeight="false" outlineLevel="0" collapsed="false">
      <c r="A302" s="1" t="n">
        <v>5.25</v>
      </c>
      <c r="B302" s="1" t="n">
        <v>0.08</v>
      </c>
      <c r="C302" s="1" t="n">
        <v>0.05</v>
      </c>
      <c r="D302" s="1" t="n">
        <v>4.55</v>
      </c>
      <c r="E302" s="1" t="n">
        <v>-0.04</v>
      </c>
      <c r="F302" s="1" t="n">
        <v>64.1</v>
      </c>
      <c r="G302" s="1" t="n">
        <v>17.9</v>
      </c>
      <c r="H302" s="1" t="n">
        <v>33.6</v>
      </c>
      <c r="I302" s="1" t="n">
        <v>31.3</v>
      </c>
      <c r="J302" s="1" t="n">
        <v>84.9</v>
      </c>
      <c r="K302" s="22" t="n">
        <v>9.8840805982306</v>
      </c>
      <c r="L302" s="1" t="n">
        <v>9.89</v>
      </c>
      <c r="M302" s="23" t="n">
        <v>0.00591940176940042</v>
      </c>
    </row>
    <row r="303" customFormat="false" ht="12.8" hidden="false" customHeight="false" outlineLevel="0" collapsed="false">
      <c r="A303" s="1" t="n">
        <v>5.34</v>
      </c>
      <c r="B303" s="1" t="n">
        <v>0.16</v>
      </c>
      <c r="C303" s="1" t="n">
        <v>0.11</v>
      </c>
      <c r="D303" s="1" t="n">
        <v>4.55</v>
      </c>
      <c r="E303" s="1" t="n">
        <v>-0.04</v>
      </c>
      <c r="F303" s="1" t="n">
        <v>51.5</v>
      </c>
      <c r="G303" s="1" t="n">
        <v>13.1</v>
      </c>
      <c r="H303" s="1" t="n">
        <v>33.7</v>
      </c>
      <c r="I303" s="1" t="n">
        <v>32.7</v>
      </c>
      <c r="J303" s="1" t="n">
        <v>85</v>
      </c>
      <c r="K303" s="22" t="n">
        <v>10.1396356754153</v>
      </c>
      <c r="L303" s="1" t="n">
        <v>10.13</v>
      </c>
      <c r="M303" s="23" t="n">
        <v>-0.00963567541531951</v>
      </c>
    </row>
    <row r="304" customFormat="false" ht="12.8" hidden="false" customHeight="false" outlineLevel="0" collapsed="false">
      <c r="A304" s="1" t="n">
        <v>5.56</v>
      </c>
      <c r="B304" s="1" t="n">
        <v>0.02</v>
      </c>
      <c r="C304" s="1" t="n">
        <v>-0.04</v>
      </c>
      <c r="D304" s="1" t="n">
        <v>4.55</v>
      </c>
      <c r="E304" s="1" t="n">
        <v>0.02</v>
      </c>
      <c r="F304" s="1" t="n">
        <v>57.9</v>
      </c>
      <c r="G304" s="1" t="n">
        <v>15.4</v>
      </c>
      <c r="H304" s="1" t="n">
        <v>33.6</v>
      </c>
      <c r="I304" s="1" t="n">
        <v>33.3</v>
      </c>
      <c r="J304" s="1" t="n">
        <v>86.5</v>
      </c>
      <c r="K304" s="22" t="n">
        <v>10.1134932357065</v>
      </c>
      <c r="L304" s="1" t="n">
        <v>10.12</v>
      </c>
      <c r="M304" s="23" t="n">
        <v>0.00650676429351904</v>
      </c>
    </row>
    <row r="305" customFormat="false" ht="12.8" hidden="false" customHeight="false" outlineLevel="0" collapsed="false">
      <c r="A305" s="1" t="n">
        <v>5.91</v>
      </c>
      <c r="B305" s="1" t="n">
        <v>-0.02</v>
      </c>
      <c r="C305" s="1" t="n">
        <v>-0.44</v>
      </c>
      <c r="D305" s="1" t="n">
        <v>4.55</v>
      </c>
      <c r="E305" s="1" t="n">
        <v>-0.06</v>
      </c>
      <c r="F305" s="1" t="n">
        <v>59</v>
      </c>
      <c r="G305" s="1" t="n">
        <v>20.4</v>
      </c>
      <c r="H305" s="1" t="n">
        <v>35.1</v>
      </c>
      <c r="I305" s="1" t="n">
        <v>36.9</v>
      </c>
      <c r="J305" s="1" t="n">
        <v>83.5</v>
      </c>
      <c r="K305" s="22" t="n">
        <v>9.92233091695271</v>
      </c>
      <c r="L305" s="1" t="n">
        <v>9.91</v>
      </c>
      <c r="M305" s="23" t="n">
        <v>-0.0123309169527097</v>
      </c>
    </row>
    <row r="306" customFormat="false" ht="12.8" hidden="false" customHeight="false" outlineLevel="0" collapsed="false">
      <c r="A306" s="1" t="n">
        <v>6.11</v>
      </c>
      <c r="B306" s="1" t="n">
        <v>-0.11</v>
      </c>
      <c r="C306" s="1" t="n">
        <v>-0.52</v>
      </c>
      <c r="D306" s="1" t="n">
        <v>4.55</v>
      </c>
      <c r="E306" s="1" t="n">
        <v>0.05</v>
      </c>
      <c r="F306" s="1" t="n">
        <v>61.5</v>
      </c>
      <c r="G306" s="1" t="n">
        <v>16.7</v>
      </c>
      <c r="H306" s="1" t="n">
        <v>34.3</v>
      </c>
      <c r="I306" s="1" t="n">
        <v>34.7</v>
      </c>
      <c r="J306" s="1" t="n">
        <v>84.3</v>
      </c>
      <c r="K306" s="22" t="n">
        <v>10.0634833041559</v>
      </c>
      <c r="L306" s="1" t="n">
        <v>10.06</v>
      </c>
      <c r="M306" s="23" t="n">
        <v>-0.00348330415588904</v>
      </c>
    </row>
    <row r="307" customFormat="false" ht="12.8" hidden="false" customHeight="false" outlineLevel="0" collapsed="false">
      <c r="A307" s="1" t="n">
        <v>6.04</v>
      </c>
      <c r="B307" s="1" t="n">
        <v>-0.15</v>
      </c>
      <c r="C307" s="1" t="n">
        <v>-0.66</v>
      </c>
      <c r="D307" s="1" t="n">
        <v>4.55</v>
      </c>
      <c r="E307" s="1" t="n">
        <v>0.07</v>
      </c>
      <c r="F307" s="1" t="n">
        <v>61.6</v>
      </c>
      <c r="G307" s="1" t="n">
        <v>25.5</v>
      </c>
      <c r="H307" s="1" t="n">
        <v>32.4</v>
      </c>
      <c r="I307" s="1" t="n">
        <v>32</v>
      </c>
      <c r="J307" s="1" t="n">
        <v>87.7</v>
      </c>
      <c r="K307" s="22" t="n">
        <v>9.83869570021154</v>
      </c>
      <c r="L307" s="1" t="n">
        <v>9.86</v>
      </c>
      <c r="M307" s="23" t="n">
        <v>0.0213042997884596</v>
      </c>
    </row>
    <row r="308" customFormat="false" ht="12.8" hidden="false" customHeight="false" outlineLevel="0" collapsed="false">
      <c r="A308" s="1" t="n">
        <v>6.35</v>
      </c>
      <c r="B308" s="1" t="n">
        <v>-0.26</v>
      </c>
      <c r="C308" s="1" t="n">
        <v>-0.51</v>
      </c>
      <c r="D308" s="1" t="n">
        <v>4.55</v>
      </c>
      <c r="E308" s="1" t="n">
        <v>0.08</v>
      </c>
      <c r="F308" s="1" t="n">
        <v>72.4</v>
      </c>
      <c r="G308" s="1" t="n">
        <v>39.5</v>
      </c>
      <c r="H308" s="1" t="n">
        <v>33.5</v>
      </c>
      <c r="I308" s="1" t="n">
        <v>34.5</v>
      </c>
      <c r="J308" s="1" t="n">
        <v>89.7</v>
      </c>
      <c r="K308" s="22" t="n">
        <v>10.161834456841</v>
      </c>
      <c r="L308" s="1" t="n">
        <v>9.94</v>
      </c>
      <c r="M308" s="23" t="n">
        <v>-0.221834456841007</v>
      </c>
    </row>
    <row r="309" customFormat="false" ht="12.8" hidden="false" customHeight="false" outlineLevel="0" collapsed="false">
      <c r="A309" s="1" t="n">
        <v>5.65</v>
      </c>
      <c r="B309" s="1" t="n">
        <v>0.07</v>
      </c>
      <c r="C309" s="1" t="n">
        <v>-0.24</v>
      </c>
      <c r="D309" s="1" t="n">
        <v>4.55</v>
      </c>
      <c r="E309" s="1" t="n">
        <v>0.01</v>
      </c>
      <c r="F309" s="1" t="n">
        <v>66.2</v>
      </c>
      <c r="G309" s="1" t="n">
        <v>34.8</v>
      </c>
      <c r="H309" s="1" t="n">
        <v>32.2</v>
      </c>
      <c r="I309" s="1" t="n">
        <v>38.9</v>
      </c>
      <c r="J309" s="1" t="n">
        <v>85.9</v>
      </c>
      <c r="K309" s="22" t="n">
        <v>10.0270449110781</v>
      </c>
      <c r="L309" s="1" t="n">
        <v>10.05</v>
      </c>
      <c r="M309" s="23" t="n">
        <v>0.0229550889218775</v>
      </c>
    </row>
    <row r="310" customFormat="false" ht="12.8" hidden="false" customHeight="false" outlineLevel="0" collapsed="false">
      <c r="A310" s="1" t="n">
        <v>5.38</v>
      </c>
      <c r="B310" s="1" t="n">
        <v>0.04</v>
      </c>
      <c r="C310" s="1" t="n">
        <v>-0.13</v>
      </c>
      <c r="D310" s="1" t="n">
        <v>4.55</v>
      </c>
      <c r="E310" s="1" t="n">
        <v>-0.06</v>
      </c>
      <c r="F310" s="1" t="n">
        <v>60.8</v>
      </c>
      <c r="G310" s="1" t="n">
        <v>22.2</v>
      </c>
      <c r="H310" s="1" t="n">
        <v>33.4</v>
      </c>
      <c r="I310" s="1" t="n">
        <v>35.3</v>
      </c>
      <c r="J310" s="1" t="n">
        <v>86.1</v>
      </c>
      <c r="K310" s="22" t="n">
        <v>9.77610750786644</v>
      </c>
      <c r="L310" s="1" t="n">
        <v>9.78</v>
      </c>
      <c r="M310" s="23" t="n">
        <v>0.00389249213355924</v>
      </c>
    </row>
    <row r="311" customFormat="false" ht="12.8" hidden="false" customHeight="false" outlineLevel="0" collapsed="false">
      <c r="A311" s="1" t="n">
        <v>5.83</v>
      </c>
      <c r="B311" s="1" t="n">
        <v>-0.17</v>
      </c>
      <c r="C311" s="1" t="n">
        <v>-0.09</v>
      </c>
      <c r="D311" s="1" t="n">
        <v>4.55</v>
      </c>
      <c r="E311" s="1" t="n">
        <v>0.03</v>
      </c>
      <c r="F311" s="1" t="n">
        <v>60.8</v>
      </c>
      <c r="G311" s="1" t="n">
        <v>19</v>
      </c>
      <c r="H311" s="1" t="n">
        <v>32.4</v>
      </c>
      <c r="I311" s="1" t="n">
        <v>33.3</v>
      </c>
      <c r="J311" s="1" t="n">
        <v>88.2</v>
      </c>
      <c r="K311" s="22" t="n">
        <v>10.1542332613707</v>
      </c>
      <c r="L311" s="1" t="n">
        <v>10.15</v>
      </c>
      <c r="M311" s="23" t="n">
        <v>-0.00423326137065594</v>
      </c>
    </row>
    <row r="312" customFormat="false" ht="12.8" hidden="false" customHeight="false" outlineLevel="0" collapsed="false">
      <c r="A312" s="1" t="n">
        <v>6.16</v>
      </c>
      <c r="B312" s="1" t="n">
        <v>-0.11</v>
      </c>
      <c r="C312" s="1" t="n">
        <v>-0.38</v>
      </c>
      <c r="D312" s="1" t="n">
        <v>4.55</v>
      </c>
      <c r="E312" s="1" t="n">
        <v>0.02</v>
      </c>
      <c r="F312" s="1" t="n">
        <v>56.6</v>
      </c>
      <c r="G312" s="1" t="n">
        <v>29</v>
      </c>
      <c r="H312" s="1" t="n">
        <v>35.3</v>
      </c>
      <c r="I312" s="1" t="n">
        <v>31.7</v>
      </c>
      <c r="J312" s="1" t="n">
        <v>82.3</v>
      </c>
      <c r="K312" s="22" t="n">
        <v>10.2133839610241</v>
      </c>
      <c r="L312" s="1" t="n">
        <v>10.24</v>
      </c>
      <c r="M312" s="23" t="n">
        <v>0.0266160389759484</v>
      </c>
    </row>
    <row r="313" customFormat="false" ht="12.8" hidden="false" customHeight="false" outlineLevel="0" collapsed="false">
      <c r="A313" s="1" t="n">
        <v>5.95</v>
      </c>
      <c r="B313" s="1" t="n">
        <v>-0.03</v>
      </c>
      <c r="C313" s="1" t="n">
        <v>-0.34</v>
      </c>
      <c r="D313" s="1" t="n">
        <v>4.55</v>
      </c>
      <c r="E313" s="1" t="n">
        <v>-0.11</v>
      </c>
      <c r="F313" s="1" t="n">
        <v>57.9</v>
      </c>
      <c r="G313" s="1" t="n">
        <v>34.5</v>
      </c>
      <c r="H313" s="1" t="n">
        <v>33.2</v>
      </c>
      <c r="I313" s="1" t="n">
        <v>34</v>
      </c>
      <c r="J313" s="1" t="n">
        <v>84.9</v>
      </c>
      <c r="K313" s="22" t="n">
        <v>10.011757424523</v>
      </c>
      <c r="L313" s="1" t="n">
        <v>10.02</v>
      </c>
      <c r="M313" s="23" t="n">
        <v>0.00824257547695417</v>
      </c>
    </row>
    <row r="314" customFormat="false" ht="12.8" hidden="false" customHeight="false" outlineLevel="0" collapsed="false">
      <c r="A314" s="1" t="n">
        <v>5.89</v>
      </c>
      <c r="B314" s="1" t="n">
        <v>-0.01</v>
      </c>
      <c r="C314" s="1" t="n">
        <v>-0.45</v>
      </c>
      <c r="D314" s="1" t="n">
        <v>4.55</v>
      </c>
      <c r="E314" s="1" t="n">
        <v>-0.02</v>
      </c>
      <c r="F314" s="1" t="n">
        <v>63.2</v>
      </c>
      <c r="G314" s="1" t="n">
        <v>20.1</v>
      </c>
      <c r="H314" s="1" t="n">
        <v>32.7</v>
      </c>
      <c r="I314" s="1" t="n">
        <v>34.1</v>
      </c>
      <c r="J314" s="1" t="n">
        <v>85</v>
      </c>
      <c r="K314" s="22" t="n">
        <v>9.9565678659528</v>
      </c>
      <c r="L314" s="1" t="n">
        <v>9.98</v>
      </c>
      <c r="M314" s="23" t="n">
        <v>0.0234321340472015</v>
      </c>
    </row>
    <row r="315" customFormat="false" ht="12.8" hidden="false" customHeight="false" outlineLevel="0" collapsed="false">
      <c r="A315" s="1" t="n">
        <v>6.05</v>
      </c>
      <c r="B315" s="1" t="n">
        <v>-0.18</v>
      </c>
      <c r="C315" s="1" t="n">
        <v>-0.4</v>
      </c>
      <c r="D315" s="1" t="n">
        <v>4.55</v>
      </c>
      <c r="E315" s="1" t="n">
        <v>0.03</v>
      </c>
      <c r="F315" s="1" t="n">
        <v>69.1</v>
      </c>
      <c r="G315" s="1" t="n">
        <v>17.9</v>
      </c>
      <c r="H315" s="1" t="n">
        <v>31.1</v>
      </c>
      <c r="I315" s="1" t="n">
        <v>34.9</v>
      </c>
      <c r="J315" s="1" t="n">
        <v>83.8</v>
      </c>
      <c r="K315" s="22" t="n">
        <v>10.0519196339661</v>
      </c>
      <c r="L315" s="1" t="n">
        <v>10.05</v>
      </c>
      <c r="M315" s="23" t="n">
        <v>-0.00191963396613737</v>
      </c>
    </row>
    <row r="316" customFormat="false" ht="12.8" hidden="false" customHeight="false" outlineLevel="0" collapsed="false">
      <c r="A316" s="1" t="n">
        <v>5.85</v>
      </c>
      <c r="B316" s="1" t="n">
        <v>0.06</v>
      </c>
      <c r="C316" s="1" t="n">
        <v>-0.29</v>
      </c>
      <c r="D316" s="1" t="n">
        <v>4.55</v>
      </c>
      <c r="E316" s="1" t="n">
        <v>-0.07</v>
      </c>
      <c r="F316" s="1" t="n">
        <v>58.9</v>
      </c>
      <c r="G316" s="1" t="n">
        <v>22.8</v>
      </c>
      <c r="H316" s="1" t="n">
        <v>33.1</v>
      </c>
      <c r="I316" s="1" t="n">
        <v>34.5</v>
      </c>
      <c r="J316" s="1" t="n">
        <v>87.5</v>
      </c>
      <c r="K316" s="22" t="n">
        <v>10.1019088948625</v>
      </c>
      <c r="L316" s="1" t="n">
        <v>10.11</v>
      </c>
      <c r="M316" s="23" t="n">
        <v>0.00809110513751854</v>
      </c>
    </row>
    <row r="317" customFormat="false" ht="12.8" hidden="false" customHeight="false" outlineLevel="0" collapsed="false">
      <c r="A317" s="1" t="n">
        <v>6.91</v>
      </c>
      <c r="B317" s="1" t="n">
        <v>-0.18</v>
      </c>
      <c r="C317" s="1" t="n">
        <v>-0.67</v>
      </c>
      <c r="D317" s="1" t="n">
        <v>4.55</v>
      </c>
      <c r="E317" s="1" t="n">
        <v>-0.05</v>
      </c>
      <c r="F317" s="1" t="n">
        <v>59.3</v>
      </c>
      <c r="G317" s="1" t="n">
        <v>24.6</v>
      </c>
      <c r="H317" s="1" t="n">
        <v>33.3</v>
      </c>
      <c r="I317" s="1" t="n">
        <v>36.9</v>
      </c>
      <c r="J317" s="1" t="n">
        <v>88.7</v>
      </c>
      <c r="K317" s="22" t="n">
        <v>10.5538224194767</v>
      </c>
      <c r="L317" s="1" t="n">
        <v>10.55</v>
      </c>
      <c r="M317" s="23" t="n">
        <v>-0.00382241947671957</v>
      </c>
    </row>
    <row r="318" customFormat="false" ht="12.8" hidden="false" customHeight="false" outlineLevel="0" collapsed="false">
      <c r="A318" s="1" t="n">
        <v>6.56</v>
      </c>
      <c r="B318" s="1" t="n">
        <v>-0.27</v>
      </c>
      <c r="C318" s="1" t="n">
        <v>-0.73</v>
      </c>
      <c r="D318" s="1" t="n">
        <v>4.55</v>
      </c>
      <c r="E318" s="1" t="n">
        <v>-0.06</v>
      </c>
      <c r="F318" s="1" t="n">
        <v>58.8</v>
      </c>
      <c r="G318" s="1" t="n">
        <v>23.5</v>
      </c>
      <c r="H318" s="1" t="n">
        <v>33.4</v>
      </c>
      <c r="I318" s="1" t="n">
        <v>36.5</v>
      </c>
      <c r="J318" s="1" t="n">
        <v>88.1</v>
      </c>
      <c r="K318" s="22" t="n">
        <v>10.0404795967342</v>
      </c>
      <c r="L318" s="1" t="n">
        <v>10.06</v>
      </c>
      <c r="M318" s="23" t="n">
        <v>0.0195204032658278</v>
      </c>
    </row>
    <row r="319" customFormat="false" ht="12.8" hidden="false" customHeight="false" outlineLevel="0" collapsed="false">
      <c r="A319" s="1" t="n">
        <v>6.3</v>
      </c>
      <c r="B319" s="1" t="n">
        <v>-0.1</v>
      </c>
      <c r="C319" s="1" t="n">
        <v>-0.59</v>
      </c>
      <c r="D319" s="1" t="n">
        <v>4.55</v>
      </c>
      <c r="E319" s="1" t="n">
        <v>-0.09</v>
      </c>
      <c r="F319" s="1" t="n">
        <v>63.9</v>
      </c>
      <c r="G319" s="1" t="n">
        <v>37.3</v>
      </c>
      <c r="H319" s="1" t="n">
        <v>32.6</v>
      </c>
      <c r="I319" s="1" t="n">
        <v>37.9</v>
      </c>
      <c r="J319" s="1" t="n">
        <v>88.4</v>
      </c>
      <c r="K319" s="22" t="n">
        <v>10.0529347774636</v>
      </c>
      <c r="L319" s="1" t="n">
        <v>10.08</v>
      </c>
      <c r="M319" s="23" t="n">
        <v>0.027065222536427</v>
      </c>
    </row>
    <row r="320" customFormat="false" ht="12.8" hidden="false" customHeight="false" outlineLevel="0" collapsed="false">
      <c r="A320" s="1" t="n">
        <v>6.35</v>
      </c>
      <c r="B320" s="1" t="n">
        <v>-0.21</v>
      </c>
      <c r="C320" s="1" t="n">
        <v>-0.55</v>
      </c>
      <c r="D320" s="1" t="n">
        <v>4.55</v>
      </c>
      <c r="E320" s="1" t="n">
        <v>-0.07</v>
      </c>
      <c r="F320" s="1" t="n">
        <v>64.8</v>
      </c>
      <c r="G320" s="1" t="n">
        <v>34.9</v>
      </c>
      <c r="H320" s="1" t="n">
        <v>33.2</v>
      </c>
      <c r="I320" s="1" t="n">
        <v>38</v>
      </c>
      <c r="J320" s="1" t="n">
        <v>86.8</v>
      </c>
      <c r="K320" s="22" t="n">
        <v>10.0464982864458</v>
      </c>
      <c r="L320" s="1" t="n">
        <v>10.08</v>
      </c>
      <c r="M320" s="23" t="n">
        <v>0.0335017135541982</v>
      </c>
    </row>
    <row r="321" customFormat="false" ht="12.8" hidden="false" customHeight="false" outlineLevel="0" collapsed="false">
      <c r="A321" s="1" t="n">
        <v>6.14</v>
      </c>
      <c r="B321" s="1" t="n">
        <v>-0.13</v>
      </c>
      <c r="C321" s="1" t="n">
        <v>-0.75</v>
      </c>
      <c r="D321" s="1" t="n">
        <v>4.55</v>
      </c>
      <c r="E321" s="1" t="n">
        <v>-0.04</v>
      </c>
      <c r="F321" s="1" t="n">
        <v>60.3</v>
      </c>
      <c r="G321" s="1" t="n">
        <v>20</v>
      </c>
      <c r="H321" s="1" t="n">
        <v>34.2</v>
      </c>
      <c r="I321" s="1" t="n">
        <v>33.6</v>
      </c>
      <c r="J321" s="1" t="n">
        <v>89.3</v>
      </c>
      <c r="K321" s="22" t="n">
        <v>9.75209796311947</v>
      </c>
      <c r="L321" s="1" t="n">
        <v>9.77</v>
      </c>
      <c r="M321" s="23" t="n">
        <v>0.0179020368805318</v>
      </c>
    </row>
    <row r="322" customFormat="false" ht="12.8" hidden="false" customHeight="false" outlineLevel="0" collapsed="false">
      <c r="A322" s="1" t="n">
        <v>6.64</v>
      </c>
      <c r="B322" s="1" t="n">
        <v>-0.11</v>
      </c>
      <c r="C322" s="1" t="n">
        <v>-0.91</v>
      </c>
      <c r="D322" s="1" t="n">
        <v>4.55</v>
      </c>
      <c r="E322" s="1" t="n">
        <v>-0.04</v>
      </c>
      <c r="F322" s="1" t="n">
        <v>54.1</v>
      </c>
      <c r="G322" s="1" t="n">
        <v>18.3</v>
      </c>
      <c r="H322" s="1" t="n">
        <v>33.6</v>
      </c>
      <c r="I322" s="1" t="n">
        <v>37.8</v>
      </c>
      <c r="J322" s="1" t="n">
        <v>90.2</v>
      </c>
      <c r="K322" s="22" t="n">
        <v>10.1303981713907</v>
      </c>
      <c r="L322" s="1" t="n">
        <v>10.13</v>
      </c>
      <c r="M322" s="23" t="n">
        <v>-0.000398171390710189</v>
      </c>
    </row>
    <row r="323" customFormat="false" ht="12.8" hidden="false" customHeight="false" outlineLevel="0" collapsed="false">
      <c r="A323" s="1" t="n">
        <v>6.4</v>
      </c>
      <c r="B323" s="1" t="n">
        <v>0.11</v>
      </c>
      <c r="C323" s="1" t="n">
        <v>-1.41</v>
      </c>
      <c r="D323" s="1" t="n">
        <v>4.55</v>
      </c>
      <c r="E323" s="1" t="n">
        <v>-0.01</v>
      </c>
      <c r="F323" s="1" t="n">
        <v>59.8</v>
      </c>
      <c r="G323" s="1" t="n">
        <v>31.4</v>
      </c>
      <c r="H323" s="1" t="n">
        <v>33.2</v>
      </c>
      <c r="I323" s="1" t="n">
        <v>36</v>
      </c>
      <c r="J323" s="1" t="n">
        <v>92.4</v>
      </c>
      <c r="K323" s="22" t="n">
        <v>9.61736122409419</v>
      </c>
      <c r="L323" s="1" t="n">
        <v>9.44</v>
      </c>
      <c r="M323" s="23" t="n">
        <v>-0.177361224094192</v>
      </c>
    </row>
  </sheetData>
  <mergeCells count="1">
    <mergeCell ref="P1:Q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3"/>
  <sheetViews>
    <sheetView showFormulas="false" showGridLines="tru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F37" activeCellId="0" sqref="F3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6"/>
    <col collapsed="false" customWidth="true" hidden="false" outlineLevel="0" max="7" min="2" style="1" width="17.52"/>
    <col collapsed="false" customWidth="true" hidden="false" outlineLevel="0" max="13" min="8" style="1" width="12.94"/>
    <col collapsed="false" customWidth="true" hidden="false" outlineLevel="0" max="15" min="14" style="1" width="8.62"/>
    <col collapsed="false" customWidth="true" hidden="false" outlineLevel="0" max="17" min="16" style="1" width="8.76"/>
    <col collapsed="false" customWidth="true" hidden="false" outlineLevel="0" max="22" min="18" style="1" width="9.87"/>
    <col collapsed="false" customWidth="false" hidden="false" outlineLevel="0" max="23" min="23" style="24" width="11.53"/>
  </cols>
  <sheetData>
    <row r="1" customFormat="false" ht="15.65" hidden="false" customHeight="false" outlineLevel="0" collapsed="false">
      <c r="P1" s="9" t="s">
        <v>33</v>
      </c>
      <c r="Q1" s="9"/>
      <c r="R1" s="9" t="n">
        <v>2</v>
      </c>
      <c r="S1" s="9" t="n">
        <v>2</v>
      </c>
      <c r="T1" s="9" t="n">
        <v>2</v>
      </c>
      <c r="U1" s="9" t="n">
        <v>2</v>
      </c>
      <c r="V1" s="9" t="n">
        <v>2</v>
      </c>
      <c r="W1" s="9" t="n">
        <v>2</v>
      </c>
    </row>
    <row r="2" customFormat="false" ht="41.75" hidden="false" customHeight="true" outlineLevel="0" collapsed="false"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 t="s">
        <v>40</v>
      </c>
      <c r="W2" s="25" t="s">
        <v>25</v>
      </c>
    </row>
    <row r="3" customFormat="false" ht="12.8" hidden="false" customHeight="false" outlineLevel="0" collapsed="false">
      <c r="A3" s="1" t="s">
        <v>41</v>
      </c>
      <c r="P3" s="12" t="n">
        <v>3</v>
      </c>
      <c r="Q3" s="13" t="s">
        <v>42</v>
      </c>
      <c r="R3" s="14" t="n">
        <v>48</v>
      </c>
      <c r="S3" s="14" t="n">
        <v>9.9</v>
      </c>
      <c r="T3" s="14" t="n">
        <v>32.5</v>
      </c>
      <c r="U3" s="14" t="n">
        <v>10.6</v>
      </c>
      <c r="V3" s="14" t="n">
        <v>79.6</v>
      </c>
      <c r="W3" s="26" t="n">
        <v>263346</v>
      </c>
    </row>
    <row r="4" customFormat="false" ht="12.8" hidden="false" customHeight="false" outlineLevel="0" collapsed="false">
      <c r="A4" s="1" t="s">
        <v>43</v>
      </c>
      <c r="B4" s="1" t="s">
        <v>44</v>
      </c>
      <c r="P4" s="12" t="n">
        <v>3</v>
      </c>
      <c r="Q4" s="13" t="s">
        <v>45</v>
      </c>
      <c r="R4" s="14" t="n">
        <v>55.1</v>
      </c>
      <c r="S4" s="14" t="n">
        <v>17.8</v>
      </c>
      <c r="T4" s="14" t="n">
        <v>32.3</v>
      </c>
      <c r="U4" s="14" t="n">
        <v>10.6</v>
      </c>
      <c r="V4" s="14" t="n">
        <v>80.3</v>
      </c>
      <c r="W4" s="26" t="n">
        <v>60429</v>
      </c>
    </row>
    <row r="5" customFormat="false" ht="12.8" hidden="false" customHeight="false" outlineLevel="0" collapsed="false">
      <c r="P5" s="12" t="n">
        <v>3</v>
      </c>
      <c r="Q5" s="13" t="s">
        <v>46</v>
      </c>
      <c r="R5" s="14" t="n">
        <v>57.9</v>
      </c>
      <c r="S5" s="14" t="n">
        <v>14.6</v>
      </c>
      <c r="T5" s="14" t="n">
        <v>32.3</v>
      </c>
      <c r="U5" s="14" t="n">
        <v>11.8</v>
      </c>
      <c r="V5" s="14" t="n">
        <v>83.2</v>
      </c>
      <c r="W5" s="26" t="n">
        <v>54837</v>
      </c>
    </row>
    <row r="6" customFormat="false" ht="12.8" hidden="false" customHeight="false" outlineLevel="0" collapsed="false">
      <c r="A6" s="1" t="s">
        <v>47</v>
      </c>
      <c r="F6" s="15"/>
      <c r="P6" s="12" t="n">
        <v>3</v>
      </c>
      <c r="Q6" s="13" t="s">
        <v>48</v>
      </c>
      <c r="R6" s="14" t="n">
        <v>60</v>
      </c>
      <c r="S6" s="14" t="n">
        <v>27.4</v>
      </c>
      <c r="T6" s="14" t="n">
        <v>32.7</v>
      </c>
      <c r="U6" s="14" t="n">
        <v>9.9</v>
      </c>
      <c r="V6" s="14" t="n">
        <v>81.1</v>
      </c>
      <c r="W6" s="26" t="n">
        <v>102817</v>
      </c>
    </row>
    <row r="7" customFormat="false" ht="12.8" hidden="false" customHeight="false" outlineLevel="0" collapsed="false">
      <c r="A7" s="21" t="n">
        <f aca="false" t="array" ref="A7:F11">LINEST($W$3:$W$237 , $R$3:$V$237 , 1 , 1)</f>
        <v>1046.76499856325</v>
      </c>
      <c r="B7" s="21" t="n">
        <v>1814.829350059</v>
      </c>
      <c r="C7" s="21" t="n">
        <v>6799.38725641167</v>
      </c>
      <c r="D7" s="21" t="n">
        <v>-7265.7713601692</v>
      </c>
      <c r="E7" s="21" t="n">
        <v>-5176.0462858387</v>
      </c>
      <c r="F7" s="21" t="n">
        <v>213231.147184344</v>
      </c>
      <c r="G7" s="21"/>
      <c r="H7" s="21"/>
      <c r="I7" s="21"/>
      <c r="J7" s="21"/>
      <c r="K7" s="21"/>
      <c r="P7" s="12" t="n">
        <v>3</v>
      </c>
      <c r="Q7" s="13" t="s">
        <v>49</v>
      </c>
      <c r="R7" s="14" t="n">
        <v>53.8</v>
      </c>
      <c r="S7" s="14" t="n">
        <v>28.7</v>
      </c>
      <c r="T7" s="14" t="n">
        <v>32.3</v>
      </c>
      <c r="U7" s="14" t="n">
        <v>9.2</v>
      </c>
      <c r="V7" s="14" t="n">
        <v>79.3</v>
      </c>
      <c r="W7" s="26" t="n">
        <v>48267</v>
      </c>
    </row>
    <row r="8" customFormat="false" ht="12.8" hidden="false" customHeight="false" outlineLevel="0" collapsed="false">
      <c r="A8" s="21" t="n">
        <v>436.37270135533</v>
      </c>
      <c r="B8" s="21" t="n">
        <v>687.136423241955</v>
      </c>
      <c r="C8" s="21" t="n">
        <v>7081.78544450427</v>
      </c>
      <c r="D8" s="21" t="n">
        <v>1340.26056274687</v>
      </c>
      <c r="E8" s="21" t="n">
        <v>1377.45897591051</v>
      </c>
      <c r="F8" s="21" t="n">
        <v>247878.788976024</v>
      </c>
      <c r="G8" s="21"/>
      <c r="H8" s="21"/>
      <c r="I8" s="21"/>
      <c r="J8" s="21"/>
      <c r="K8" s="21"/>
      <c r="P8" s="12" t="n">
        <v>3</v>
      </c>
      <c r="Q8" s="13" t="s">
        <v>50</v>
      </c>
      <c r="R8" s="14" t="n">
        <v>73.8</v>
      </c>
      <c r="S8" s="14" t="n">
        <v>24</v>
      </c>
      <c r="T8" s="14" t="n">
        <v>33.6</v>
      </c>
      <c r="U8" s="14" t="n">
        <v>11.5</v>
      </c>
      <c r="V8" s="14" t="n">
        <v>81.2</v>
      </c>
      <c r="W8" s="26" t="n">
        <v>54008</v>
      </c>
    </row>
    <row r="9" customFormat="false" ht="12.8" hidden="false" customHeight="false" outlineLevel="0" collapsed="false">
      <c r="A9" s="21" t="n">
        <v>0.296474476743276</v>
      </c>
      <c r="B9" s="21" t="n">
        <v>112163.28460811</v>
      </c>
      <c r="C9" s="21" t="e">
        <v>#N/A</v>
      </c>
      <c r="D9" s="21" t="e">
        <v>#N/A</v>
      </c>
      <c r="E9" s="21" t="e">
        <v>#N/A</v>
      </c>
      <c r="F9" s="21" t="e">
        <v>#N/A</v>
      </c>
      <c r="G9" s="21"/>
      <c r="H9" s="21"/>
      <c r="I9" s="21"/>
      <c r="J9" s="21"/>
      <c r="K9" s="21"/>
      <c r="P9" s="12" t="n">
        <v>3</v>
      </c>
      <c r="Q9" s="13" t="s">
        <v>51</v>
      </c>
      <c r="R9" s="14" t="n">
        <v>55</v>
      </c>
      <c r="S9" s="14" t="n">
        <v>23.9</v>
      </c>
      <c r="T9" s="14" t="n">
        <v>33.9</v>
      </c>
      <c r="U9" s="14" t="n">
        <v>10.6</v>
      </c>
      <c r="V9" s="14" t="n">
        <v>79.5</v>
      </c>
      <c r="W9" s="26" t="n">
        <v>84085</v>
      </c>
    </row>
    <row r="10" customFormat="false" ht="12.8" hidden="false" customHeight="false" outlineLevel="0" collapsed="false">
      <c r="A10" s="21" t="n">
        <v>19.3006942690366</v>
      </c>
      <c r="B10" s="21" t="n">
        <v>229</v>
      </c>
      <c r="C10" s="21" t="e">
        <v>#N/A</v>
      </c>
      <c r="D10" s="21" t="e">
        <v>#N/A</v>
      </c>
      <c r="E10" s="21" t="e">
        <v>#N/A</v>
      </c>
      <c r="F10" s="21" t="e">
        <v>#N/A</v>
      </c>
      <c r="G10" s="21"/>
      <c r="H10" s="21"/>
      <c r="I10" s="21"/>
      <c r="J10" s="21"/>
      <c r="K10" s="21"/>
      <c r="P10" s="12" t="n">
        <v>3</v>
      </c>
      <c r="Q10" s="13" t="s">
        <v>52</v>
      </c>
      <c r="R10" s="14" t="n">
        <v>52.8</v>
      </c>
      <c r="S10" s="14" t="n">
        <v>20.2</v>
      </c>
      <c r="T10" s="14" t="n">
        <v>32.4</v>
      </c>
      <c r="U10" s="14" t="n">
        <v>11.4</v>
      </c>
      <c r="V10" s="14" t="n">
        <v>76.6</v>
      </c>
      <c r="W10" s="26" t="n">
        <v>90280</v>
      </c>
    </row>
    <row r="11" customFormat="false" ht="12.8" hidden="false" customHeight="false" outlineLevel="0" collapsed="false">
      <c r="A11" s="21" t="n">
        <v>1214071804572.31</v>
      </c>
      <c r="B11" s="21" t="n">
        <v>2880957952824.31</v>
      </c>
      <c r="C11" s="21" t="e">
        <v>#N/A</v>
      </c>
      <c r="D11" s="21" t="e">
        <v>#N/A</v>
      </c>
      <c r="E11" s="21" t="e">
        <v>#N/A</v>
      </c>
      <c r="F11" s="21" t="e">
        <v>#N/A</v>
      </c>
      <c r="G11" s="21"/>
      <c r="H11" s="21"/>
      <c r="I11" s="21"/>
      <c r="J11" s="21"/>
      <c r="K11" s="21"/>
      <c r="P11" s="12" t="n">
        <v>3</v>
      </c>
      <c r="Q11" s="13" t="s">
        <v>53</v>
      </c>
      <c r="R11" s="14" t="n">
        <v>53.3</v>
      </c>
      <c r="S11" s="14" t="n">
        <v>22.7</v>
      </c>
      <c r="T11" s="14" t="n">
        <v>33.9</v>
      </c>
      <c r="U11" s="14" t="n">
        <v>10</v>
      </c>
      <c r="V11" s="14" t="n">
        <v>76.7</v>
      </c>
      <c r="W11" s="26" t="n">
        <v>69589</v>
      </c>
    </row>
    <row r="12" customFormat="false" ht="12.8" hidden="false" customHeight="false" outlineLevel="0" collapsed="false">
      <c r="P12" s="12" t="n">
        <v>3</v>
      </c>
      <c r="Q12" s="13" t="s">
        <v>54</v>
      </c>
      <c r="R12" s="14" t="n">
        <v>51.2</v>
      </c>
      <c r="S12" s="14" t="n">
        <v>13.5</v>
      </c>
      <c r="T12" s="14" t="n">
        <v>33</v>
      </c>
      <c r="U12" s="14" t="n">
        <v>10.3</v>
      </c>
      <c r="V12" s="14" t="n">
        <v>77.8</v>
      </c>
      <c r="W12" s="26" t="n">
        <v>79022</v>
      </c>
    </row>
    <row r="13" customFormat="false" ht="12.8" hidden="false" customHeight="false" outlineLevel="0" collapsed="false">
      <c r="A13" s="1" t="s">
        <v>55</v>
      </c>
      <c r="F13" s="15"/>
      <c r="P13" s="12" t="n">
        <v>3</v>
      </c>
      <c r="Q13" s="13" t="s">
        <v>56</v>
      </c>
      <c r="R13" s="14" t="n">
        <v>47</v>
      </c>
      <c r="S13" s="14" t="n">
        <v>8.4</v>
      </c>
      <c r="T13" s="14" t="n">
        <v>31.7</v>
      </c>
      <c r="U13" s="14" t="n">
        <v>10.5</v>
      </c>
      <c r="V13" s="14" t="n">
        <v>77.6</v>
      </c>
      <c r="W13" s="26" t="n">
        <v>176671</v>
      </c>
    </row>
    <row r="14" customFormat="false" ht="12.8" hidden="false" customHeight="false" outlineLevel="0" collapsed="false">
      <c r="A14" s="1" t="s">
        <v>57</v>
      </c>
      <c r="B14" s="16" t="n">
        <f aca="false">$A$9</f>
        <v>0.296474476743276</v>
      </c>
      <c r="F14" s="15"/>
      <c r="P14" s="12" t="n">
        <v>3</v>
      </c>
      <c r="Q14" s="13" t="s">
        <v>58</v>
      </c>
      <c r="R14" s="14" t="n">
        <v>43.8</v>
      </c>
      <c r="S14" s="14" t="n">
        <v>12.9</v>
      </c>
      <c r="T14" s="14" t="n">
        <v>32.4</v>
      </c>
      <c r="U14" s="14" t="n">
        <v>10.2</v>
      </c>
      <c r="V14" s="14" t="n">
        <v>78</v>
      </c>
      <c r="W14" s="26" t="n">
        <v>127132</v>
      </c>
    </row>
    <row r="15" customFormat="false" ht="12.8" hidden="false" customHeight="false" outlineLevel="0" collapsed="false">
      <c r="A15" s="1" t="s">
        <v>59</v>
      </c>
      <c r="B15" s="16" t="n">
        <f aca="false">$B$9</f>
        <v>112163.28460811</v>
      </c>
      <c r="P15" s="12" t="n">
        <v>3</v>
      </c>
      <c r="Q15" s="13" t="s">
        <v>60</v>
      </c>
      <c r="R15" s="14" t="n">
        <v>50.5</v>
      </c>
      <c r="S15" s="14" t="n">
        <v>7.5</v>
      </c>
      <c r="T15" s="14" t="n">
        <v>32.9</v>
      </c>
      <c r="U15" s="14" t="n">
        <v>9.9</v>
      </c>
      <c r="V15" s="14" t="n">
        <v>76.3</v>
      </c>
      <c r="W15" s="26" t="n">
        <v>672029</v>
      </c>
    </row>
    <row r="16" customFormat="false" ht="12.8" hidden="false" customHeight="false" outlineLevel="0" collapsed="false">
      <c r="A16" s="1" t="s">
        <v>117</v>
      </c>
      <c r="B16" s="16" t="n">
        <f aca="false">5</f>
        <v>5</v>
      </c>
      <c r="F16" s="15"/>
      <c r="P16" s="12" t="n">
        <v>3</v>
      </c>
      <c r="Q16" s="13" t="s">
        <v>62</v>
      </c>
      <c r="R16" s="14" t="n">
        <v>46.1</v>
      </c>
      <c r="S16" s="14" t="n">
        <v>8.9</v>
      </c>
      <c r="T16" s="14" t="n">
        <v>32.1</v>
      </c>
      <c r="U16" s="14" t="n">
        <v>10.4</v>
      </c>
      <c r="V16" s="14" t="n">
        <v>76.8</v>
      </c>
      <c r="W16" s="26" t="n">
        <v>214068</v>
      </c>
    </row>
    <row r="17" customFormat="false" ht="12.8" hidden="false" customHeight="false" outlineLevel="0" collapsed="false">
      <c r="A17" s="1" t="s">
        <v>63</v>
      </c>
      <c r="B17" s="16" t="n">
        <f aca="false">235</f>
        <v>235</v>
      </c>
      <c r="P17" s="12" t="n">
        <v>3</v>
      </c>
      <c r="Q17" s="13" t="s">
        <v>64</v>
      </c>
      <c r="R17" s="14" t="n">
        <v>66.4</v>
      </c>
      <c r="S17" s="14" t="n">
        <v>17.7</v>
      </c>
      <c r="T17" s="14" t="n">
        <v>33.4</v>
      </c>
      <c r="U17" s="14" t="n">
        <v>10.6</v>
      </c>
      <c r="V17" s="14" t="n">
        <v>79.3</v>
      </c>
      <c r="W17" s="26" t="n">
        <v>99778</v>
      </c>
    </row>
    <row r="18" customFormat="false" ht="12.8" hidden="false" customHeight="false" outlineLevel="0" collapsed="false">
      <c r="A18" s="1" t="s">
        <v>65</v>
      </c>
      <c r="B18" s="16" t="n">
        <f aca="false">1 - (1 - $A$9)*($B$17 - 1)/($B$17 - $B$16 - 1)</f>
        <v>0.281113657458195</v>
      </c>
      <c r="F18" s="15"/>
      <c r="P18" s="12" t="n">
        <v>3</v>
      </c>
      <c r="Q18" s="13" t="s">
        <v>66</v>
      </c>
      <c r="R18" s="14" t="n">
        <v>66.3</v>
      </c>
      <c r="S18" s="14" t="n">
        <v>29.3</v>
      </c>
      <c r="T18" s="14" t="n">
        <v>31.4</v>
      </c>
      <c r="U18" s="14" t="n">
        <v>14.4</v>
      </c>
      <c r="V18" s="14" t="n">
        <v>78.8</v>
      </c>
      <c r="W18" s="26" t="n">
        <v>50455</v>
      </c>
    </row>
    <row r="19" customFormat="false" ht="12.8" hidden="false" customHeight="false" outlineLevel="0" collapsed="false">
      <c r="P19" s="12" t="n">
        <v>3</v>
      </c>
      <c r="Q19" s="13" t="s">
        <v>67</v>
      </c>
      <c r="R19" s="14" t="n">
        <v>63.7</v>
      </c>
      <c r="S19" s="14" t="n">
        <v>21.1</v>
      </c>
      <c r="T19" s="14" t="n">
        <v>31.5</v>
      </c>
      <c r="U19" s="14" t="n">
        <v>12.1</v>
      </c>
      <c r="V19" s="14" t="n">
        <v>77.8</v>
      </c>
      <c r="W19" s="26" t="n">
        <v>57742</v>
      </c>
    </row>
    <row r="20" customFormat="false" ht="12.8" hidden="false" customHeight="false" outlineLevel="0" collapsed="false">
      <c r="A20" s="1" t="s">
        <v>118</v>
      </c>
      <c r="P20" s="12" t="n">
        <v>3</v>
      </c>
      <c r="Q20" s="13" t="s">
        <v>69</v>
      </c>
      <c r="R20" s="14" t="n">
        <v>61.2</v>
      </c>
      <c r="S20" s="14" t="n">
        <v>19.6</v>
      </c>
      <c r="T20" s="14" t="n">
        <v>33.7</v>
      </c>
      <c r="U20" s="14" t="n">
        <v>17.3</v>
      </c>
      <c r="V20" s="14" t="n">
        <v>77.5</v>
      </c>
      <c r="W20" s="26" t="n">
        <v>38956</v>
      </c>
    </row>
    <row r="21" customFormat="false" ht="12.8" hidden="false" customHeight="false" outlineLevel="0" collapsed="false">
      <c r="B21" s="1" t="s">
        <v>70</v>
      </c>
      <c r="C21" s="1" t="s">
        <v>71</v>
      </c>
      <c r="D21" s="1" t="s">
        <v>72</v>
      </c>
      <c r="E21" s="1" t="s">
        <v>73</v>
      </c>
      <c r="F21" s="1" t="s">
        <v>74</v>
      </c>
      <c r="J21" s="15"/>
      <c r="K21" s="15"/>
      <c r="P21" s="12" t="n">
        <v>3</v>
      </c>
      <c r="Q21" s="13" t="s">
        <v>75</v>
      </c>
      <c r="R21" s="14" t="n">
        <v>65.1</v>
      </c>
      <c r="S21" s="14" t="n">
        <v>18.9</v>
      </c>
      <c r="T21" s="14" t="n">
        <v>31.7</v>
      </c>
      <c r="U21" s="14" t="n">
        <v>9.2</v>
      </c>
      <c r="V21" s="14" t="n">
        <v>74.8</v>
      </c>
      <c r="W21" s="26" t="n">
        <v>32486</v>
      </c>
    </row>
    <row r="22" customFormat="false" ht="12.8" hidden="false" customHeight="false" outlineLevel="0" collapsed="false">
      <c r="A22" s="1" t="s">
        <v>41</v>
      </c>
      <c r="B22" s="16" t="n">
        <f aca="false">$B$16</f>
        <v>5</v>
      </c>
      <c r="C22" s="16" t="n">
        <f aca="false">$A$11</f>
        <v>1214071804572.31</v>
      </c>
      <c r="D22" s="16" t="n">
        <f aca="false">$A$11 / $B$22</f>
        <v>242814360914.462</v>
      </c>
      <c r="E22" s="17" t="n">
        <f aca="false">$A$10</f>
        <v>19.3006942690366</v>
      </c>
      <c r="F22" s="16" t="n">
        <f aca="false">FDIST($A$10 , $B$22 , $B$10)</f>
        <v>5.08721732080428E-016</v>
      </c>
      <c r="I22" s="0"/>
      <c r="P22" s="12" t="n">
        <v>3</v>
      </c>
      <c r="Q22" s="13" t="s">
        <v>76</v>
      </c>
      <c r="R22" s="14" t="n">
        <v>58.7</v>
      </c>
      <c r="S22" s="14" t="n">
        <v>22.5</v>
      </c>
      <c r="T22" s="14" t="n">
        <v>33.1</v>
      </c>
      <c r="U22" s="14" t="n">
        <v>9.9</v>
      </c>
      <c r="V22" s="14" t="n">
        <v>79.1</v>
      </c>
      <c r="W22" s="26" t="n">
        <v>81622</v>
      </c>
    </row>
    <row r="23" customFormat="false" ht="12.8" hidden="false" customHeight="false" outlineLevel="0" collapsed="false">
      <c r="A23" s="1" t="s">
        <v>77</v>
      </c>
      <c r="B23" s="16" t="n">
        <f aca="false">$B$10</f>
        <v>229</v>
      </c>
      <c r="C23" s="16" t="n">
        <f aca="false">$B$11</f>
        <v>2880957952824.31</v>
      </c>
      <c r="D23" s="16" t="n">
        <f aca="false">$B$11 / $B$10</f>
        <v>12580602414.08</v>
      </c>
      <c r="E23" s="16"/>
      <c r="F23" s="16"/>
      <c r="P23" s="12" t="n">
        <v>3</v>
      </c>
      <c r="Q23" s="13" t="s">
        <v>78</v>
      </c>
      <c r="R23" s="14" t="n">
        <v>57</v>
      </c>
      <c r="S23" s="14" t="n">
        <v>27.4</v>
      </c>
      <c r="T23" s="14" t="n">
        <v>33.6</v>
      </c>
      <c r="U23" s="14" t="n">
        <v>9.6</v>
      </c>
      <c r="V23" s="14" t="n">
        <v>75.5</v>
      </c>
      <c r="W23" s="26" t="n">
        <v>95830</v>
      </c>
    </row>
    <row r="24" customFormat="false" ht="12.8" hidden="false" customHeight="false" outlineLevel="0" collapsed="false">
      <c r="A24" s="1" t="s">
        <v>79</v>
      </c>
      <c r="B24" s="16" t="n">
        <f aca="false">$B$22 + $B$10</f>
        <v>234</v>
      </c>
      <c r="C24" s="16" t="n">
        <f aca="false">$A$11 + $B$11</f>
        <v>4095029757396.62</v>
      </c>
      <c r="D24" s="16"/>
      <c r="E24" s="16"/>
      <c r="F24" s="16"/>
      <c r="P24" s="12" t="n">
        <v>3</v>
      </c>
      <c r="Q24" s="13" t="s">
        <v>80</v>
      </c>
      <c r="R24" s="14" t="n">
        <v>55.1</v>
      </c>
      <c r="S24" s="14" t="n">
        <v>14.7</v>
      </c>
      <c r="T24" s="14" t="n">
        <v>33.7</v>
      </c>
      <c r="U24" s="14" t="n">
        <v>10.3</v>
      </c>
      <c r="V24" s="14" t="n">
        <v>78.2</v>
      </c>
      <c r="W24" s="26" t="n">
        <v>128849</v>
      </c>
    </row>
    <row r="25" customFormat="false" ht="12.8" hidden="false" customHeight="false" outlineLevel="0" collapsed="false">
      <c r="P25" s="12" t="n">
        <v>3</v>
      </c>
      <c r="Q25" s="13" t="s">
        <v>81</v>
      </c>
      <c r="R25" s="14" t="n">
        <v>50.3</v>
      </c>
      <c r="S25" s="14" t="n">
        <v>11.8</v>
      </c>
      <c r="T25" s="14" t="n">
        <v>33.3</v>
      </c>
      <c r="U25" s="14" t="n">
        <v>10.2</v>
      </c>
      <c r="V25" s="14" t="n">
        <v>76.2</v>
      </c>
      <c r="W25" s="26" t="n">
        <v>307597</v>
      </c>
    </row>
    <row r="26" customFormat="false" ht="12.8" hidden="false" customHeight="false" outlineLevel="0" collapsed="false">
      <c r="A26" s="1" t="s">
        <v>82</v>
      </c>
      <c r="B26" s="1" t="n">
        <v>0.95</v>
      </c>
      <c r="P26" s="12" t="n">
        <v>3</v>
      </c>
      <c r="Q26" s="13" t="s">
        <v>83</v>
      </c>
      <c r="R26" s="14" t="n">
        <v>58.1</v>
      </c>
      <c r="S26" s="14" t="n">
        <v>15.2</v>
      </c>
      <c r="T26" s="14" t="n">
        <v>32.8</v>
      </c>
      <c r="U26" s="14" t="n">
        <v>12.7</v>
      </c>
      <c r="V26" s="14" t="n">
        <v>76.4</v>
      </c>
      <c r="W26" s="26" t="n">
        <v>64799</v>
      </c>
    </row>
    <row r="27" customFormat="false" ht="12.8" hidden="false" customHeight="false" outlineLevel="0" collapsed="false">
      <c r="P27" s="12" t="n">
        <v>3</v>
      </c>
      <c r="Q27" s="13" t="s">
        <v>84</v>
      </c>
      <c r="R27" s="14" t="n">
        <v>57.8</v>
      </c>
      <c r="S27" s="14" t="n">
        <v>23.5</v>
      </c>
      <c r="T27" s="14" t="n">
        <v>35.5</v>
      </c>
      <c r="U27" s="14" t="n">
        <v>10.7</v>
      </c>
      <c r="V27" s="14" t="n">
        <v>78.3</v>
      </c>
      <c r="W27" s="26" t="n">
        <v>44465</v>
      </c>
    </row>
    <row r="28" customFormat="false" ht="12.8" hidden="false" customHeight="false" outlineLevel="0" collapsed="false">
      <c r="B28" s="1" t="s">
        <v>85</v>
      </c>
      <c r="C28" s="1" t="s">
        <v>59</v>
      </c>
      <c r="D28" s="1" t="s">
        <v>119</v>
      </c>
      <c r="E28" s="1" t="s">
        <v>120</v>
      </c>
      <c r="F28" s="1" t="str">
        <f aca="false">_xlfn.CONCAT("Lower " , INT($B$26 * 100) , "%")</f>
        <v>Lower 95%</v>
      </c>
      <c r="G28" s="1" t="str">
        <f aca="false">_xlfn.CONCAT("Upper " , INT($B$26 * 100) , "%")</f>
        <v>Upper 95%</v>
      </c>
      <c r="I28" s="15"/>
      <c r="J28" s="15"/>
      <c r="P28" s="12" t="n">
        <v>3</v>
      </c>
      <c r="Q28" s="13" t="s">
        <v>88</v>
      </c>
      <c r="R28" s="14" t="n">
        <v>55.6</v>
      </c>
      <c r="S28" s="14" t="n">
        <v>15.6</v>
      </c>
      <c r="T28" s="14" t="n">
        <v>34.3</v>
      </c>
      <c r="U28" s="14" t="n">
        <v>10.7</v>
      </c>
      <c r="V28" s="14" t="n">
        <v>74</v>
      </c>
      <c r="W28" s="26" t="n">
        <v>113992</v>
      </c>
    </row>
    <row r="29" customFormat="false" ht="12.8" hidden="false" customHeight="false" outlineLevel="0" collapsed="false">
      <c r="A29" s="1" t="str">
        <f aca="false">"切片"</f>
        <v>切片</v>
      </c>
      <c r="B29" s="16" t="n">
        <f aca="false" t="array" ref="B29:B34">INDEX($A$7:$F$7, 1 , ROW($B$34)+1 - ROW())</f>
        <v>213231.147184344</v>
      </c>
      <c r="C29" s="16" t="n">
        <f aca="false" t="array" ref="C29:C34">INDEX($A$8:$F$8, 1 , ROW($C$34)+1 - ROW())</f>
        <v>247878.788976024</v>
      </c>
      <c r="D29" s="16" t="n">
        <f aca="false" t="array" ref="D29:D34">$B$29:$B$34 / $C$29:$C$34</f>
        <v>0.860223450603383</v>
      </c>
      <c r="E29" s="16" t="n">
        <f aca="false" t="array" ref="E29:E34">TDIST(ABS($D$29:$D$34) , $B$10 , 2 )</f>
        <v>0.390565567821309</v>
      </c>
      <c r="F29" s="16" t="n">
        <f aca="false" t="array" ref="F29:F34">$B$29:$B$34 - $C$29:$C$34 * TINV(1 - $B$26 , $B$10)</f>
        <v>-275183.587632414</v>
      </c>
      <c r="G29" s="16" t="n">
        <f aca="false" t="array" ref="G29:G34">$B$29:$B$34 + $C$29:$C$34 * TINV(1 - $B$26 , $B$10)</f>
        <v>701645.882001102</v>
      </c>
      <c r="P29" s="12" t="n">
        <v>3</v>
      </c>
      <c r="Q29" s="13" t="s">
        <v>89</v>
      </c>
      <c r="R29" s="14" t="n">
        <v>45.2</v>
      </c>
      <c r="S29" s="14" t="n">
        <v>12.5</v>
      </c>
      <c r="T29" s="14" t="n">
        <v>33.5</v>
      </c>
      <c r="U29" s="14" t="n">
        <v>10.9</v>
      </c>
      <c r="V29" s="14" t="n">
        <v>74.3</v>
      </c>
      <c r="W29" s="26" t="n">
        <v>459474</v>
      </c>
    </row>
    <row r="30" customFormat="false" ht="12.8" hidden="false" customHeight="false" outlineLevel="0" collapsed="false">
      <c r="A30" s="1" t="str">
        <f aca="false">"X1"</f>
        <v>X1</v>
      </c>
      <c r="B30" s="16" t="n">
        <v>-5176.0462858387</v>
      </c>
      <c r="C30" s="16" t="n">
        <v>1377.45897591051</v>
      </c>
      <c r="D30" s="16" t="n">
        <v>-3.75767727123584</v>
      </c>
      <c r="E30" s="16" t="n">
        <v>0.000217654453046255</v>
      </c>
      <c r="F30" s="16" t="n">
        <v>-7890.16016068648</v>
      </c>
      <c r="G30" s="16" t="n">
        <v>-2461.93241099092</v>
      </c>
      <c r="P30" s="12" t="n">
        <v>3</v>
      </c>
      <c r="Q30" s="13" t="s">
        <v>90</v>
      </c>
      <c r="R30" s="14" t="n">
        <v>50.9</v>
      </c>
      <c r="S30" s="14" t="n">
        <v>14.3</v>
      </c>
      <c r="T30" s="14" t="n">
        <v>33.2</v>
      </c>
      <c r="U30" s="14" t="n">
        <v>10.9</v>
      </c>
      <c r="V30" s="14" t="n">
        <v>76.9</v>
      </c>
      <c r="W30" s="26" t="n">
        <v>201459</v>
      </c>
    </row>
    <row r="31" customFormat="false" ht="12.8" hidden="false" customHeight="false" outlineLevel="0" collapsed="false">
      <c r="A31" s="1" t="str">
        <f aca="false">"X2"</f>
        <v>X2</v>
      </c>
      <c r="B31" s="16" t="n">
        <v>-7265.7713601692</v>
      </c>
      <c r="C31" s="16" t="n">
        <v>1340.26056274687</v>
      </c>
      <c r="D31" s="16" t="n">
        <v>-5.42116328878466</v>
      </c>
      <c r="E31" s="16" t="n">
        <v>1.49895219904828E-007</v>
      </c>
      <c r="F31" s="16" t="n">
        <v>-9906.59032674357</v>
      </c>
      <c r="G31" s="16" t="n">
        <v>-4624.95239359483</v>
      </c>
      <c r="P31" s="12" t="n">
        <v>3</v>
      </c>
      <c r="Q31" s="13" t="s">
        <v>91</v>
      </c>
      <c r="R31" s="14" t="n">
        <v>49.6</v>
      </c>
      <c r="S31" s="14" t="n">
        <v>23.5</v>
      </c>
      <c r="T31" s="14" t="n">
        <v>35.4</v>
      </c>
      <c r="U31" s="14" t="n">
        <v>10.8</v>
      </c>
      <c r="V31" s="14" t="n">
        <v>71.7</v>
      </c>
      <c r="W31" s="26" t="n">
        <v>42630</v>
      </c>
    </row>
    <row r="32" customFormat="false" ht="12.8" hidden="false" customHeight="false" outlineLevel="0" collapsed="false">
      <c r="A32" s="1" t="str">
        <f aca="false">"X3"</f>
        <v>X3</v>
      </c>
      <c r="B32" s="16" t="n">
        <v>6799.38725641167</v>
      </c>
      <c r="C32" s="16" t="n">
        <v>7081.78544450427</v>
      </c>
      <c r="D32" s="16" t="n">
        <v>0.960123306430901</v>
      </c>
      <c r="E32" s="16" t="n">
        <v>0.338005793438622</v>
      </c>
      <c r="F32" s="16" t="n">
        <v>-7154.40190882941</v>
      </c>
      <c r="G32" s="16" t="n">
        <v>20753.1764216527</v>
      </c>
      <c r="P32" s="12" t="n">
        <v>3</v>
      </c>
      <c r="Q32" s="13" t="s">
        <v>92</v>
      </c>
      <c r="R32" s="14" t="n">
        <v>49.4</v>
      </c>
      <c r="S32" s="14" t="n">
        <v>19.6</v>
      </c>
      <c r="T32" s="14" t="n">
        <v>34</v>
      </c>
      <c r="U32" s="14" t="n">
        <v>12.5</v>
      </c>
      <c r="V32" s="14" t="n">
        <v>72.7</v>
      </c>
      <c r="W32" s="26" t="n">
        <v>39905</v>
      </c>
    </row>
    <row r="33" customFormat="false" ht="12.8" hidden="false" customHeight="false" outlineLevel="0" collapsed="false">
      <c r="A33" s="1" t="str">
        <f aca="false">"X4"</f>
        <v>X4</v>
      </c>
      <c r="B33" s="16" t="n">
        <v>1814.829350059</v>
      </c>
      <c r="C33" s="16" t="n">
        <v>687.136423241955</v>
      </c>
      <c r="D33" s="16" t="n">
        <v>2.6411485240391</v>
      </c>
      <c r="E33" s="16" t="n">
        <v>0.00883153654035352</v>
      </c>
      <c r="F33" s="16" t="n">
        <v>460.911351157057</v>
      </c>
      <c r="G33" s="16" t="n">
        <v>3168.74734896094</v>
      </c>
      <c r="P33" s="12" t="n">
        <v>3</v>
      </c>
      <c r="Q33" s="13" t="s">
        <v>93</v>
      </c>
      <c r="R33" s="14" t="n">
        <v>53.1</v>
      </c>
      <c r="S33" s="14" t="n">
        <v>16.1</v>
      </c>
      <c r="T33" s="14" t="n">
        <v>32.8</v>
      </c>
      <c r="U33" s="14" t="n">
        <v>10.4</v>
      </c>
      <c r="V33" s="14" t="n">
        <v>79.1</v>
      </c>
      <c r="W33" s="26" t="n">
        <v>27178</v>
      </c>
    </row>
    <row r="34" customFormat="false" ht="12.8" hidden="false" customHeight="false" outlineLevel="0" collapsed="false">
      <c r="A34" s="1" t="str">
        <f aca="false">"X5"</f>
        <v>X5</v>
      </c>
      <c r="B34" s="16" t="n">
        <v>1046.76499856325</v>
      </c>
      <c r="C34" s="16" t="n">
        <v>436.37270135533</v>
      </c>
      <c r="D34" s="16" t="n">
        <v>2.3987866227931</v>
      </c>
      <c r="E34" s="16" t="n">
        <v>0.017250542416082</v>
      </c>
      <c r="F34" s="16" t="n">
        <v>186.94614074904</v>
      </c>
      <c r="G34" s="16" t="n">
        <v>1906.58385637747</v>
      </c>
      <c r="P34" s="12" t="n">
        <v>3</v>
      </c>
      <c r="Q34" s="13" t="s">
        <v>94</v>
      </c>
      <c r="R34" s="14" t="n">
        <v>65.3</v>
      </c>
      <c r="S34" s="14" t="n">
        <v>25.8</v>
      </c>
      <c r="T34" s="14" t="n">
        <v>34.2</v>
      </c>
      <c r="U34" s="14" t="n">
        <v>11.2</v>
      </c>
      <c r="V34" s="14" t="n">
        <v>80.6</v>
      </c>
      <c r="W34" s="26" t="n">
        <v>35183</v>
      </c>
    </row>
    <row r="35" customFormat="false" ht="12.8" hidden="false" customHeight="false" outlineLevel="0" collapsed="false">
      <c r="B35" s="16"/>
      <c r="C35" s="16"/>
      <c r="D35" s="16"/>
      <c r="E35" s="16"/>
      <c r="F35" s="16"/>
      <c r="G35" s="16"/>
      <c r="P35" s="12" t="n">
        <v>3</v>
      </c>
      <c r="Q35" s="13" t="s">
        <v>95</v>
      </c>
      <c r="R35" s="14" t="n">
        <v>56.8</v>
      </c>
      <c r="S35" s="14" t="n">
        <v>31.6</v>
      </c>
      <c r="T35" s="14" t="n">
        <v>32.4</v>
      </c>
      <c r="U35" s="14" t="n">
        <v>11.7</v>
      </c>
      <c r="V35" s="14" t="n">
        <v>76.2</v>
      </c>
      <c r="W35" s="26" t="n">
        <v>96862</v>
      </c>
    </row>
    <row r="36" customFormat="false" ht="12.8" hidden="false" customHeight="false" outlineLevel="0" collapsed="false">
      <c r="A36" s="1" t="str">
        <f aca="false">"X1"</f>
        <v>X1</v>
      </c>
      <c r="B36" s="16" t="str">
        <f aca="false">"X2"</f>
        <v>X2</v>
      </c>
      <c r="C36" s="16" t="str">
        <f aca="false">"X3"</f>
        <v>X3</v>
      </c>
      <c r="D36" s="16" t="str">
        <f aca="false">"X4"</f>
        <v>X4</v>
      </c>
      <c r="E36" s="16" t="str">
        <f aca="false">"X5"</f>
        <v>X5</v>
      </c>
      <c r="F36" s="16" t="s">
        <v>96</v>
      </c>
      <c r="G36" s="16" t="str">
        <f aca="false">"Y"</f>
        <v>Y</v>
      </c>
      <c r="H36" s="1" t="s">
        <v>77</v>
      </c>
      <c r="P36" s="12" t="n">
        <v>3</v>
      </c>
      <c r="Q36" s="13" t="s">
        <v>97</v>
      </c>
      <c r="R36" s="14" t="n">
        <v>54.7</v>
      </c>
      <c r="S36" s="14" t="n">
        <v>19.7</v>
      </c>
      <c r="T36" s="14" t="n">
        <v>32.9</v>
      </c>
      <c r="U36" s="14" t="n">
        <v>10.9</v>
      </c>
      <c r="V36" s="14" t="n">
        <v>75.7</v>
      </c>
      <c r="W36" s="26" t="n">
        <v>142884</v>
      </c>
    </row>
    <row r="37" customFormat="false" ht="12.8" hidden="false" customHeight="false" outlineLevel="0" collapsed="false">
      <c r="A37" s="1" t="n">
        <f aca="false" t="array" ref="A37:E271">$R$3:$V$237</f>
        <v>48</v>
      </c>
      <c r="B37" s="16" t="n">
        <v>9.9</v>
      </c>
      <c r="C37" s="16" t="n">
        <v>32.5</v>
      </c>
      <c r="D37" s="16" t="n">
        <v>10.6</v>
      </c>
      <c r="E37" s="16" t="n">
        <v>79.6</v>
      </c>
      <c r="F37" s="27" t="n">
        <f aca="false" t="array" ref="F37:F271">MMULT($A$37:$E$271 , $B$30:$B$34) + $B$29</f>
        <v>216389.55982805</v>
      </c>
      <c r="G37" s="27" t="n">
        <f aca="false" t="array" ref="G37:G271">$W$3:$W$237</f>
        <v>263346</v>
      </c>
      <c r="H37" s="1" t="n">
        <f aca="false" t="array" ref="H37:H271">$G$37:$G$271 - $F$37:$F$271</f>
        <v>46956.4401719496</v>
      </c>
      <c r="L37" s="15"/>
      <c r="P37" s="12" t="n">
        <v>3</v>
      </c>
      <c r="Q37" s="13" t="s">
        <v>98</v>
      </c>
      <c r="R37" s="14" t="n">
        <v>51.2</v>
      </c>
      <c r="S37" s="14" t="n">
        <v>18.8</v>
      </c>
      <c r="T37" s="14" t="n">
        <v>33.1</v>
      </c>
      <c r="U37" s="14" t="n">
        <v>10.4</v>
      </c>
      <c r="V37" s="14" t="n">
        <v>78.2</v>
      </c>
      <c r="W37" s="26" t="n">
        <v>59321</v>
      </c>
    </row>
    <row r="38" customFormat="false" ht="12.8" hidden="false" customHeight="false" outlineLevel="0" collapsed="false">
      <c r="A38" s="1" t="n">
        <v>55.1</v>
      </c>
      <c r="B38" s="16" t="n">
        <v>17.8</v>
      </c>
      <c r="C38" s="16" t="n">
        <v>32.3</v>
      </c>
      <c r="D38" s="16" t="n">
        <v>10.6</v>
      </c>
      <c r="E38" s="16" t="n">
        <v>80.3</v>
      </c>
      <c r="F38" s="27" t="n">
        <v>121612.895500971</v>
      </c>
      <c r="G38" s="27" t="n">
        <v>60429</v>
      </c>
      <c r="H38" s="1" t="n">
        <v>-61183.8955009709</v>
      </c>
      <c r="P38" s="12" t="n">
        <v>3</v>
      </c>
      <c r="Q38" s="13" t="s">
        <v>99</v>
      </c>
      <c r="R38" s="14" t="n">
        <v>54.7</v>
      </c>
      <c r="S38" s="14" t="n">
        <v>24.2</v>
      </c>
      <c r="T38" s="14" t="n">
        <v>34</v>
      </c>
      <c r="U38" s="14" t="n">
        <v>10.4</v>
      </c>
      <c r="V38" s="14" t="n">
        <v>68</v>
      </c>
      <c r="W38" s="26" t="n">
        <v>37882</v>
      </c>
    </row>
    <row r="39" customFormat="false" ht="12.8" hidden="false" customHeight="false" outlineLevel="0" collapsed="false">
      <c r="A39" s="1" t="n">
        <v>57.9</v>
      </c>
      <c r="B39" s="16" t="n">
        <v>14.6</v>
      </c>
      <c r="C39" s="16" t="n">
        <v>32.3</v>
      </c>
      <c r="D39" s="16" t="n">
        <v>11.8</v>
      </c>
      <c r="E39" s="16" t="n">
        <v>83.2</v>
      </c>
      <c r="F39" s="27" t="n">
        <v>135583.847969068</v>
      </c>
      <c r="G39" s="27" t="n">
        <v>54837</v>
      </c>
      <c r="H39" s="1" t="n">
        <v>-80746.8479690683</v>
      </c>
      <c r="P39" s="12" t="n">
        <v>3</v>
      </c>
      <c r="Q39" s="13" t="s">
        <v>100</v>
      </c>
      <c r="R39" s="14" t="n">
        <v>52.3</v>
      </c>
      <c r="S39" s="14" t="n">
        <v>36.1</v>
      </c>
      <c r="T39" s="14" t="n">
        <v>32.5</v>
      </c>
      <c r="U39" s="14" t="n">
        <v>11.6</v>
      </c>
      <c r="V39" s="14" t="n">
        <v>73.8</v>
      </c>
      <c r="W39" s="26" t="n">
        <v>54780</v>
      </c>
    </row>
    <row r="40" customFormat="false" ht="12.8" hidden="false" customHeight="false" outlineLevel="0" collapsed="false">
      <c r="A40" s="1" t="n">
        <v>60</v>
      </c>
      <c r="B40" s="1" t="n">
        <v>27.4</v>
      </c>
      <c r="C40" s="1" t="n">
        <v>32.7</v>
      </c>
      <c r="D40" s="1" t="n">
        <v>9.9</v>
      </c>
      <c r="E40" s="1" t="n">
        <v>81.1</v>
      </c>
      <c r="F40" s="27" t="n">
        <v>28785.649999111</v>
      </c>
      <c r="G40" s="27" t="n">
        <v>102817</v>
      </c>
      <c r="H40" s="1" t="n">
        <v>74031.350000889</v>
      </c>
      <c r="P40" s="12" t="n">
        <v>3</v>
      </c>
      <c r="Q40" s="13" t="s">
        <v>101</v>
      </c>
      <c r="R40" s="14" t="n">
        <v>58.3</v>
      </c>
      <c r="S40" s="14" t="n">
        <v>22.1</v>
      </c>
      <c r="T40" s="14" t="n">
        <v>32.2</v>
      </c>
      <c r="U40" s="14" t="n">
        <v>10.6</v>
      </c>
      <c r="V40" s="14" t="n">
        <v>74.1</v>
      </c>
      <c r="W40" s="26" t="n">
        <v>71082</v>
      </c>
    </row>
    <row r="41" customFormat="false" ht="12.8" hidden="false" customHeight="false" outlineLevel="0" collapsed="false">
      <c r="A41" s="1" t="n">
        <v>53.8</v>
      </c>
      <c r="B41" s="1" t="n">
        <v>28.7</v>
      </c>
      <c r="C41" s="1" t="n">
        <v>32.3</v>
      </c>
      <c r="D41" s="1" t="n">
        <v>9.2</v>
      </c>
      <c r="E41" s="1" t="n">
        <v>79.3</v>
      </c>
      <c r="F41" s="27" t="n">
        <v>45557.3217580711</v>
      </c>
      <c r="G41" s="27" t="n">
        <v>48267</v>
      </c>
      <c r="H41" s="1" t="n">
        <v>2709.67824192886</v>
      </c>
      <c r="P41" s="12" t="n">
        <v>3</v>
      </c>
      <c r="Q41" s="13" t="s">
        <v>102</v>
      </c>
      <c r="R41" s="14" t="n">
        <v>61.2</v>
      </c>
      <c r="S41" s="14" t="n">
        <v>17.7</v>
      </c>
      <c r="T41" s="14" t="n">
        <v>30.6</v>
      </c>
      <c r="U41" s="14" t="n">
        <v>9.4</v>
      </c>
      <c r="V41" s="14" t="n">
        <v>71.7</v>
      </c>
      <c r="W41" s="26" t="n">
        <v>35120</v>
      </c>
    </row>
    <row r="42" customFormat="false" ht="12.8" hidden="false" customHeight="false" outlineLevel="0" collapsed="false">
      <c r="A42" s="1" t="n">
        <v>73.8</v>
      </c>
      <c r="B42" s="1" t="n">
        <v>24</v>
      </c>
      <c r="C42" s="1" t="n">
        <v>33.6</v>
      </c>
      <c r="D42" s="1" t="n">
        <v>11.5</v>
      </c>
      <c r="E42" s="1" t="n">
        <v>81.2</v>
      </c>
      <c r="F42" s="27" t="n">
        <v>-8812.31413016655</v>
      </c>
      <c r="G42" s="27" t="n">
        <v>54008</v>
      </c>
      <c r="H42" s="1" t="n">
        <v>62820.3141301665</v>
      </c>
      <c r="K42" s="22"/>
      <c r="M42" s="23"/>
      <c r="P42" s="12" t="n">
        <v>3</v>
      </c>
      <c r="Q42" s="13" t="s">
        <v>103</v>
      </c>
      <c r="R42" s="14" t="n">
        <v>51.5</v>
      </c>
      <c r="S42" s="14" t="n">
        <v>17.3</v>
      </c>
      <c r="T42" s="14" t="n">
        <v>33</v>
      </c>
      <c r="U42" s="14" t="n">
        <v>13.5</v>
      </c>
      <c r="V42" s="14" t="n">
        <v>78.6</v>
      </c>
      <c r="W42" s="26" t="n">
        <v>258772</v>
      </c>
    </row>
    <row r="43" customFormat="false" ht="12.8" hidden="false" customHeight="false" outlineLevel="0" collapsed="false">
      <c r="A43" s="1" t="n">
        <v>55</v>
      </c>
      <c r="B43" s="1" t="n">
        <v>23.9</v>
      </c>
      <c r="C43" s="1" t="n">
        <v>33.9</v>
      </c>
      <c r="D43" s="1" t="n">
        <v>10.6</v>
      </c>
      <c r="E43" s="1" t="n">
        <v>79.5</v>
      </c>
      <c r="F43" s="27" t="n">
        <v>87850.9024439308</v>
      </c>
      <c r="G43" s="27" t="n">
        <v>84085</v>
      </c>
      <c r="H43" s="1" t="n">
        <v>-3765.9024439308</v>
      </c>
      <c r="K43" s="22"/>
      <c r="M43" s="23"/>
      <c r="P43" s="12" t="n">
        <v>3</v>
      </c>
      <c r="Q43" s="13" t="s">
        <v>104</v>
      </c>
      <c r="R43" s="14" t="n">
        <v>53.4</v>
      </c>
      <c r="S43" s="14" t="n">
        <v>19.9</v>
      </c>
      <c r="T43" s="14" t="n">
        <v>35.3</v>
      </c>
      <c r="U43" s="14" t="n">
        <v>13.2</v>
      </c>
      <c r="V43" s="14" t="n">
        <v>80.4</v>
      </c>
      <c r="W43" s="26" t="n">
        <v>45366</v>
      </c>
    </row>
    <row r="44" customFormat="false" ht="12.8" hidden="false" customHeight="false" outlineLevel="0" collapsed="false">
      <c r="A44" s="1" t="n">
        <v>52.8</v>
      </c>
      <c r="B44" s="1" t="n">
        <v>20.2</v>
      </c>
      <c r="C44" s="1" t="n">
        <v>32.4</v>
      </c>
      <c r="D44" s="1" t="n">
        <v>11.4</v>
      </c>
      <c r="E44" s="1" t="n">
        <v>76.6</v>
      </c>
      <c r="F44" s="27" t="n">
        <v>114338.722404998</v>
      </c>
      <c r="G44" s="27" t="n">
        <v>90280</v>
      </c>
      <c r="H44" s="1" t="n">
        <v>-24058.7224049982</v>
      </c>
      <c r="K44" s="22"/>
      <c r="M44" s="23"/>
      <c r="P44" s="12" t="n">
        <v>3</v>
      </c>
      <c r="Q44" s="13" t="s">
        <v>105</v>
      </c>
      <c r="R44" s="14" t="n">
        <v>55.3</v>
      </c>
      <c r="S44" s="14" t="n">
        <v>22.5</v>
      </c>
      <c r="T44" s="14" t="n">
        <v>33.3</v>
      </c>
      <c r="U44" s="14" t="n">
        <v>10.7</v>
      </c>
      <c r="V44" s="14" t="n">
        <v>79.7</v>
      </c>
      <c r="W44" s="26" t="n">
        <v>65337</v>
      </c>
    </row>
    <row r="45" customFormat="false" ht="12.8" hidden="false" customHeight="false" outlineLevel="0" collapsed="false">
      <c r="A45" s="1" t="n">
        <v>53.3</v>
      </c>
      <c r="B45" s="1" t="n">
        <v>22.7</v>
      </c>
      <c r="C45" s="1" t="n">
        <v>33.9</v>
      </c>
      <c r="D45" s="1" t="n">
        <v>10</v>
      </c>
      <c r="E45" s="1" t="n">
        <v>76.7</v>
      </c>
      <c r="F45" s="27" t="n">
        <v>101349.267156047</v>
      </c>
      <c r="G45" s="27" t="n">
        <v>69589</v>
      </c>
      <c r="H45" s="1" t="n">
        <v>-31760.2671560471</v>
      </c>
      <c r="K45" s="22"/>
      <c r="M45" s="23"/>
      <c r="P45" s="12" t="n">
        <v>3</v>
      </c>
      <c r="Q45" s="13" t="s">
        <v>106</v>
      </c>
      <c r="R45" s="14" t="n">
        <v>58.5</v>
      </c>
      <c r="S45" s="14" t="n">
        <v>30.1</v>
      </c>
      <c r="T45" s="14" t="n">
        <v>33.2</v>
      </c>
      <c r="U45" s="14" t="n">
        <v>11.1</v>
      </c>
      <c r="V45" s="14" t="n">
        <v>79.6</v>
      </c>
      <c r="W45" s="26" t="n">
        <v>90224</v>
      </c>
    </row>
    <row r="46" customFormat="false" ht="12.8" hidden="false" customHeight="false" outlineLevel="0" collapsed="false">
      <c r="A46" s="1" t="n">
        <v>51.2</v>
      </c>
      <c r="B46" s="1" t="n">
        <v>13.5</v>
      </c>
      <c r="C46" s="1" t="n">
        <v>33</v>
      </c>
      <c r="D46" s="1" t="n">
        <v>10.3</v>
      </c>
      <c r="E46" s="1" t="n">
        <v>77.8</v>
      </c>
      <c r="F46" s="27" t="n">
        <v>174640.502642532</v>
      </c>
      <c r="G46" s="27" t="n">
        <v>79022</v>
      </c>
      <c r="H46" s="1" t="n">
        <v>-95618.5026425318</v>
      </c>
      <c r="K46" s="22"/>
      <c r="M46" s="23"/>
      <c r="P46" s="12" t="n">
        <v>3</v>
      </c>
      <c r="Q46" s="13" t="s">
        <v>107</v>
      </c>
      <c r="R46" s="14" t="n">
        <v>63.8</v>
      </c>
      <c r="S46" s="14" t="n">
        <v>26.5</v>
      </c>
      <c r="T46" s="14" t="n">
        <v>33.7</v>
      </c>
      <c r="U46" s="14" t="n">
        <v>8.5</v>
      </c>
      <c r="V46" s="14" t="n">
        <v>76.9</v>
      </c>
      <c r="W46" s="26" t="n">
        <v>59484</v>
      </c>
    </row>
    <row r="47" customFormat="false" ht="12.8" hidden="false" customHeight="false" outlineLevel="0" collapsed="false">
      <c r="A47" s="1" t="n">
        <v>47</v>
      </c>
      <c r="B47" s="1" t="n">
        <v>8.4</v>
      </c>
      <c r="C47" s="1" t="n">
        <v>31.7</v>
      </c>
      <c r="D47" s="1" t="n">
        <v>10.5</v>
      </c>
      <c r="E47" s="1" t="n">
        <v>77.6</v>
      </c>
      <c r="F47" s="27" t="n">
        <v>224749.740416881</v>
      </c>
      <c r="G47" s="27" t="n">
        <v>176671</v>
      </c>
      <c r="H47" s="1" t="n">
        <v>-48078.7404168812</v>
      </c>
      <c r="K47" s="22"/>
      <c r="M47" s="23"/>
      <c r="P47" s="12" t="n">
        <v>3</v>
      </c>
      <c r="Q47" s="13" t="s">
        <v>108</v>
      </c>
      <c r="R47" s="14" t="n">
        <v>51.9</v>
      </c>
      <c r="S47" s="14" t="n">
        <v>21.7</v>
      </c>
      <c r="T47" s="14" t="n">
        <v>34.2</v>
      </c>
      <c r="U47" s="14" t="n">
        <v>11.3</v>
      </c>
      <c r="V47" s="14" t="n">
        <v>80.5</v>
      </c>
      <c r="W47" s="26" t="n">
        <v>53924</v>
      </c>
    </row>
    <row r="48" customFormat="false" ht="12.8" hidden="false" customHeight="false" outlineLevel="0" collapsed="false">
      <c r="A48" s="1" t="n">
        <v>43.8</v>
      </c>
      <c r="B48" s="1" t="n">
        <v>12.9</v>
      </c>
      <c r="C48" s="1" t="n">
        <v>32.4</v>
      </c>
      <c r="D48" s="1" t="n">
        <v>10.2</v>
      </c>
      <c r="E48" s="1" t="n">
        <v>78</v>
      </c>
      <c r="F48" s="27" t="n">
        <v>213250.945684699</v>
      </c>
      <c r="G48" s="27" t="n">
        <v>127132</v>
      </c>
      <c r="H48" s="1" t="n">
        <v>-86118.9456846995</v>
      </c>
      <c r="K48" s="22"/>
      <c r="M48" s="23"/>
      <c r="P48" s="12" t="n">
        <v>3</v>
      </c>
      <c r="Q48" s="13" t="s">
        <v>109</v>
      </c>
      <c r="R48" s="14" t="n">
        <v>50.5</v>
      </c>
      <c r="S48" s="14" t="n">
        <v>16.9</v>
      </c>
      <c r="T48" s="14" t="n">
        <v>33.1</v>
      </c>
      <c r="U48" s="14" t="n">
        <v>10.5</v>
      </c>
      <c r="V48" s="14" t="n">
        <v>83</v>
      </c>
      <c r="W48" s="26" t="n">
        <v>87017</v>
      </c>
    </row>
    <row r="49" customFormat="false" ht="12.8" hidden="false" customHeight="false" outlineLevel="0" collapsed="false">
      <c r="A49" s="1" t="n">
        <v>50.5</v>
      </c>
      <c r="B49" s="1" t="n">
        <v>7.5</v>
      </c>
      <c r="C49" s="1" t="n">
        <v>32.9</v>
      </c>
      <c r="D49" s="1" t="n">
        <v>9.9</v>
      </c>
      <c r="E49" s="1" t="n">
        <v>76.3</v>
      </c>
      <c r="F49" s="27" t="n">
        <v>218882.345240124</v>
      </c>
      <c r="G49" s="27" t="n">
        <v>672029</v>
      </c>
      <c r="H49" s="1" t="n">
        <v>453146.654759876</v>
      </c>
      <c r="K49" s="22"/>
      <c r="M49" s="23"/>
      <c r="P49" s="12" t="n">
        <v>3</v>
      </c>
      <c r="Q49" s="13" t="s">
        <v>110</v>
      </c>
      <c r="R49" s="14" t="n">
        <v>55.8</v>
      </c>
      <c r="S49" s="14" t="n">
        <v>30.8</v>
      </c>
      <c r="T49" s="14" t="n">
        <v>33.2</v>
      </c>
      <c r="U49" s="14" t="n">
        <v>10.3</v>
      </c>
      <c r="V49" s="14" t="n">
        <v>87.6</v>
      </c>
      <c r="W49" s="26" t="n">
        <v>74355</v>
      </c>
    </row>
    <row r="50" customFormat="false" ht="12.8" hidden="false" customHeight="false" outlineLevel="0" collapsed="false">
      <c r="A50" s="1" t="n">
        <v>46.1</v>
      </c>
      <c r="B50" s="1" t="n">
        <v>8.9</v>
      </c>
      <c r="C50" s="1" t="n">
        <v>32.1</v>
      </c>
      <c r="D50" s="1" t="n">
        <v>10.4</v>
      </c>
      <c r="E50" s="1" t="n">
        <v>76.8</v>
      </c>
      <c r="F50" s="27" t="n">
        <v>227476.15636276</v>
      </c>
      <c r="G50" s="27" t="n">
        <v>214068</v>
      </c>
      <c r="H50" s="1" t="n">
        <v>-13408.1563627596</v>
      </c>
      <c r="K50" s="22"/>
      <c r="M50" s="23"/>
      <c r="P50" s="12" t="n">
        <v>4</v>
      </c>
      <c r="Q50" s="13" t="s">
        <v>42</v>
      </c>
      <c r="R50" s="13" t="n">
        <v>45</v>
      </c>
      <c r="S50" s="13" t="n">
        <v>9.8</v>
      </c>
      <c r="T50" s="13" t="n">
        <v>31.7</v>
      </c>
      <c r="U50" s="13" t="n">
        <v>9.2</v>
      </c>
      <c r="V50" s="13" t="n">
        <v>81.5</v>
      </c>
      <c r="W50" s="26" t="n">
        <v>260585</v>
      </c>
    </row>
    <row r="51" customFormat="false" ht="12.8" hidden="false" customHeight="false" outlineLevel="0" collapsed="false">
      <c r="A51" s="1" t="n">
        <v>66.4</v>
      </c>
      <c r="B51" s="1" t="n">
        <v>17.7</v>
      </c>
      <c r="C51" s="1" t="n">
        <v>33.4</v>
      </c>
      <c r="D51" s="1" t="n">
        <v>10.6</v>
      </c>
      <c r="E51" s="1" t="n">
        <v>79.3</v>
      </c>
      <c r="F51" s="27" t="n">
        <v>70282.7105905001</v>
      </c>
      <c r="G51" s="27" t="n">
        <v>99778</v>
      </c>
      <c r="H51" s="1" t="n">
        <v>29495.2894094999</v>
      </c>
      <c r="K51" s="22"/>
      <c r="M51" s="23"/>
      <c r="P51" s="18" t="n">
        <v>4</v>
      </c>
      <c r="Q51" s="13" t="s">
        <v>45</v>
      </c>
      <c r="R51" s="13" t="n">
        <v>55.8</v>
      </c>
      <c r="S51" s="13" t="n">
        <v>17.6</v>
      </c>
      <c r="T51" s="13" t="n">
        <v>31.4</v>
      </c>
      <c r="U51" s="13" t="n">
        <v>9.2</v>
      </c>
      <c r="V51" s="13" t="n">
        <v>82.1</v>
      </c>
      <c r="W51" s="26" t="n">
        <v>59480</v>
      </c>
    </row>
    <row r="52" customFormat="false" ht="12.8" hidden="false" customHeight="false" outlineLevel="0" collapsed="false">
      <c r="A52" s="1" t="n">
        <v>66.3</v>
      </c>
      <c r="B52" s="1" t="n">
        <v>29.3</v>
      </c>
      <c r="C52" s="1" t="n">
        <v>31.4</v>
      </c>
      <c r="D52" s="1" t="n">
        <v>14.4</v>
      </c>
      <c r="E52" s="1" t="n">
        <v>78.8</v>
      </c>
      <c r="F52" s="27" t="n">
        <v>-20708.4380407595</v>
      </c>
      <c r="G52" s="27" t="n">
        <v>50455</v>
      </c>
      <c r="H52" s="1" t="n">
        <v>71163.4380407595</v>
      </c>
      <c r="K52" s="22"/>
      <c r="M52" s="23"/>
      <c r="P52" s="12" t="n">
        <v>4</v>
      </c>
      <c r="Q52" s="13" t="s">
        <v>46</v>
      </c>
      <c r="R52" s="13" t="n">
        <v>55.7</v>
      </c>
      <c r="S52" s="13" t="n">
        <v>14.5</v>
      </c>
      <c r="T52" s="13" t="n">
        <v>31.4</v>
      </c>
      <c r="U52" s="13" t="n">
        <v>9</v>
      </c>
      <c r="V52" s="13" t="n">
        <v>85</v>
      </c>
      <c r="W52" s="26" t="n">
        <v>53818</v>
      </c>
    </row>
    <row r="53" customFormat="false" ht="12.8" hidden="false" customHeight="false" outlineLevel="0" collapsed="false">
      <c r="A53" s="1" t="n">
        <v>63.7</v>
      </c>
      <c r="B53" s="1" t="n">
        <v>21.1</v>
      </c>
      <c r="C53" s="1" t="n">
        <v>31.5</v>
      </c>
      <c r="D53" s="1" t="n">
        <v>12.1</v>
      </c>
      <c r="E53" s="1" t="n">
        <v>77.8</v>
      </c>
      <c r="F53" s="27" t="n">
        <v>47787.6736777508</v>
      </c>
      <c r="G53" s="27" t="n">
        <v>57742</v>
      </c>
      <c r="H53" s="1" t="n">
        <v>9954.3263222492</v>
      </c>
      <c r="K53" s="22"/>
      <c r="M53" s="23"/>
      <c r="P53" s="18" t="n">
        <v>4</v>
      </c>
      <c r="Q53" s="13" t="s">
        <v>48</v>
      </c>
      <c r="R53" s="13" t="n">
        <v>58.5</v>
      </c>
      <c r="S53" s="13" t="n">
        <v>22.9</v>
      </c>
      <c r="T53" s="13" t="n">
        <v>31.6</v>
      </c>
      <c r="U53" s="13" t="n">
        <v>11.6</v>
      </c>
      <c r="V53" s="13" t="n">
        <v>83.1</v>
      </c>
      <c r="W53" s="26" t="n">
        <v>102022</v>
      </c>
    </row>
    <row r="54" customFormat="false" ht="12.8" hidden="false" customHeight="false" outlineLevel="0" collapsed="false">
      <c r="A54" s="1" t="n">
        <v>61.2</v>
      </c>
      <c r="B54" s="1" t="n">
        <v>19.6</v>
      </c>
      <c r="C54" s="1" t="n">
        <v>33.7</v>
      </c>
      <c r="D54" s="1" t="n">
        <v>17.3</v>
      </c>
      <c r="E54" s="1" t="n">
        <v>77.5</v>
      </c>
      <c r="F54" s="27" t="n">
        <v>95708.1815174448</v>
      </c>
      <c r="G54" s="27" t="n">
        <v>38956</v>
      </c>
      <c r="H54" s="1" t="n">
        <v>-56752.1815174448</v>
      </c>
      <c r="K54" s="22"/>
      <c r="M54" s="23"/>
      <c r="P54" s="12" t="n">
        <v>4</v>
      </c>
      <c r="Q54" s="13" t="s">
        <v>49</v>
      </c>
      <c r="R54" s="13" t="n">
        <v>55.9</v>
      </c>
      <c r="S54" s="13" t="n">
        <v>24.4</v>
      </c>
      <c r="T54" s="13" t="n">
        <v>33.2</v>
      </c>
      <c r="U54" s="13" t="n">
        <v>9</v>
      </c>
      <c r="V54" s="13" t="n">
        <v>81.7</v>
      </c>
      <c r="W54" s="26" t="n">
        <v>46633</v>
      </c>
    </row>
    <row r="55" customFormat="false" ht="12.8" hidden="false" customHeight="false" outlineLevel="0" collapsed="false">
      <c r="A55" s="1" t="n">
        <v>65.1</v>
      </c>
      <c r="B55" s="1" t="n">
        <v>18.9</v>
      </c>
      <c r="C55" s="1" t="n">
        <v>31.7</v>
      </c>
      <c r="D55" s="1" t="n">
        <v>9.2</v>
      </c>
      <c r="E55" s="1" t="n">
        <v>74.8</v>
      </c>
      <c r="F55" s="27" t="n">
        <v>49482.4832103704</v>
      </c>
      <c r="G55" s="27" t="n">
        <v>32486</v>
      </c>
      <c r="H55" s="1" t="n">
        <v>-16996.4832103704</v>
      </c>
      <c r="K55" s="22"/>
      <c r="M55" s="23"/>
      <c r="P55" s="18" t="n">
        <v>4</v>
      </c>
      <c r="Q55" s="13" t="s">
        <v>50</v>
      </c>
      <c r="R55" s="13" t="n">
        <v>73</v>
      </c>
      <c r="S55" s="13" t="n">
        <v>22.7</v>
      </c>
      <c r="T55" s="13" t="n">
        <v>33.3</v>
      </c>
      <c r="U55" s="13" t="n">
        <v>10.8</v>
      </c>
      <c r="V55" s="13" t="n">
        <v>83.3</v>
      </c>
      <c r="W55" s="26" t="n">
        <v>54051</v>
      </c>
    </row>
    <row r="56" customFormat="false" ht="12.8" hidden="false" customHeight="false" outlineLevel="0" collapsed="false">
      <c r="A56" s="1" t="n">
        <v>58.7</v>
      </c>
      <c r="B56" s="1" t="n">
        <v>22.5</v>
      </c>
      <c r="C56" s="1" t="n">
        <v>33.1</v>
      </c>
      <c r="D56" s="1" t="n">
        <v>9.9</v>
      </c>
      <c r="E56" s="1" t="n">
        <v>79.1</v>
      </c>
      <c r="F56" s="27" t="n">
        <v>71743.0147409685</v>
      </c>
      <c r="G56" s="27" t="n">
        <v>81622</v>
      </c>
      <c r="H56" s="1" t="n">
        <v>9878.98525903147</v>
      </c>
      <c r="K56" s="22"/>
      <c r="M56" s="23"/>
      <c r="P56" s="12" t="n">
        <v>4</v>
      </c>
      <c r="Q56" s="13" t="s">
        <v>51</v>
      </c>
      <c r="R56" s="13" t="n">
        <v>53.1</v>
      </c>
      <c r="S56" s="13" t="n">
        <v>24.9</v>
      </c>
      <c r="T56" s="13" t="n">
        <v>33.5</v>
      </c>
      <c r="U56" s="13" t="n">
        <v>10.3</v>
      </c>
      <c r="V56" s="13" t="n">
        <v>81.8</v>
      </c>
      <c r="W56" s="26" t="n">
        <v>83900</v>
      </c>
    </row>
    <row r="57" customFormat="false" ht="12.8" hidden="false" customHeight="false" outlineLevel="0" collapsed="false">
      <c r="A57" s="1" t="n">
        <v>57</v>
      </c>
      <c r="B57" s="1" t="n">
        <v>27.4</v>
      </c>
      <c r="C57" s="1" t="n">
        <v>33.6</v>
      </c>
      <c r="D57" s="1" t="n">
        <v>9.6</v>
      </c>
      <c r="E57" s="1" t="n">
        <v>75.5</v>
      </c>
      <c r="F57" s="27" t="n">
        <v>44026.9045904258</v>
      </c>
      <c r="G57" s="27" t="n">
        <v>95830</v>
      </c>
      <c r="H57" s="1" t="n">
        <v>51803.0954095743</v>
      </c>
      <c r="K57" s="22"/>
      <c r="M57" s="23"/>
      <c r="P57" s="18" t="n">
        <v>4</v>
      </c>
      <c r="Q57" s="13" t="s">
        <v>52</v>
      </c>
      <c r="R57" s="13" t="n">
        <v>52.3</v>
      </c>
      <c r="S57" s="13" t="n">
        <v>13.9</v>
      </c>
      <c r="T57" s="13" t="n">
        <v>31.7</v>
      </c>
      <c r="U57" s="13" t="n">
        <v>12</v>
      </c>
      <c r="V57" s="13" t="n">
        <v>78.8</v>
      </c>
      <c r="W57" s="26" t="n">
        <v>92100</v>
      </c>
    </row>
    <row r="58" customFormat="false" ht="12.8" hidden="false" customHeight="false" outlineLevel="0" collapsed="false">
      <c r="A58" s="1" t="n">
        <v>55.1</v>
      </c>
      <c r="B58" s="1" t="n">
        <v>14.7</v>
      </c>
      <c r="C58" s="1" t="n">
        <v>33.7</v>
      </c>
      <c r="D58" s="1" t="n">
        <v>10.3</v>
      </c>
      <c r="E58" s="1" t="n">
        <v>78.2</v>
      </c>
      <c r="F58" s="27" t="n">
        <v>150913.273574471</v>
      </c>
      <c r="G58" s="27" t="n">
        <v>128849</v>
      </c>
      <c r="H58" s="1" t="n">
        <v>-22064.2735744714</v>
      </c>
      <c r="K58" s="22"/>
      <c r="M58" s="23"/>
      <c r="P58" s="12" t="n">
        <v>4</v>
      </c>
      <c r="Q58" s="13" t="s">
        <v>53</v>
      </c>
      <c r="R58" s="13" t="n">
        <v>53.4</v>
      </c>
      <c r="S58" s="13" t="n">
        <v>23.5</v>
      </c>
      <c r="T58" s="13" t="n">
        <v>32.4</v>
      </c>
      <c r="U58" s="13" t="n">
        <v>10.5</v>
      </c>
      <c r="V58" s="13" t="n">
        <v>79.5</v>
      </c>
      <c r="W58" s="26" t="n">
        <v>71292</v>
      </c>
    </row>
    <row r="59" customFormat="false" ht="12.8" hidden="false" customHeight="false" outlineLevel="0" collapsed="false">
      <c r="A59" s="1" t="n">
        <v>50.3</v>
      </c>
      <c r="B59" s="1" t="n">
        <v>11.8</v>
      </c>
      <c r="C59" s="1" t="n">
        <v>33.3</v>
      </c>
      <c r="D59" s="1" t="n">
        <v>10.2</v>
      </c>
      <c r="E59" s="1" t="n">
        <v>76.2</v>
      </c>
      <c r="F59" s="27" t="n">
        <v>191834.264856291</v>
      </c>
      <c r="G59" s="27" t="n">
        <v>307597</v>
      </c>
      <c r="H59" s="1" t="n">
        <v>115762.735143709</v>
      </c>
      <c r="K59" s="22"/>
      <c r="M59" s="23"/>
      <c r="P59" s="18" t="n">
        <v>4</v>
      </c>
      <c r="Q59" s="13" t="s">
        <v>54</v>
      </c>
      <c r="R59" s="13" t="n">
        <v>51.2</v>
      </c>
      <c r="S59" s="13" t="n">
        <v>10.6</v>
      </c>
      <c r="T59" s="13" t="n">
        <v>31.7</v>
      </c>
      <c r="U59" s="13" t="n">
        <v>9.3</v>
      </c>
      <c r="V59" s="13" t="n">
        <v>80.3</v>
      </c>
      <c r="W59" s="26" t="n">
        <v>80070</v>
      </c>
    </row>
    <row r="60" customFormat="false" ht="12.8" hidden="false" customHeight="false" outlineLevel="0" collapsed="false">
      <c r="A60" s="1" t="n">
        <v>58.1</v>
      </c>
      <c r="B60" s="1" t="n">
        <v>15.2</v>
      </c>
      <c r="C60" s="1" t="n">
        <v>32.8</v>
      </c>
      <c r="D60" s="1" t="n">
        <v>12.7</v>
      </c>
      <c r="E60" s="1" t="n">
        <v>76.4</v>
      </c>
      <c r="F60" s="27" t="n">
        <v>128104.213948828</v>
      </c>
      <c r="G60" s="27" t="n">
        <v>64799</v>
      </c>
      <c r="H60" s="1" t="n">
        <v>-63305.2139488278</v>
      </c>
      <c r="K60" s="22"/>
      <c r="M60" s="23"/>
      <c r="P60" s="12" t="n">
        <v>4</v>
      </c>
      <c r="Q60" s="13" t="s">
        <v>56</v>
      </c>
      <c r="R60" s="13" t="n">
        <v>43</v>
      </c>
      <c r="S60" s="13" t="n">
        <v>6.6</v>
      </c>
      <c r="T60" s="13" t="n">
        <v>31.8</v>
      </c>
      <c r="U60" s="13" t="n">
        <v>8.7</v>
      </c>
      <c r="V60" s="13" t="n">
        <v>79.8</v>
      </c>
      <c r="W60" s="26" t="n">
        <v>182653</v>
      </c>
    </row>
    <row r="61" customFormat="false" ht="12.8" hidden="false" customHeight="false" outlineLevel="0" collapsed="false">
      <c r="A61" s="1" t="n">
        <v>57.8</v>
      </c>
      <c r="B61" s="1" t="n">
        <v>23.5</v>
      </c>
      <c r="C61" s="1" t="n">
        <v>35.5</v>
      </c>
      <c r="D61" s="1" t="n">
        <v>10.7</v>
      </c>
      <c r="E61" s="1" t="n">
        <v>78.3</v>
      </c>
      <c r="F61" s="27" t="n">
        <v>86068.6659346388</v>
      </c>
      <c r="G61" s="27" t="n">
        <v>44465</v>
      </c>
      <c r="H61" s="1" t="n">
        <v>-41603.6659346388</v>
      </c>
      <c r="K61" s="22"/>
      <c r="M61" s="23"/>
      <c r="P61" s="18" t="n">
        <v>4</v>
      </c>
      <c r="Q61" s="13" t="s">
        <v>58</v>
      </c>
      <c r="R61" s="13" t="n">
        <v>40</v>
      </c>
      <c r="S61" s="13" t="n">
        <v>12.6</v>
      </c>
      <c r="T61" s="13" t="n">
        <v>31.4</v>
      </c>
      <c r="U61" s="13" t="n">
        <v>9.7</v>
      </c>
      <c r="V61" s="13" t="n">
        <v>80.1</v>
      </c>
      <c r="W61" s="26" t="n">
        <v>132621</v>
      </c>
    </row>
    <row r="62" customFormat="false" ht="12.8" hidden="false" customHeight="false" outlineLevel="0" collapsed="false">
      <c r="A62" s="1" t="n">
        <v>55.6</v>
      </c>
      <c r="B62" s="1" t="n">
        <v>15.6</v>
      </c>
      <c r="C62" s="1" t="n">
        <v>34.3</v>
      </c>
      <c r="D62" s="1" t="n">
        <v>10.7</v>
      </c>
      <c r="E62" s="1" t="n">
        <v>74</v>
      </c>
      <c r="F62" s="27" t="n">
        <v>142195.207307305</v>
      </c>
      <c r="G62" s="27" t="n">
        <v>113992</v>
      </c>
      <c r="H62" s="1" t="n">
        <v>-28203.2073073046</v>
      </c>
      <c r="K62" s="22"/>
      <c r="M62" s="23"/>
      <c r="P62" s="12" t="n">
        <v>4</v>
      </c>
      <c r="Q62" s="13" t="s">
        <v>60</v>
      </c>
      <c r="R62" s="13" t="n">
        <v>47.2</v>
      </c>
      <c r="S62" s="13" t="n">
        <v>7.7</v>
      </c>
      <c r="T62" s="13" t="n">
        <v>32.4</v>
      </c>
      <c r="U62" s="13" t="n">
        <v>9.2</v>
      </c>
      <c r="V62" s="13" t="n">
        <v>78.4</v>
      </c>
      <c r="W62" s="26" t="n">
        <v>712807</v>
      </c>
    </row>
    <row r="63" customFormat="false" ht="12.8" hidden="false" customHeight="false" outlineLevel="0" collapsed="false">
      <c r="A63" s="1" t="n">
        <v>45.2</v>
      </c>
      <c r="B63" s="1" t="n">
        <v>12.5</v>
      </c>
      <c r="C63" s="1" t="n">
        <v>33.5</v>
      </c>
      <c r="D63" s="1" t="n">
        <v>10.9</v>
      </c>
      <c r="E63" s="1" t="n">
        <v>74.3</v>
      </c>
      <c r="F63" s="27" t="n">
        <v>213787.465461003</v>
      </c>
      <c r="G63" s="27" t="n">
        <v>459474</v>
      </c>
      <c r="H63" s="1" t="n">
        <v>245686.534538997</v>
      </c>
      <c r="K63" s="22"/>
      <c r="M63" s="23"/>
      <c r="P63" s="18" t="n">
        <v>4</v>
      </c>
      <c r="Q63" s="13" t="s">
        <v>62</v>
      </c>
      <c r="R63" s="13" t="n">
        <v>41.7</v>
      </c>
      <c r="S63" s="13" t="n">
        <v>8.9</v>
      </c>
      <c r="T63" s="13" t="n">
        <v>31.7</v>
      </c>
      <c r="U63" s="13" t="n">
        <v>10.2</v>
      </c>
      <c r="V63" s="13" t="n">
        <v>79</v>
      </c>
      <c r="W63" s="26" t="n">
        <v>222884</v>
      </c>
    </row>
    <row r="64" customFormat="false" ht="12.8" hidden="false" customHeight="false" outlineLevel="0" collapsed="false">
      <c r="A64" s="1" t="n">
        <v>50.9</v>
      </c>
      <c r="B64" s="1" t="n">
        <v>14.3</v>
      </c>
      <c r="C64" s="1" t="n">
        <v>33.2</v>
      </c>
      <c r="D64" s="1" t="n">
        <v>10.9</v>
      </c>
      <c r="E64" s="1" t="n">
        <v>76.9</v>
      </c>
      <c r="F64" s="27" t="n">
        <v>171887.386002759</v>
      </c>
      <c r="G64" s="27" t="n">
        <v>201459</v>
      </c>
      <c r="H64" s="1" t="n">
        <v>29571.6139972411</v>
      </c>
      <c r="K64" s="22"/>
      <c r="M64" s="23"/>
      <c r="P64" s="12" t="n">
        <v>4</v>
      </c>
      <c r="Q64" s="13" t="s">
        <v>64</v>
      </c>
      <c r="R64" s="13" t="n">
        <v>65.2</v>
      </c>
      <c r="S64" s="13" t="n">
        <v>17.5</v>
      </c>
      <c r="T64" s="13" t="n">
        <v>33.1</v>
      </c>
      <c r="U64" s="13" t="n">
        <v>11.1</v>
      </c>
      <c r="V64" s="13" t="n">
        <v>81.5</v>
      </c>
      <c r="W64" s="26" t="n">
        <v>98369</v>
      </c>
    </row>
    <row r="65" customFormat="false" ht="12.8" hidden="false" customHeight="false" outlineLevel="0" collapsed="false">
      <c r="A65" s="1" t="n">
        <v>49.6</v>
      </c>
      <c r="B65" s="1" t="n">
        <v>23.5</v>
      </c>
      <c r="C65" s="1" t="n">
        <v>35.4</v>
      </c>
      <c r="D65" s="1" t="n">
        <v>10.8</v>
      </c>
      <c r="E65" s="1" t="n">
        <v>71.7</v>
      </c>
      <c r="F65" s="27" t="n">
        <v>121105.140697363</v>
      </c>
      <c r="G65" s="27" t="n">
        <v>42630</v>
      </c>
      <c r="H65" s="1" t="n">
        <v>-78475.1406973634</v>
      </c>
      <c r="K65" s="22"/>
      <c r="M65" s="23"/>
      <c r="P65" s="18" t="n">
        <v>4</v>
      </c>
      <c r="Q65" s="13" t="s">
        <v>66</v>
      </c>
      <c r="R65" s="13" t="n">
        <v>67.2</v>
      </c>
      <c r="S65" s="13" t="n">
        <v>27.6</v>
      </c>
      <c r="T65" s="13" t="n">
        <v>31.6</v>
      </c>
      <c r="U65" s="13" t="n">
        <v>15.9</v>
      </c>
      <c r="V65" s="13" t="n">
        <v>80.8</v>
      </c>
      <c r="W65" s="26" t="n">
        <v>50531</v>
      </c>
    </row>
    <row r="66" customFormat="false" ht="12.8" hidden="false" customHeight="false" outlineLevel="0" collapsed="false">
      <c r="A66" s="1" t="n">
        <v>49.4</v>
      </c>
      <c r="B66" s="1" t="n">
        <v>19.6</v>
      </c>
      <c r="C66" s="1" t="n">
        <v>34</v>
      </c>
      <c r="D66" s="1" t="n">
        <v>12.5</v>
      </c>
      <c r="E66" s="1" t="n">
        <v>72.7</v>
      </c>
      <c r="F66" s="27" t="n">
        <v>145089.690993878</v>
      </c>
      <c r="G66" s="27" t="n">
        <v>39905</v>
      </c>
      <c r="H66" s="1" t="n">
        <v>-105184.690993878</v>
      </c>
      <c r="K66" s="22"/>
      <c r="M66" s="23"/>
      <c r="P66" s="12" t="n">
        <v>4</v>
      </c>
      <c r="Q66" s="13" t="s">
        <v>67</v>
      </c>
      <c r="R66" s="13" t="n">
        <v>61.1</v>
      </c>
      <c r="S66" s="13" t="n">
        <v>15.4</v>
      </c>
      <c r="T66" s="13" t="n">
        <v>31</v>
      </c>
      <c r="U66" s="13" t="n">
        <v>13.1</v>
      </c>
      <c r="V66" s="13" t="n">
        <v>79.5</v>
      </c>
      <c r="W66" s="26" t="n">
        <v>57253</v>
      </c>
    </row>
    <row r="67" customFormat="false" ht="12.8" hidden="false" customHeight="false" outlineLevel="0" collapsed="false">
      <c r="A67" s="1" t="n">
        <v>53.1</v>
      </c>
      <c r="B67" s="1" t="n">
        <v>16.1</v>
      </c>
      <c r="C67" s="1" t="n">
        <v>32.8</v>
      </c>
      <c r="D67" s="1" t="n">
        <v>10.4</v>
      </c>
      <c r="E67" s="1" t="n">
        <v>79.1</v>
      </c>
      <c r="F67" s="27" t="n">
        <v>146097.409144854</v>
      </c>
      <c r="G67" s="27" t="n">
        <v>27178</v>
      </c>
      <c r="H67" s="1" t="n">
        <v>-118919.409144854</v>
      </c>
      <c r="K67" s="22"/>
      <c r="M67" s="23"/>
      <c r="P67" s="18" t="n">
        <v>4</v>
      </c>
      <c r="Q67" s="13" t="s">
        <v>69</v>
      </c>
      <c r="R67" s="13" t="n">
        <v>58.3</v>
      </c>
      <c r="S67" s="13" t="n">
        <v>17</v>
      </c>
      <c r="T67" s="13" t="n">
        <v>32.7</v>
      </c>
      <c r="U67" s="13" t="n">
        <v>13.9</v>
      </c>
      <c r="V67" s="13" t="n">
        <v>79.1</v>
      </c>
      <c r="W67" s="26" t="n">
        <v>39053</v>
      </c>
    </row>
    <row r="68" customFormat="false" ht="12.8" hidden="false" customHeight="false" outlineLevel="0" collapsed="false">
      <c r="A68" s="1" t="n">
        <v>65.3</v>
      </c>
      <c r="B68" s="1" t="n">
        <v>25.8</v>
      </c>
      <c r="C68" s="1" t="n">
        <v>34.2</v>
      </c>
      <c r="D68" s="1" t="n">
        <v>11.2</v>
      </c>
      <c r="E68" s="1" t="n">
        <v>80.6</v>
      </c>
      <c r="F68" s="27" t="n">
        <v>25012.8154008492</v>
      </c>
      <c r="G68" s="27" t="n">
        <v>35183</v>
      </c>
      <c r="H68" s="1" t="n">
        <v>10170.1845991508</v>
      </c>
      <c r="K68" s="22"/>
      <c r="M68" s="23"/>
      <c r="P68" s="12" t="n">
        <v>4</v>
      </c>
      <c r="Q68" s="13" t="s">
        <v>75</v>
      </c>
      <c r="R68" s="13" t="n">
        <v>62.9</v>
      </c>
      <c r="S68" s="13" t="n">
        <v>16.2</v>
      </c>
      <c r="T68" s="13" t="n">
        <v>31.6</v>
      </c>
      <c r="U68" s="13" t="n">
        <v>10.6</v>
      </c>
      <c r="V68" s="13" t="n">
        <v>78.9</v>
      </c>
      <c r="W68" s="26" t="n">
        <v>32852</v>
      </c>
    </row>
    <row r="69" customFormat="false" ht="12.8" hidden="false" customHeight="false" outlineLevel="0" collapsed="false">
      <c r="A69" s="1" t="n">
        <v>56.8</v>
      </c>
      <c r="B69" s="1" t="n">
        <v>31.6</v>
      </c>
      <c r="C69" s="1" t="n">
        <v>32.4</v>
      </c>
      <c r="D69" s="1" t="n">
        <v>11.7</v>
      </c>
      <c r="E69" s="1" t="n">
        <v>76.2</v>
      </c>
      <c r="F69" s="27" t="n">
        <v>10930.486561307</v>
      </c>
      <c r="G69" s="27" t="n">
        <v>96862</v>
      </c>
      <c r="H69" s="1" t="n">
        <v>85931.513438693</v>
      </c>
      <c r="K69" s="22"/>
      <c r="M69" s="23"/>
      <c r="P69" s="18" t="n">
        <v>4</v>
      </c>
      <c r="Q69" s="13" t="s">
        <v>76</v>
      </c>
      <c r="R69" s="13" t="n">
        <v>58.8</v>
      </c>
      <c r="S69" s="13" t="n">
        <v>18.7</v>
      </c>
      <c r="T69" s="13" t="n">
        <v>32.3</v>
      </c>
      <c r="U69" s="13" t="n">
        <v>9.9</v>
      </c>
      <c r="V69" s="13" t="n">
        <v>81.2</v>
      </c>
      <c r="W69" s="26" t="n">
        <v>81616</v>
      </c>
    </row>
    <row r="70" customFormat="false" ht="12.8" hidden="false" customHeight="false" outlineLevel="0" collapsed="false">
      <c r="A70" s="1" t="n">
        <v>54.7</v>
      </c>
      <c r="B70" s="1" t="n">
        <v>19.7</v>
      </c>
      <c r="C70" s="1" t="n">
        <v>32.9</v>
      </c>
      <c r="D70" s="1" t="n">
        <v>10.9</v>
      </c>
      <c r="E70" s="1" t="n">
        <v>75.7</v>
      </c>
      <c r="F70" s="27" t="n">
        <v>109687.310596459</v>
      </c>
      <c r="G70" s="27" t="n">
        <v>142884</v>
      </c>
      <c r="H70" s="1" t="n">
        <v>33196.6894035413</v>
      </c>
      <c r="K70" s="22"/>
      <c r="M70" s="23"/>
      <c r="P70" s="12" t="n">
        <v>4</v>
      </c>
      <c r="Q70" s="13" t="s">
        <v>78</v>
      </c>
      <c r="R70" s="13" t="n">
        <v>56.6</v>
      </c>
      <c r="S70" s="13" t="n">
        <v>21.8</v>
      </c>
      <c r="T70" s="13" t="n">
        <v>33.2</v>
      </c>
      <c r="U70" s="13" t="n">
        <v>8.9</v>
      </c>
      <c r="V70" s="13" t="n">
        <v>77.9</v>
      </c>
      <c r="W70" s="26" t="n">
        <v>97411</v>
      </c>
    </row>
    <row r="71" customFormat="false" ht="12.8" hidden="false" customHeight="false" outlineLevel="0" collapsed="false">
      <c r="A71" s="1" t="n">
        <v>51.2</v>
      </c>
      <c r="B71" s="1" t="n">
        <v>18.8</v>
      </c>
      <c r="C71" s="1" t="n">
        <v>33.1</v>
      </c>
      <c r="D71" s="1" t="n">
        <v>10.4</v>
      </c>
      <c r="E71" s="1" t="n">
        <v>78.2</v>
      </c>
      <c r="F71" s="27" t="n">
        <v>137412.042093707</v>
      </c>
      <c r="G71" s="27" t="n">
        <v>59321</v>
      </c>
      <c r="H71" s="1" t="n">
        <v>-78091.0420937074</v>
      </c>
      <c r="K71" s="22"/>
      <c r="M71" s="23"/>
      <c r="P71" s="18" t="n">
        <v>4</v>
      </c>
      <c r="Q71" s="13" t="s">
        <v>80</v>
      </c>
      <c r="R71" s="13" t="n">
        <v>54.6</v>
      </c>
      <c r="S71" s="13" t="n">
        <v>15.6</v>
      </c>
      <c r="T71" s="13" t="n">
        <v>33.5</v>
      </c>
      <c r="U71" s="13" t="n">
        <v>10.5</v>
      </c>
      <c r="V71" s="13" t="n">
        <v>80.4</v>
      </c>
      <c r="W71" s="26" t="n">
        <v>130669</v>
      </c>
    </row>
    <row r="72" customFormat="false" ht="12.8" hidden="false" customHeight="false" outlineLevel="0" collapsed="false">
      <c r="A72" s="1" t="n">
        <v>54.7</v>
      </c>
      <c r="B72" s="1" t="n">
        <v>24.2</v>
      </c>
      <c r="C72" s="1" t="n">
        <v>34</v>
      </c>
      <c r="D72" s="1" t="n">
        <v>10.4</v>
      </c>
      <c r="E72" s="1" t="n">
        <v>68</v>
      </c>
      <c r="F72" s="27" t="n">
        <v>75503.1602937836</v>
      </c>
      <c r="G72" s="27" t="n">
        <v>37882</v>
      </c>
      <c r="H72" s="1" t="n">
        <v>-37621.1602937836</v>
      </c>
      <c r="K72" s="22"/>
      <c r="M72" s="23"/>
      <c r="P72" s="12" t="n">
        <v>4</v>
      </c>
      <c r="Q72" s="13" t="s">
        <v>81</v>
      </c>
      <c r="R72" s="13" t="n">
        <v>49.7</v>
      </c>
      <c r="S72" s="13" t="n">
        <v>11.2</v>
      </c>
      <c r="T72" s="13" t="n">
        <v>31.8</v>
      </c>
      <c r="U72" s="13" t="n">
        <v>9.8</v>
      </c>
      <c r="V72" s="13" t="n">
        <v>78.3</v>
      </c>
      <c r="W72" s="26" t="n">
        <v>315544</v>
      </c>
    </row>
    <row r="73" customFormat="false" ht="12.8" hidden="false" customHeight="false" outlineLevel="0" collapsed="false">
      <c r="A73" s="1" t="n">
        <v>52.3</v>
      </c>
      <c r="B73" s="1" t="n">
        <v>36.1</v>
      </c>
      <c r="C73" s="1" t="n">
        <v>32.5</v>
      </c>
      <c r="D73" s="1" t="n">
        <v>11.6</v>
      </c>
      <c r="E73" s="1" t="n">
        <v>73.8</v>
      </c>
      <c r="F73" s="27" t="n">
        <v>-487.056479096878</v>
      </c>
      <c r="G73" s="27" t="n">
        <v>54780</v>
      </c>
      <c r="H73" s="1" t="n">
        <v>55267.0564790969</v>
      </c>
      <c r="K73" s="22"/>
      <c r="M73" s="23"/>
      <c r="P73" s="18" t="n">
        <v>4</v>
      </c>
      <c r="Q73" s="13" t="s">
        <v>83</v>
      </c>
      <c r="R73" s="13" t="n">
        <v>57.7</v>
      </c>
      <c r="S73" s="13" t="n">
        <v>14.4</v>
      </c>
      <c r="T73" s="13" t="n">
        <v>32.4</v>
      </c>
      <c r="U73" s="13" t="n">
        <v>9.6</v>
      </c>
      <c r="V73" s="13" t="n">
        <v>78.3</v>
      </c>
      <c r="W73" s="26" t="n">
        <v>65231</v>
      </c>
    </row>
    <row r="74" customFormat="false" ht="12.8" hidden="false" customHeight="false" outlineLevel="0" collapsed="false">
      <c r="A74" s="1" t="n">
        <v>58.3</v>
      </c>
      <c r="B74" s="1" t="n">
        <v>22.1</v>
      </c>
      <c r="C74" s="1" t="n">
        <v>32.2</v>
      </c>
      <c r="D74" s="1" t="n">
        <v>10.6</v>
      </c>
      <c r="E74" s="1" t="n">
        <v>74.1</v>
      </c>
      <c r="F74" s="27" t="n">
        <v>66636.8488208262</v>
      </c>
      <c r="G74" s="27" t="n">
        <v>71082</v>
      </c>
      <c r="H74" s="1" t="n">
        <v>4445.15117917376</v>
      </c>
      <c r="K74" s="22"/>
      <c r="M74" s="23"/>
      <c r="P74" s="12" t="n">
        <v>4</v>
      </c>
      <c r="Q74" s="13" t="s">
        <v>84</v>
      </c>
      <c r="R74" s="13" t="n">
        <v>57</v>
      </c>
      <c r="S74" s="13" t="n">
        <v>19.8</v>
      </c>
      <c r="T74" s="13" t="n">
        <v>33.9</v>
      </c>
      <c r="U74" s="13" t="n">
        <v>10.9</v>
      </c>
      <c r="V74" s="13" t="n">
        <v>80.3</v>
      </c>
      <c r="W74" s="26" t="n">
        <v>44716</v>
      </c>
    </row>
    <row r="75" customFormat="false" ht="12.8" hidden="false" customHeight="false" outlineLevel="0" collapsed="false">
      <c r="A75" s="1" t="n">
        <v>61.2</v>
      </c>
      <c r="B75" s="1" t="n">
        <v>17.7</v>
      </c>
      <c r="C75" s="1" t="n">
        <v>30.6</v>
      </c>
      <c r="D75" s="1" t="n">
        <v>9.4</v>
      </c>
      <c r="E75" s="1" t="n">
        <v>71.7</v>
      </c>
      <c r="F75" s="27" t="n">
        <v>68026.6577497572</v>
      </c>
      <c r="G75" s="27" t="n">
        <v>35120</v>
      </c>
      <c r="H75" s="1" t="n">
        <v>-32906.6577497572</v>
      </c>
      <c r="K75" s="22"/>
      <c r="M75" s="23"/>
      <c r="P75" s="18" t="n">
        <v>4</v>
      </c>
      <c r="Q75" s="13" t="s">
        <v>88</v>
      </c>
      <c r="R75" s="13" t="n">
        <v>55.9</v>
      </c>
      <c r="S75" s="13" t="n">
        <v>11.3</v>
      </c>
      <c r="T75" s="13" t="n">
        <v>33.7</v>
      </c>
      <c r="U75" s="13" t="n">
        <v>8.9</v>
      </c>
      <c r="V75" s="13" t="n">
        <v>76.1</v>
      </c>
      <c r="W75" s="26" t="n">
        <v>117224</v>
      </c>
    </row>
    <row r="76" customFormat="false" ht="12.8" hidden="false" customHeight="false" outlineLevel="0" collapsed="false">
      <c r="A76" s="1" t="n">
        <v>51.5</v>
      </c>
      <c r="B76" s="1" t="n">
        <v>17.3</v>
      </c>
      <c r="C76" s="1" t="n">
        <v>33</v>
      </c>
      <c r="D76" s="1" t="n">
        <v>13.5</v>
      </c>
      <c r="E76" s="1" t="n">
        <v>78.6</v>
      </c>
      <c r="F76" s="27" t="n">
        <v>152122.623507177</v>
      </c>
      <c r="G76" s="27" t="n">
        <v>258772</v>
      </c>
      <c r="H76" s="1" t="n">
        <v>106649.376492823</v>
      </c>
      <c r="K76" s="22"/>
      <c r="M76" s="23"/>
      <c r="P76" s="12" t="n">
        <v>4</v>
      </c>
      <c r="Q76" s="13" t="s">
        <v>89</v>
      </c>
      <c r="R76" s="13" t="n">
        <v>42.8</v>
      </c>
      <c r="S76" s="13" t="n">
        <v>11.7</v>
      </c>
      <c r="T76" s="13" t="n">
        <v>32.9</v>
      </c>
      <c r="U76" s="13" t="n">
        <v>10.2</v>
      </c>
      <c r="V76" s="13" t="n">
        <v>76.4</v>
      </c>
      <c r="W76" s="26" t="n">
        <v>471510</v>
      </c>
    </row>
    <row r="77" customFormat="false" ht="12.8" hidden="false" customHeight="false" outlineLevel="0" collapsed="false">
      <c r="A77" s="1" t="n">
        <v>53.4</v>
      </c>
      <c r="B77" s="1" t="n">
        <v>19.9</v>
      </c>
      <c r="C77" s="1" t="n">
        <v>35.3</v>
      </c>
      <c r="D77" s="1" t="n">
        <v>13.2</v>
      </c>
      <c r="E77" s="1" t="n">
        <v>80.4</v>
      </c>
      <c r="F77" s="27" t="n">
        <v>140375.448909786</v>
      </c>
      <c r="G77" s="27" t="n">
        <v>45366</v>
      </c>
      <c r="H77" s="1" t="n">
        <v>-95009.4489097862</v>
      </c>
      <c r="K77" s="22"/>
      <c r="M77" s="23"/>
      <c r="P77" s="18" t="n">
        <v>4</v>
      </c>
      <c r="Q77" s="13" t="s">
        <v>90</v>
      </c>
      <c r="R77" s="13" t="n">
        <v>49.1</v>
      </c>
      <c r="S77" s="13" t="n">
        <v>11.5</v>
      </c>
      <c r="T77" s="13" t="n">
        <v>32.6</v>
      </c>
      <c r="U77" s="13" t="n">
        <v>10.6</v>
      </c>
      <c r="V77" s="13" t="n">
        <v>78.9</v>
      </c>
      <c r="W77" s="26" t="n">
        <v>205581</v>
      </c>
    </row>
    <row r="78" customFormat="false" ht="12.8" hidden="false" customHeight="false" outlineLevel="0" collapsed="false">
      <c r="A78" s="1" t="n">
        <v>55.3</v>
      </c>
      <c r="B78" s="1" t="n">
        <v>22.5</v>
      </c>
      <c r="C78" s="1" t="n">
        <v>33.3</v>
      </c>
      <c r="D78" s="1" t="n">
        <v>10.7</v>
      </c>
      <c r="E78" s="1" t="n">
        <v>79.7</v>
      </c>
      <c r="F78" s="27" t="n">
        <v>92781.3720432876</v>
      </c>
      <c r="G78" s="27" t="n">
        <v>65337</v>
      </c>
      <c r="H78" s="1" t="n">
        <v>-27444.3720432876</v>
      </c>
      <c r="K78" s="22"/>
      <c r="M78" s="23"/>
      <c r="P78" s="12" t="n">
        <v>4</v>
      </c>
      <c r="Q78" s="13" t="s">
        <v>91</v>
      </c>
      <c r="R78" s="13" t="n">
        <v>50.1</v>
      </c>
      <c r="S78" s="13" t="n">
        <v>17.8</v>
      </c>
      <c r="T78" s="13" t="n">
        <v>35.1</v>
      </c>
      <c r="U78" s="13" t="n">
        <v>11.2</v>
      </c>
      <c r="V78" s="13" t="n">
        <v>74</v>
      </c>
      <c r="W78" s="26" t="n">
        <v>43908</v>
      </c>
    </row>
    <row r="79" customFormat="false" ht="12.8" hidden="false" customHeight="false" outlineLevel="0" collapsed="false">
      <c r="A79" s="1" t="n">
        <v>58.5</v>
      </c>
      <c r="B79" s="1" t="n">
        <v>30.1</v>
      </c>
      <c r="C79" s="1" t="n">
        <v>33.2</v>
      </c>
      <c r="D79" s="1" t="n">
        <v>11.1</v>
      </c>
      <c r="E79" s="1" t="n">
        <v>79.6</v>
      </c>
      <c r="F79" s="27" t="n">
        <v>20939.478105844</v>
      </c>
      <c r="G79" s="27" t="n">
        <v>90224</v>
      </c>
      <c r="H79" s="1" t="n">
        <v>69284.521894156</v>
      </c>
      <c r="K79" s="22"/>
      <c r="M79" s="23"/>
      <c r="P79" s="18" t="n">
        <v>4</v>
      </c>
      <c r="Q79" s="13" t="s">
        <v>92</v>
      </c>
      <c r="R79" s="13" t="n">
        <v>49.8</v>
      </c>
      <c r="S79" s="13" t="n">
        <v>13.7</v>
      </c>
      <c r="T79" s="13" t="n">
        <v>34.8</v>
      </c>
      <c r="U79" s="13" t="n">
        <v>11.4</v>
      </c>
      <c r="V79" s="13" t="n">
        <v>74.8</v>
      </c>
      <c r="W79" s="26" t="n">
        <v>39728</v>
      </c>
    </row>
    <row r="80" customFormat="false" ht="12.8" hidden="false" customHeight="false" outlineLevel="0" collapsed="false">
      <c r="A80" s="1" t="n">
        <v>63.8</v>
      </c>
      <c r="B80" s="1" t="n">
        <v>26.5</v>
      </c>
      <c r="C80" s="1" t="n">
        <v>33.7</v>
      </c>
      <c r="D80" s="1" t="n">
        <v>8.5</v>
      </c>
      <c r="E80" s="1" t="n">
        <v>76.9</v>
      </c>
      <c r="F80" s="27" t="n">
        <v>15518.0815094397</v>
      </c>
      <c r="G80" s="27" t="n">
        <v>59484</v>
      </c>
      <c r="H80" s="1" t="n">
        <v>43965.9184905603</v>
      </c>
      <c r="K80" s="22"/>
      <c r="M80" s="23"/>
      <c r="P80" s="12" t="n">
        <v>4</v>
      </c>
      <c r="Q80" s="13" t="s">
        <v>93</v>
      </c>
      <c r="R80" s="13" t="n">
        <v>50</v>
      </c>
      <c r="S80" s="13" t="n">
        <v>15.8</v>
      </c>
      <c r="T80" s="13" t="n">
        <v>32.6</v>
      </c>
      <c r="U80" s="13" t="n">
        <v>9.4</v>
      </c>
      <c r="V80" s="13" t="n">
        <v>81.2</v>
      </c>
      <c r="W80" s="26" t="n">
        <v>27148</v>
      </c>
    </row>
    <row r="81" customFormat="false" ht="12.8" hidden="false" customHeight="false" outlineLevel="0" collapsed="false">
      <c r="A81" s="1" t="n">
        <v>51.9</v>
      </c>
      <c r="B81" s="1" t="n">
        <v>21.7</v>
      </c>
      <c r="C81" s="1" t="n">
        <v>34.2</v>
      </c>
      <c r="D81" s="1" t="n">
        <v>11.3</v>
      </c>
      <c r="E81" s="1" t="n">
        <v>80.5</v>
      </c>
      <c r="F81" s="27" t="n">
        <v>124238.304642931</v>
      </c>
      <c r="G81" s="27" t="n">
        <v>53924</v>
      </c>
      <c r="H81" s="1" t="n">
        <v>-70314.3046429311</v>
      </c>
      <c r="K81" s="22"/>
      <c r="M81" s="23"/>
      <c r="P81" s="18" t="n">
        <v>4</v>
      </c>
      <c r="Q81" s="13" t="s">
        <v>94</v>
      </c>
      <c r="R81" s="13" t="n">
        <v>64.8</v>
      </c>
      <c r="S81" s="13" t="n">
        <v>23.2</v>
      </c>
      <c r="T81" s="13" t="n">
        <v>32.8</v>
      </c>
      <c r="U81" s="13" t="n">
        <v>8.6</v>
      </c>
      <c r="V81" s="13" t="n">
        <v>82.7</v>
      </c>
      <c r="W81" s="26" t="n">
        <v>34584</v>
      </c>
    </row>
    <row r="82" customFormat="false" ht="12.8" hidden="false" customHeight="false" outlineLevel="0" collapsed="false">
      <c r="A82" s="1" t="n">
        <v>50.5</v>
      </c>
      <c r="B82" s="1" t="n">
        <v>16.9</v>
      </c>
      <c r="C82" s="1" t="n">
        <v>33.1</v>
      </c>
      <c r="D82" s="1" t="n">
        <v>10.5</v>
      </c>
      <c r="E82" s="1" t="n">
        <v>83</v>
      </c>
      <c r="F82" s="27" t="n">
        <v>160046.195006226</v>
      </c>
      <c r="G82" s="27" t="n">
        <v>87017</v>
      </c>
      <c r="H82" s="1" t="n">
        <v>-73029.1950062255</v>
      </c>
      <c r="K82" s="22"/>
      <c r="M82" s="23"/>
      <c r="P82" s="12" t="n">
        <v>4</v>
      </c>
      <c r="Q82" s="13" t="s">
        <v>95</v>
      </c>
      <c r="R82" s="13" t="n">
        <v>56</v>
      </c>
      <c r="S82" s="13" t="n">
        <v>28.8</v>
      </c>
      <c r="T82" s="13" t="n">
        <v>31.6</v>
      </c>
      <c r="U82" s="13" t="n">
        <v>8</v>
      </c>
      <c r="V82" s="13" t="n">
        <v>78.2</v>
      </c>
      <c r="W82" s="26" t="n">
        <v>95876</v>
      </c>
    </row>
    <row r="83" customFormat="false" ht="12.8" hidden="false" customHeight="false" outlineLevel="0" collapsed="false">
      <c r="A83" s="1" t="n">
        <v>55.8</v>
      </c>
      <c r="B83" s="1" t="n">
        <v>30.8</v>
      </c>
      <c r="C83" s="1" t="n">
        <v>33.2</v>
      </c>
      <c r="D83" s="1" t="n">
        <v>10.3</v>
      </c>
      <c r="E83" s="1" t="n">
        <v>87.6</v>
      </c>
      <c r="F83" s="27" t="n">
        <v>36751.0196339488</v>
      </c>
      <c r="G83" s="27" t="n">
        <v>74355</v>
      </c>
      <c r="H83" s="1" t="n">
        <v>37603.9803660512</v>
      </c>
      <c r="K83" s="22"/>
      <c r="M83" s="23"/>
      <c r="P83" s="18" t="n">
        <v>4</v>
      </c>
      <c r="Q83" s="13" t="s">
        <v>97</v>
      </c>
      <c r="R83" s="13" t="n">
        <v>53.3</v>
      </c>
      <c r="S83" s="13" t="n">
        <v>15.4</v>
      </c>
      <c r="T83" s="13" t="n">
        <v>31.8</v>
      </c>
      <c r="U83" s="13" t="n">
        <v>8.6</v>
      </c>
      <c r="V83" s="13" t="n">
        <v>77.9</v>
      </c>
      <c r="W83" s="26" t="n">
        <v>142058</v>
      </c>
    </row>
    <row r="84" customFormat="false" ht="12.8" hidden="false" customHeight="false" outlineLevel="0" collapsed="false">
      <c r="A84" s="1" t="n">
        <v>45</v>
      </c>
      <c r="B84" s="1" t="n">
        <v>9.8</v>
      </c>
      <c r="C84" s="1" t="n">
        <v>31.7</v>
      </c>
      <c r="D84" s="1" t="n">
        <v>9.2</v>
      </c>
      <c r="E84" s="1" t="n">
        <v>81.5</v>
      </c>
      <c r="F84" s="27" t="n">
        <v>226652.858423642</v>
      </c>
      <c r="G84" s="27" t="n">
        <v>260585</v>
      </c>
      <c r="H84" s="1" t="n">
        <v>33932.1415763583</v>
      </c>
      <c r="K84" s="22"/>
      <c r="M84" s="23"/>
      <c r="P84" s="12" t="n">
        <v>4</v>
      </c>
      <c r="Q84" s="13" t="s">
        <v>98</v>
      </c>
      <c r="R84" s="13" t="n">
        <v>53.4</v>
      </c>
      <c r="S84" s="13" t="n">
        <v>17</v>
      </c>
      <c r="T84" s="13" t="n">
        <v>33</v>
      </c>
      <c r="U84" s="13" t="n">
        <v>8.4</v>
      </c>
      <c r="V84" s="13" t="n">
        <v>81</v>
      </c>
      <c r="W84" s="26" t="n">
        <v>58250</v>
      </c>
    </row>
    <row r="85" customFormat="false" ht="12.8" hidden="false" customHeight="false" outlineLevel="0" collapsed="false">
      <c r="A85" s="1" t="n">
        <v>55.8</v>
      </c>
      <c r="B85" s="1" t="n">
        <v>17.6</v>
      </c>
      <c r="C85" s="1" t="n">
        <v>31.4</v>
      </c>
      <c r="D85" s="1" t="n">
        <v>9.2</v>
      </c>
      <c r="E85" s="1" t="n">
        <v>82.1</v>
      </c>
      <c r="F85" s="27" t="n">
        <v>112666.784749478</v>
      </c>
      <c r="G85" s="27" t="n">
        <v>59480</v>
      </c>
      <c r="H85" s="1" t="n">
        <v>-53186.7847494785</v>
      </c>
      <c r="K85" s="22"/>
      <c r="M85" s="23"/>
      <c r="P85" s="18" t="n">
        <v>4</v>
      </c>
      <c r="Q85" s="13" t="s">
        <v>99</v>
      </c>
      <c r="R85" s="13" t="n">
        <v>55.2</v>
      </c>
      <c r="S85" s="13" t="n">
        <v>20.3</v>
      </c>
      <c r="T85" s="13" t="n">
        <v>34.7</v>
      </c>
      <c r="U85" s="13" t="n">
        <v>10</v>
      </c>
      <c r="V85" s="13" t="n">
        <v>72.1</v>
      </c>
      <c r="W85" s="26" t="n">
        <v>37456</v>
      </c>
    </row>
    <row r="86" customFormat="false" ht="12.8" hidden="false" customHeight="false" outlineLevel="0" collapsed="false">
      <c r="A86" s="1" t="n">
        <v>55.7</v>
      </c>
      <c r="B86" s="1" t="n">
        <v>14.5</v>
      </c>
      <c r="C86" s="1" t="n">
        <v>31.4</v>
      </c>
      <c r="D86" s="1" t="n">
        <v>9</v>
      </c>
      <c r="E86" s="1" t="n">
        <v>85</v>
      </c>
      <c r="F86" s="27" t="n">
        <v>138380.933220409</v>
      </c>
      <c r="G86" s="27" t="n">
        <v>53818</v>
      </c>
      <c r="H86" s="1" t="n">
        <v>-84562.9332204085</v>
      </c>
      <c r="K86" s="22"/>
      <c r="M86" s="23"/>
      <c r="P86" s="12" t="n">
        <v>4</v>
      </c>
      <c r="Q86" s="13" t="s">
        <v>100</v>
      </c>
      <c r="R86" s="13" t="n">
        <v>51.3</v>
      </c>
      <c r="S86" s="13" t="n">
        <v>29.1</v>
      </c>
      <c r="T86" s="13" t="n">
        <v>32.5</v>
      </c>
      <c r="U86" s="13" t="n">
        <v>8.8</v>
      </c>
      <c r="V86" s="13" t="n">
        <v>76.5</v>
      </c>
      <c r="W86" s="26" t="n">
        <v>53089</v>
      </c>
    </row>
    <row r="87" customFormat="false" ht="12.8" hidden="false" customHeight="false" outlineLevel="0" collapsed="false">
      <c r="A87" s="1" t="n">
        <v>58.5</v>
      </c>
      <c r="B87" s="1" t="n">
        <v>22.9</v>
      </c>
      <c r="C87" s="1" t="n">
        <v>31.6</v>
      </c>
      <c r="D87" s="1" t="n">
        <v>11.6</v>
      </c>
      <c r="E87" s="1" t="n">
        <v>83.1</v>
      </c>
      <c r="F87" s="27" t="n">
        <v>66945.1044588044</v>
      </c>
      <c r="G87" s="27" t="n">
        <v>102022</v>
      </c>
      <c r="H87" s="1" t="n">
        <v>35076.8955411956</v>
      </c>
      <c r="K87" s="22"/>
      <c r="M87" s="23"/>
      <c r="P87" s="18" t="n">
        <v>4</v>
      </c>
      <c r="Q87" s="13" t="s">
        <v>101</v>
      </c>
      <c r="R87" s="13" t="n">
        <v>56.7</v>
      </c>
      <c r="S87" s="13" t="n">
        <v>16.1</v>
      </c>
      <c r="T87" s="13" t="n">
        <v>32.2</v>
      </c>
      <c r="U87" s="13" t="n">
        <v>8.2</v>
      </c>
      <c r="V87" s="13" t="n">
        <v>76.4</v>
      </c>
      <c r="W87" s="26" t="n">
        <v>69455</v>
      </c>
    </row>
    <row r="88" customFormat="false" ht="12.8" hidden="false" customHeight="false" outlineLevel="0" collapsed="false">
      <c r="A88" s="1" t="n">
        <v>55.9</v>
      </c>
      <c r="B88" s="1" t="n">
        <v>24.4</v>
      </c>
      <c r="C88" s="1" t="n">
        <v>33.2</v>
      </c>
      <c r="D88" s="1" t="n">
        <v>9</v>
      </c>
      <c r="E88" s="1" t="n">
        <v>81.7</v>
      </c>
      <c r="F88" s="27" t="n">
        <v>74199.160063848</v>
      </c>
      <c r="G88" s="27" t="n">
        <v>46633</v>
      </c>
      <c r="H88" s="1" t="n">
        <v>-27566.160063848</v>
      </c>
      <c r="K88" s="22"/>
      <c r="M88" s="23"/>
      <c r="P88" s="12" t="n">
        <v>4</v>
      </c>
      <c r="Q88" s="13" t="s">
        <v>102</v>
      </c>
      <c r="R88" s="13" t="n">
        <v>60.8</v>
      </c>
      <c r="S88" s="13" t="n">
        <v>14.2</v>
      </c>
      <c r="T88" s="13" t="n">
        <v>29.3</v>
      </c>
      <c r="U88" s="13" t="n">
        <v>9.2</v>
      </c>
      <c r="V88" s="13" t="n">
        <v>74.9</v>
      </c>
      <c r="W88" s="26" t="n">
        <v>34481</v>
      </c>
    </row>
    <row r="89" customFormat="false" ht="12.8" hidden="false" customHeight="false" outlineLevel="0" collapsed="false">
      <c r="A89" s="1" t="n">
        <v>73</v>
      </c>
      <c r="B89" s="1" t="n">
        <v>22.7</v>
      </c>
      <c r="C89" s="1" t="n">
        <v>33.3</v>
      </c>
      <c r="D89" s="1" t="n">
        <v>10.8</v>
      </c>
      <c r="E89" s="1" t="n">
        <v>83.3</v>
      </c>
      <c r="F89" s="27" t="n">
        <v>3662.03544174234</v>
      </c>
      <c r="G89" s="27" t="n">
        <v>54051</v>
      </c>
      <c r="H89" s="1" t="n">
        <v>50388.9645582577</v>
      </c>
      <c r="K89" s="22"/>
      <c r="M89" s="23"/>
      <c r="P89" s="18" t="n">
        <v>4</v>
      </c>
      <c r="Q89" s="13" t="s">
        <v>103</v>
      </c>
      <c r="R89" s="13" t="n">
        <v>50.1</v>
      </c>
      <c r="S89" s="13" t="n">
        <v>14.3</v>
      </c>
      <c r="T89" s="13" t="n">
        <v>32.9</v>
      </c>
      <c r="U89" s="13" t="n">
        <v>12</v>
      </c>
      <c r="V89" s="13" t="n">
        <v>80.5</v>
      </c>
      <c r="W89" s="26" t="n">
        <v>263949</v>
      </c>
    </row>
    <row r="90" customFormat="false" ht="12.8" hidden="false" customHeight="false" outlineLevel="0" collapsed="false">
      <c r="A90" s="1" t="n">
        <v>53.1</v>
      </c>
      <c r="B90" s="1" t="n">
        <v>24.9</v>
      </c>
      <c r="C90" s="1" t="n">
        <v>33.5</v>
      </c>
      <c r="D90" s="1" t="n">
        <v>10.3</v>
      </c>
      <c r="E90" s="1" t="n">
        <v>81.8</v>
      </c>
      <c r="F90" s="27" t="n">
        <v>89562.9748159683</v>
      </c>
      <c r="G90" s="27" t="n">
        <v>83900</v>
      </c>
      <c r="H90" s="1" t="n">
        <v>-5662.97481596826</v>
      </c>
      <c r="K90" s="22"/>
      <c r="M90" s="23"/>
      <c r="P90" s="12" t="n">
        <v>4</v>
      </c>
      <c r="Q90" s="13" t="s">
        <v>104</v>
      </c>
      <c r="R90" s="13" t="n">
        <v>49.3</v>
      </c>
      <c r="S90" s="13" t="n">
        <v>17.9</v>
      </c>
      <c r="T90" s="13" t="n">
        <v>33.4</v>
      </c>
      <c r="U90" s="13" t="n">
        <v>9</v>
      </c>
      <c r="V90" s="13" t="n">
        <v>82</v>
      </c>
      <c r="W90" s="26" t="n">
        <v>44123</v>
      </c>
    </row>
    <row r="91" customFormat="false" ht="12.8" hidden="false" customHeight="false" outlineLevel="0" collapsed="false">
      <c r="A91" s="1" t="n">
        <v>52.3</v>
      </c>
      <c r="B91" s="1" t="n">
        <v>13.9</v>
      </c>
      <c r="C91" s="1" t="n">
        <v>31.7</v>
      </c>
      <c r="D91" s="1" t="n">
        <v>12</v>
      </c>
      <c r="E91" s="1" t="n">
        <v>78.8</v>
      </c>
      <c r="F91" s="27" t="n">
        <v>161333.31464437</v>
      </c>
      <c r="G91" s="27" t="n">
        <v>92100</v>
      </c>
      <c r="H91" s="1" t="n">
        <v>-69233.3146443699</v>
      </c>
      <c r="K91" s="22"/>
      <c r="M91" s="23"/>
      <c r="P91" s="18" t="n">
        <v>4</v>
      </c>
      <c r="Q91" s="13" t="s">
        <v>105</v>
      </c>
      <c r="R91" s="13" t="n">
        <v>54</v>
      </c>
      <c r="S91" s="13" t="n">
        <v>21</v>
      </c>
      <c r="T91" s="13" t="n">
        <v>33.1</v>
      </c>
      <c r="U91" s="13" t="n">
        <v>9.1</v>
      </c>
      <c r="V91" s="13" t="n">
        <v>81.6</v>
      </c>
      <c r="W91" s="26" t="n">
        <v>64479</v>
      </c>
    </row>
    <row r="92" customFormat="false" ht="12.8" hidden="false" customHeight="false" outlineLevel="0" collapsed="false">
      <c r="A92" s="1" t="n">
        <v>53.4</v>
      </c>
      <c r="B92" s="1" t="n">
        <v>23.5</v>
      </c>
      <c r="C92" s="1" t="n">
        <v>32.4</v>
      </c>
      <c r="D92" s="1" t="n">
        <v>10.5</v>
      </c>
      <c r="E92" s="1" t="n">
        <v>79.5</v>
      </c>
      <c r="F92" s="27" t="n">
        <v>88658.321225717</v>
      </c>
      <c r="G92" s="27" t="n">
        <v>71292</v>
      </c>
      <c r="H92" s="1" t="n">
        <v>-17366.321225717</v>
      </c>
      <c r="K92" s="22"/>
      <c r="M92" s="23"/>
      <c r="P92" s="12" t="n">
        <v>4</v>
      </c>
      <c r="Q92" s="13" t="s">
        <v>106</v>
      </c>
      <c r="R92" s="13" t="n">
        <v>57.9</v>
      </c>
      <c r="S92" s="13" t="n">
        <v>29.1</v>
      </c>
      <c r="T92" s="13" t="n">
        <v>32.8</v>
      </c>
      <c r="U92" s="13" t="n">
        <v>11.2</v>
      </c>
      <c r="V92" s="13" t="n">
        <v>81.7</v>
      </c>
      <c r="W92" s="26" t="n">
        <v>90700</v>
      </c>
    </row>
    <row r="93" customFormat="false" ht="12.8" hidden="false" customHeight="false" outlineLevel="0" collapsed="false">
      <c r="A93" s="1" t="n">
        <v>51.2</v>
      </c>
      <c r="B93" s="1" t="n">
        <v>10.6</v>
      </c>
      <c r="C93" s="1" t="n">
        <v>31.7</v>
      </c>
      <c r="D93" s="1" t="n">
        <v>9.3</v>
      </c>
      <c r="E93" s="1" t="n">
        <v>80.3</v>
      </c>
      <c r="F93" s="27" t="n">
        <v>187674.119300036</v>
      </c>
      <c r="G93" s="27" t="n">
        <v>80070</v>
      </c>
      <c r="H93" s="1" t="n">
        <v>-107604.119300036</v>
      </c>
      <c r="K93" s="22"/>
      <c r="M93" s="23"/>
      <c r="P93" s="18" t="n">
        <v>4</v>
      </c>
      <c r="Q93" s="13" t="s">
        <v>107</v>
      </c>
      <c r="R93" s="13" t="n">
        <v>61</v>
      </c>
      <c r="S93" s="13" t="n">
        <v>24.3</v>
      </c>
      <c r="T93" s="13" t="n">
        <v>33.1</v>
      </c>
      <c r="U93" s="13" t="n">
        <v>8.9</v>
      </c>
      <c r="V93" s="13" t="n">
        <v>79.3</v>
      </c>
      <c r="W93" s="26" t="n">
        <v>58609</v>
      </c>
    </row>
    <row r="94" customFormat="false" ht="12.8" hidden="false" customHeight="false" outlineLevel="0" collapsed="false">
      <c r="A94" s="1" t="n">
        <v>43</v>
      </c>
      <c r="B94" s="1" t="n">
        <v>6.6</v>
      </c>
      <c r="C94" s="1" t="n">
        <v>31.8</v>
      </c>
      <c r="D94" s="1" t="n">
        <v>8.7</v>
      </c>
      <c r="E94" s="1" t="n">
        <v>79.8</v>
      </c>
      <c r="F94" s="27" t="n">
        <v>258248.442900915</v>
      </c>
      <c r="G94" s="27" t="n">
        <v>182653</v>
      </c>
      <c r="H94" s="1" t="n">
        <v>-75595.4429009148</v>
      </c>
      <c r="K94" s="22"/>
      <c r="M94" s="23"/>
      <c r="P94" s="12" t="n">
        <v>4</v>
      </c>
      <c r="Q94" s="13" t="s">
        <v>108</v>
      </c>
      <c r="R94" s="13" t="n">
        <v>52.2</v>
      </c>
      <c r="S94" s="13" t="n">
        <v>14.6</v>
      </c>
      <c r="T94" s="13" t="n">
        <v>34.3</v>
      </c>
      <c r="U94" s="13" t="n">
        <v>8.9</v>
      </c>
      <c r="V94" s="13" t="n">
        <v>82.3</v>
      </c>
      <c r="W94" s="26" t="n">
        <v>53047</v>
      </c>
    </row>
    <row r="95" customFormat="false" ht="12.8" hidden="false" customHeight="false" outlineLevel="0" collapsed="false">
      <c r="A95" s="1" t="n">
        <v>40</v>
      </c>
      <c r="B95" s="1" t="n">
        <v>12.6</v>
      </c>
      <c r="C95" s="1" t="n">
        <v>31.4</v>
      </c>
      <c r="D95" s="1" t="n">
        <v>9.7</v>
      </c>
      <c r="E95" s="1" t="n">
        <v>80.1</v>
      </c>
      <c r="F95" s="27" t="n">
        <v>229591.057544479</v>
      </c>
      <c r="G95" s="27" t="n">
        <v>132621</v>
      </c>
      <c r="H95" s="1" t="n">
        <v>-96970.0575444789</v>
      </c>
      <c r="K95" s="22"/>
      <c r="M95" s="23"/>
      <c r="P95" s="18" t="n">
        <v>4</v>
      </c>
      <c r="Q95" s="13" t="s">
        <v>109</v>
      </c>
      <c r="R95" s="13" t="n">
        <v>49.2</v>
      </c>
      <c r="S95" s="13" t="n">
        <v>12.9</v>
      </c>
      <c r="T95" s="13" t="n">
        <v>32.2</v>
      </c>
      <c r="U95" s="13" t="n">
        <v>9.6</v>
      </c>
      <c r="V95" s="13" t="n">
        <v>84.7</v>
      </c>
      <c r="W95" s="26" t="n">
        <v>86609</v>
      </c>
    </row>
    <row r="96" customFormat="false" ht="12.8" hidden="false" customHeight="false" outlineLevel="0" collapsed="false">
      <c r="A96" s="1" t="n">
        <v>47.2</v>
      </c>
      <c r="B96" s="1" t="n">
        <v>7.7</v>
      </c>
      <c r="C96" s="1" t="n">
        <v>32.4</v>
      </c>
      <c r="D96" s="1" t="n">
        <v>9.2</v>
      </c>
      <c r="E96" s="1" t="n">
        <v>78.4</v>
      </c>
      <c r="F96" s="27" t="n">
        <v>232038.276035094</v>
      </c>
      <c r="G96" s="27" t="n">
        <v>712807</v>
      </c>
      <c r="H96" s="1" t="n">
        <v>480768.723964906</v>
      </c>
      <c r="K96" s="22"/>
      <c r="M96" s="23"/>
      <c r="P96" s="12" t="n">
        <v>4</v>
      </c>
      <c r="Q96" s="13" t="s">
        <v>110</v>
      </c>
      <c r="R96" s="13" t="n">
        <v>55.8</v>
      </c>
      <c r="S96" s="13" t="n">
        <v>25.9</v>
      </c>
      <c r="T96" s="13" t="n">
        <v>33.1</v>
      </c>
      <c r="U96" s="13" t="n">
        <v>9.6</v>
      </c>
      <c r="V96" s="13" t="n">
        <v>88.6</v>
      </c>
      <c r="W96" s="26" t="n">
        <v>75141</v>
      </c>
    </row>
    <row r="97" customFormat="false" ht="12.8" hidden="false" customHeight="false" outlineLevel="0" collapsed="false">
      <c r="A97" s="1" t="n">
        <v>41.7</v>
      </c>
      <c r="B97" s="1" t="n">
        <v>8.9</v>
      </c>
      <c r="C97" s="1" t="n">
        <v>31.7</v>
      </c>
      <c r="D97" s="1" t="n">
        <v>10.2</v>
      </c>
      <c r="E97" s="1" t="n">
        <v>79</v>
      </c>
      <c r="F97" s="27" t="n">
        <v>249470.922244713</v>
      </c>
      <c r="G97" s="27" t="n">
        <v>222884</v>
      </c>
      <c r="H97" s="1" t="n">
        <v>-26586.9222447126</v>
      </c>
      <c r="K97" s="22"/>
      <c r="M97" s="23"/>
      <c r="P97" s="12" t="n">
        <v>5</v>
      </c>
      <c r="Q97" s="13" t="s">
        <v>42</v>
      </c>
      <c r="R97" s="13" t="n">
        <v>47.3</v>
      </c>
      <c r="S97" s="13" t="n">
        <v>11.6</v>
      </c>
      <c r="T97" s="13" t="n">
        <v>34.5</v>
      </c>
      <c r="U97" s="13" t="n">
        <v>9.7</v>
      </c>
      <c r="V97" s="13" t="n">
        <v>82.3</v>
      </c>
      <c r="W97" s="26" t="n">
        <v>264810</v>
      </c>
    </row>
    <row r="98" customFormat="false" ht="12.8" hidden="false" customHeight="false" outlineLevel="0" collapsed="false">
      <c r="A98" s="1" t="n">
        <v>65.2</v>
      </c>
      <c r="B98" s="1" t="n">
        <v>17.5</v>
      </c>
      <c r="C98" s="1" t="n">
        <v>33.1</v>
      </c>
      <c r="D98" s="1" t="n">
        <v>11.1</v>
      </c>
      <c r="E98" s="1" t="n">
        <v>81.5</v>
      </c>
      <c r="F98" s="27" t="n">
        <v>79117.6019004856</v>
      </c>
      <c r="G98" s="27" t="n">
        <v>98369</v>
      </c>
      <c r="H98" s="1" t="n">
        <v>19251.3980995145</v>
      </c>
      <c r="K98" s="22"/>
      <c r="M98" s="23"/>
      <c r="P98" s="12" t="n">
        <v>5</v>
      </c>
      <c r="Q98" s="13" t="s">
        <v>45</v>
      </c>
      <c r="R98" s="13" t="n">
        <v>58.1</v>
      </c>
      <c r="S98" s="13" t="n">
        <v>19.2</v>
      </c>
      <c r="T98" s="13" t="n">
        <v>34.3</v>
      </c>
      <c r="U98" s="13" t="n">
        <v>9.3</v>
      </c>
      <c r="V98" s="13" t="n">
        <v>82.5</v>
      </c>
      <c r="W98" s="26" t="n">
        <v>59661</v>
      </c>
    </row>
    <row r="99" customFormat="false" ht="12.8" hidden="false" customHeight="false" outlineLevel="0" collapsed="false">
      <c r="A99" s="1" t="n">
        <v>67.2</v>
      </c>
      <c r="B99" s="1" t="n">
        <v>27.6</v>
      </c>
      <c r="C99" s="1" t="n">
        <v>31.6</v>
      </c>
      <c r="D99" s="1" t="n">
        <v>15.9</v>
      </c>
      <c r="E99" s="1" t="n">
        <v>80.8</v>
      </c>
      <c r="F99" s="27" t="n">
        <v>-6839.41691222935</v>
      </c>
      <c r="G99" s="27" t="n">
        <v>50531</v>
      </c>
      <c r="H99" s="1" t="n">
        <v>57370.4169122294</v>
      </c>
      <c r="K99" s="22"/>
      <c r="M99" s="23"/>
      <c r="P99" s="12" t="n">
        <v>5</v>
      </c>
      <c r="Q99" s="13" t="s">
        <v>46</v>
      </c>
      <c r="R99" s="13" t="n">
        <v>61.1</v>
      </c>
      <c r="S99" s="13" t="n">
        <v>17</v>
      </c>
      <c r="T99" s="13" t="n">
        <v>33.3</v>
      </c>
      <c r="U99" s="13" t="n">
        <v>10.6</v>
      </c>
      <c r="V99" s="13" t="n">
        <v>85.3</v>
      </c>
      <c r="W99" s="26" t="n">
        <v>54389</v>
      </c>
    </row>
    <row r="100" customFormat="false" ht="12.8" hidden="false" customHeight="false" outlineLevel="0" collapsed="false">
      <c r="A100" s="1" t="n">
        <v>61.1</v>
      </c>
      <c r="B100" s="1" t="n">
        <v>15.4</v>
      </c>
      <c r="C100" s="1" t="n">
        <v>31</v>
      </c>
      <c r="D100" s="1" t="n">
        <v>13.1</v>
      </c>
      <c r="E100" s="1" t="n">
        <v>79.5</v>
      </c>
      <c r="F100" s="27" t="n">
        <v>102854.926993307</v>
      </c>
      <c r="G100" s="27" t="n">
        <v>57253</v>
      </c>
      <c r="H100" s="1" t="n">
        <v>-45601.9269933066</v>
      </c>
      <c r="K100" s="22"/>
      <c r="M100" s="23"/>
      <c r="P100" s="12" t="n">
        <v>5</v>
      </c>
      <c r="Q100" s="13" t="s">
        <v>48</v>
      </c>
      <c r="R100" s="13" t="n">
        <v>60.6</v>
      </c>
      <c r="S100" s="13" t="n">
        <v>24.3</v>
      </c>
      <c r="T100" s="13" t="n">
        <v>35</v>
      </c>
      <c r="U100" s="13" t="n">
        <v>11.9</v>
      </c>
      <c r="V100" s="13" t="n">
        <v>83.6</v>
      </c>
      <c r="W100" s="26" t="n">
        <v>103900</v>
      </c>
    </row>
    <row r="101" customFormat="false" ht="12.8" hidden="false" customHeight="false" outlineLevel="0" collapsed="false">
      <c r="A101" s="1" t="n">
        <v>58.3</v>
      </c>
      <c r="B101" s="1" t="n">
        <v>17</v>
      </c>
      <c r="C101" s="1" t="n">
        <v>32.7</v>
      </c>
      <c r="D101" s="1" t="n">
        <v>13.9</v>
      </c>
      <c r="E101" s="1" t="n">
        <v>79.1</v>
      </c>
      <c r="F101" s="27" t="n">
        <v>118314.738233906</v>
      </c>
      <c r="G101" s="27" t="n">
        <v>39053</v>
      </c>
      <c r="H101" s="1" t="n">
        <v>-79261.738233906</v>
      </c>
      <c r="K101" s="22"/>
      <c r="M101" s="23"/>
      <c r="P101" s="12" t="n">
        <v>5</v>
      </c>
      <c r="Q101" s="13" t="s">
        <v>49</v>
      </c>
      <c r="R101" s="13" t="n">
        <v>59.2</v>
      </c>
      <c r="S101" s="13" t="n">
        <v>36.2</v>
      </c>
      <c r="T101" s="13" t="n">
        <v>34.5</v>
      </c>
      <c r="U101" s="13" t="n">
        <v>9</v>
      </c>
      <c r="V101" s="13" t="n">
        <v>82.5</v>
      </c>
      <c r="W101" s="26" t="n">
        <v>47407</v>
      </c>
    </row>
    <row r="102" customFormat="false" ht="12.8" hidden="false" customHeight="false" outlineLevel="0" collapsed="false">
      <c r="A102" s="1" t="n">
        <v>62.9</v>
      </c>
      <c r="B102" s="1" t="n">
        <v>16.2</v>
      </c>
      <c r="C102" s="1" t="n">
        <v>31.6</v>
      </c>
      <c r="D102" s="1" t="n">
        <v>10.6</v>
      </c>
      <c r="E102" s="1" t="n">
        <v>78.9</v>
      </c>
      <c r="F102" s="27" t="n">
        <v>86639.9265702231</v>
      </c>
      <c r="G102" s="27" t="n">
        <v>32852</v>
      </c>
      <c r="H102" s="1" t="n">
        <v>-53787.9265702231</v>
      </c>
      <c r="K102" s="22"/>
      <c r="M102" s="23"/>
      <c r="P102" s="12" t="n">
        <v>5</v>
      </c>
      <c r="Q102" s="13" t="s">
        <v>50</v>
      </c>
      <c r="R102" s="13" t="n">
        <v>75.1</v>
      </c>
      <c r="S102" s="13" t="n">
        <v>27.3</v>
      </c>
      <c r="T102" s="13" t="n">
        <v>34.7</v>
      </c>
      <c r="U102" s="13" t="n">
        <v>10.5</v>
      </c>
      <c r="V102" s="13" t="n">
        <v>84</v>
      </c>
      <c r="W102" s="26" t="n">
        <v>55000</v>
      </c>
    </row>
    <row r="103" customFormat="false" ht="12.8" hidden="false" customHeight="false" outlineLevel="0" collapsed="false">
      <c r="A103" s="1" t="n">
        <v>58.8</v>
      </c>
      <c r="B103" s="1" t="n">
        <v>18.7</v>
      </c>
      <c r="C103" s="1" t="n">
        <v>32.3</v>
      </c>
      <c r="D103" s="1" t="n">
        <v>9.9</v>
      </c>
      <c r="E103" s="1" t="n">
        <v>81.2</v>
      </c>
      <c r="F103" s="27" t="n">
        <v>95594.0379728812</v>
      </c>
      <c r="G103" s="27" t="n">
        <v>81616</v>
      </c>
      <c r="H103" s="1" t="n">
        <v>-13978.0379728812</v>
      </c>
      <c r="K103" s="22"/>
      <c r="M103" s="23"/>
      <c r="P103" s="12" t="n">
        <v>5</v>
      </c>
      <c r="Q103" s="13" t="s">
        <v>51</v>
      </c>
      <c r="R103" s="13" t="n">
        <v>57.4</v>
      </c>
      <c r="S103" s="13" t="n">
        <v>26.4</v>
      </c>
      <c r="T103" s="13" t="n">
        <v>35.1</v>
      </c>
      <c r="U103" s="14" t="n">
        <v>48</v>
      </c>
      <c r="V103" s="14" t="n">
        <v>9.9</v>
      </c>
      <c r="W103" s="26" t="n">
        <v>86140</v>
      </c>
    </row>
    <row r="104" customFormat="false" ht="12.8" hidden="false" customHeight="false" outlineLevel="0" collapsed="false">
      <c r="A104" s="1" t="n">
        <v>56.6</v>
      </c>
      <c r="B104" s="1" t="n">
        <v>21.8</v>
      </c>
      <c r="C104" s="1" t="n">
        <v>33.2</v>
      </c>
      <c r="D104" s="1" t="n">
        <v>8.9</v>
      </c>
      <c r="E104" s="1" t="n">
        <v>77.9</v>
      </c>
      <c r="F104" s="27" t="n">
        <v>85307.7432706546</v>
      </c>
      <c r="G104" s="27" t="n">
        <v>97411</v>
      </c>
      <c r="H104" s="1" t="n">
        <v>12103.2567293454</v>
      </c>
      <c r="K104" s="22"/>
      <c r="M104" s="23"/>
      <c r="P104" s="12" t="n">
        <v>5</v>
      </c>
      <c r="Q104" s="13" t="s">
        <v>52</v>
      </c>
      <c r="R104" s="13" t="n">
        <v>55.9</v>
      </c>
      <c r="S104" s="13" t="n">
        <v>14.9</v>
      </c>
      <c r="T104" s="13" t="n">
        <v>33</v>
      </c>
      <c r="U104" s="14" t="n">
        <v>55.1</v>
      </c>
      <c r="V104" s="14" t="n">
        <v>17.8</v>
      </c>
      <c r="W104" s="26" t="n">
        <v>94602</v>
      </c>
    </row>
    <row r="105" customFormat="false" ht="12.8" hidden="false" customHeight="false" outlineLevel="0" collapsed="false">
      <c r="A105" s="1" t="n">
        <v>54.6</v>
      </c>
      <c r="B105" s="1" t="n">
        <v>15.6</v>
      </c>
      <c r="C105" s="1" t="n">
        <v>33.5</v>
      </c>
      <c r="D105" s="1" t="n">
        <v>10.5</v>
      </c>
      <c r="E105" s="1" t="n">
        <v>80.4</v>
      </c>
      <c r="F105" s="27" t="n">
        <v>148268.073908807</v>
      </c>
      <c r="G105" s="27" t="n">
        <v>130669</v>
      </c>
      <c r="H105" s="1" t="n">
        <v>-17599.073908807</v>
      </c>
      <c r="K105" s="22"/>
      <c r="M105" s="23"/>
      <c r="P105" s="12" t="n">
        <v>5</v>
      </c>
      <c r="Q105" s="13" t="s">
        <v>53</v>
      </c>
      <c r="R105" s="13" t="n">
        <v>58.3</v>
      </c>
      <c r="S105" s="13" t="n">
        <v>23.9</v>
      </c>
      <c r="T105" s="13" t="n">
        <v>34.9</v>
      </c>
      <c r="U105" s="14" t="n">
        <v>57.9</v>
      </c>
      <c r="V105" s="14" t="n">
        <v>14.6</v>
      </c>
      <c r="W105" s="26" t="n">
        <v>72874</v>
      </c>
    </row>
    <row r="106" customFormat="false" ht="12.8" hidden="false" customHeight="false" outlineLevel="0" collapsed="false">
      <c r="A106" s="1" t="n">
        <v>49.7</v>
      </c>
      <c r="B106" s="1" t="n">
        <v>11.2</v>
      </c>
      <c r="C106" s="1" t="n">
        <v>31.8</v>
      </c>
      <c r="D106" s="1" t="n">
        <v>9.8</v>
      </c>
      <c r="E106" s="1" t="n">
        <v>78.3</v>
      </c>
      <c r="F106" s="27" t="n">
        <v>190572.549316237</v>
      </c>
      <c r="G106" s="27" t="n">
        <v>315544</v>
      </c>
      <c r="H106" s="1" t="n">
        <v>124971.450683763</v>
      </c>
      <c r="K106" s="22"/>
      <c r="M106" s="23"/>
      <c r="P106" s="12" t="n">
        <v>5</v>
      </c>
      <c r="Q106" s="13" t="s">
        <v>54</v>
      </c>
      <c r="R106" s="13" t="n">
        <v>54.2</v>
      </c>
      <c r="S106" s="13" t="n">
        <v>12.4</v>
      </c>
      <c r="T106" s="13" t="n">
        <v>33.6</v>
      </c>
      <c r="U106" s="14" t="n">
        <v>60</v>
      </c>
      <c r="V106" s="14" t="n">
        <v>27.4</v>
      </c>
      <c r="W106" s="26" t="n">
        <v>83505</v>
      </c>
    </row>
    <row r="107" customFormat="false" ht="12.8" hidden="false" customHeight="false" outlineLevel="0" collapsed="false">
      <c r="A107" s="1" t="n">
        <v>57.7</v>
      </c>
      <c r="B107" s="1" t="n">
        <v>14.4</v>
      </c>
      <c r="C107" s="1" t="n">
        <v>32.4</v>
      </c>
      <c r="D107" s="1" t="n">
        <v>9.6</v>
      </c>
      <c r="E107" s="1" t="n">
        <v>78.3</v>
      </c>
      <c r="F107" s="27" t="n">
        <v>129630.377160821</v>
      </c>
      <c r="G107" s="27" t="n">
        <v>65231</v>
      </c>
      <c r="H107" s="1" t="n">
        <v>-64399.3771608213</v>
      </c>
      <c r="K107" s="22"/>
      <c r="M107" s="23"/>
      <c r="P107" s="12" t="n">
        <v>5</v>
      </c>
      <c r="Q107" s="13" t="s">
        <v>56</v>
      </c>
      <c r="R107" s="13" t="n">
        <v>48</v>
      </c>
      <c r="S107" s="13" t="n">
        <v>9.4</v>
      </c>
      <c r="T107" s="13" t="n">
        <v>34.4</v>
      </c>
      <c r="U107" s="14" t="n">
        <v>53.8</v>
      </c>
      <c r="V107" s="14" t="n">
        <v>28.7</v>
      </c>
      <c r="W107" s="26" t="n">
        <v>188060</v>
      </c>
    </row>
    <row r="108" customFormat="false" ht="12.8" hidden="false" customHeight="false" outlineLevel="0" collapsed="false">
      <c r="A108" s="1" t="n">
        <v>57</v>
      </c>
      <c r="B108" s="1" t="n">
        <v>19.8</v>
      </c>
      <c r="C108" s="1" t="n">
        <v>33.9</v>
      </c>
      <c r="D108" s="1" t="n">
        <v>10.9</v>
      </c>
      <c r="E108" s="1" t="n">
        <v>80.3</v>
      </c>
      <c r="F108" s="27" t="n">
        <v>108670.333252815</v>
      </c>
      <c r="G108" s="27" t="n">
        <v>44716</v>
      </c>
      <c r="H108" s="1" t="n">
        <v>-63954.3332528154</v>
      </c>
      <c r="K108" s="22"/>
      <c r="M108" s="23"/>
      <c r="P108" s="12" t="n">
        <v>5</v>
      </c>
      <c r="Q108" s="13" t="s">
        <v>58</v>
      </c>
      <c r="R108" s="13" t="n">
        <v>44.8</v>
      </c>
      <c r="S108" s="13" t="n">
        <v>14.5</v>
      </c>
      <c r="T108" s="13" t="n">
        <v>34.8</v>
      </c>
      <c r="U108" s="14" t="n">
        <v>73.8</v>
      </c>
      <c r="V108" s="14" t="n">
        <v>24</v>
      </c>
      <c r="W108" s="26" t="n">
        <v>136480</v>
      </c>
    </row>
    <row r="109" customFormat="false" ht="12.8" hidden="false" customHeight="false" outlineLevel="0" collapsed="false">
      <c r="A109" s="1" t="n">
        <v>55.9</v>
      </c>
      <c r="B109" s="1" t="n">
        <v>11.3</v>
      </c>
      <c r="C109" s="1" t="n">
        <v>33.7</v>
      </c>
      <c r="D109" s="1" t="n">
        <v>8.9</v>
      </c>
      <c r="E109" s="1" t="n">
        <v>76.1</v>
      </c>
      <c r="F109" s="27" t="n">
        <v>166737.09158331</v>
      </c>
      <c r="G109" s="27" t="n">
        <v>117224</v>
      </c>
      <c r="H109" s="1" t="n">
        <v>-49513.0915833102</v>
      </c>
      <c r="K109" s="22"/>
      <c r="M109" s="23"/>
      <c r="P109" s="12" t="n">
        <v>5</v>
      </c>
      <c r="Q109" s="13" t="s">
        <v>60</v>
      </c>
      <c r="R109" s="13" t="n">
        <v>51.5</v>
      </c>
      <c r="S109" s="13" t="n">
        <v>8.9</v>
      </c>
      <c r="T109" s="13" t="n">
        <v>35.5</v>
      </c>
      <c r="U109" s="14" t="n">
        <v>55</v>
      </c>
      <c r="V109" s="14" t="n">
        <v>23.9</v>
      </c>
      <c r="W109" s="26" t="n">
        <v>761325</v>
      </c>
    </row>
    <row r="110" customFormat="false" ht="12.8" hidden="false" customHeight="false" outlineLevel="0" collapsed="false">
      <c r="A110" s="1" t="n">
        <v>42.8</v>
      </c>
      <c r="B110" s="1" t="n">
        <v>11.7</v>
      </c>
      <c r="C110" s="1" t="n">
        <v>32.9</v>
      </c>
      <c r="D110" s="1" t="n">
        <v>10.2</v>
      </c>
      <c r="E110" s="1" t="n">
        <v>76.4</v>
      </c>
      <c r="F110" s="27" t="n">
        <v>228870.787233246</v>
      </c>
      <c r="G110" s="27" t="n">
        <v>471510</v>
      </c>
      <c r="H110" s="1" t="n">
        <v>242639.212766754</v>
      </c>
      <c r="K110" s="22"/>
      <c r="M110" s="23"/>
      <c r="P110" s="12" t="n">
        <v>5</v>
      </c>
      <c r="Q110" s="13" t="s">
        <v>62</v>
      </c>
      <c r="R110" s="13" t="n">
        <v>46.5</v>
      </c>
      <c r="S110" s="13" t="n">
        <v>10.5</v>
      </c>
      <c r="T110" s="13" t="n">
        <v>35.1</v>
      </c>
      <c r="U110" s="14" t="n">
        <v>52.8</v>
      </c>
      <c r="V110" s="14" t="n">
        <v>20.2</v>
      </c>
      <c r="W110" s="26" t="n">
        <v>230550</v>
      </c>
    </row>
    <row r="111" customFormat="false" ht="12.8" hidden="false" customHeight="false" outlineLevel="0" collapsed="false">
      <c r="A111" s="1" t="n">
        <v>49.1</v>
      </c>
      <c r="B111" s="1" t="n">
        <v>11.5</v>
      </c>
      <c r="C111" s="1" t="n">
        <v>32.6</v>
      </c>
      <c r="D111" s="1" t="n">
        <v>10.6</v>
      </c>
      <c r="E111" s="1" t="n">
        <v>78.9</v>
      </c>
      <c r="F111" s="27" t="n">
        <v>199017.877964004</v>
      </c>
      <c r="G111" s="27" t="n">
        <v>205581</v>
      </c>
      <c r="H111" s="1" t="n">
        <v>6563.12203599591</v>
      </c>
      <c r="K111" s="22"/>
      <c r="M111" s="23"/>
      <c r="P111" s="12" t="n">
        <v>5</v>
      </c>
      <c r="Q111" s="13" t="s">
        <v>64</v>
      </c>
      <c r="R111" s="13" t="n">
        <v>67.5</v>
      </c>
      <c r="S111" s="13" t="n">
        <v>21.9</v>
      </c>
      <c r="T111" s="13" t="n">
        <v>34.9</v>
      </c>
      <c r="U111" s="14" t="n">
        <v>53.3</v>
      </c>
      <c r="V111" s="14" t="n">
        <v>22.7</v>
      </c>
      <c r="W111" s="26" t="n">
        <v>101185</v>
      </c>
    </row>
    <row r="112" customFormat="false" ht="12.8" hidden="false" customHeight="false" outlineLevel="0" collapsed="false">
      <c r="A112" s="1" t="n">
        <v>50.1</v>
      </c>
      <c r="B112" s="1" t="n">
        <v>17.8</v>
      </c>
      <c r="C112" s="1" t="n">
        <v>35.1</v>
      </c>
      <c r="D112" s="1" t="n">
        <v>11.2</v>
      </c>
      <c r="E112" s="1" t="n">
        <v>74</v>
      </c>
      <c r="F112" s="27" t="n">
        <v>161025.689367204</v>
      </c>
      <c r="G112" s="27" t="n">
        <v>43908</v>
      </c>
      <c r="H112" s="1" t="n">
        <v>-117117.689367204</v>
      </c>
      <c r="K112" s="22"/>
      <c r="M112" s="23"/>
      <c r="P112" s="12" t="n">
        <v>5</v>
      </c>
      <c r="Q112" s="13" t="s">
        <v>66</v>
      </c>
      <c r="R112" s="13" t="n">
        <v>69.1</v>
      </c>
      <c r="S112" s="13" t="n">
        <v>33.1</v>
      </c>
      <c r="T112" s="13" t="n">
        <v>33.7</v>
      </c>
      <c r="U112" s="14" t="n">
        <v>51.2</v>
      </c>
      <c r="V112" s="14" t="n">
        <v>13.5</v>
      </c>
      <c r="W112" s="26" t="n">
        <v>52167</v>
      </c>
    </row>
    <row r="113" customFormat="false" ht="12.8" hidden="false" customHeight="false" outlineLevel="0" collapsed="false">
      <c r="A113" s="1" t="n">
        <v>49.8</v>
      </c>
      <c r="B113" s="1" t="n">
        <v>13.7</v>
      </c>
      <c r="C113" s="1" t="n">
        <v>34.8</v>
      </c>
      <c r="D113" s="1" t="n">
        <v>11.4</v>
      </c>
      <c r="E113" s="1" t="n">
        <v>74.8</v>
      </c>
      <c r="F113" s="27" t="n">
        <v>191528.727521588</v>
      </c>
      <c r="G113" s="27" t="n">
        <v>39728</v>
      </c>
      <c r="H113" s="1" t="n">
        <v>-151800.727521588</v>
      </c>
      <c r="K113" s="22"/>
      <c r="M113" s="23"/>
      <c r="P113" s="12" t="n">
        <v>5</v>
      </c>
      <c r="Q113" s="13" t="s">
        <v>67</v>
      </c>
      <c r="R113" s="13" t="n">
        <v>65.4</v>
      </c>
      <c r="S113" s="13" t="n">
        <v>22.5</v>
      </c>
      <c r="T113" s="13" t="n">
        <v>35.1</v>
      </c>
      <c r="U113" s="14" t="n">
        <v>47</v>
      </c>
      <c r="V113" s="14" t="n">
        <v>8.4</v>
      </c>
      <c r="W113" s="26" t="n">
        <v>59465</v>
      </c>
    </row>
    <row r="114" customFormat="false" ht="12.8" hidden="false" customHeight="false" outlineLevel="0" collapsed="false">
      <c r="A114" s="1" t="n">
        <v>50</v>
      </c>
      <c r="B114" s="1" t="n">
        <v>15.8</v>
      </c>
      <c r="C114" s="1" t="n">
        <v>32.6</v>
      </c>
      <c r="D114" s="1" t="n">
        <v>9.4</v>
      </c>
      <c r="E114" s="1" t="n">
        <v>81.2</v>
      </c>
      <c r="F114" s="27" t="n">
        <v>163346.383734646</v>
      </c>
      <c r="G114" s="27" t="n">
        <v>27148</v>
      </c>
      <c r="H114" s="1" t="n">
        <v>-136198.383734646</v>
      </c>
      <c r="K114" s="22"/>
      <c r="M114" s="23"/>
      <c r="P114" s="12" t="n">
        <v>5</v>
      </c>
      <c r="Q114" s="13" t="s">
        <v>69</v>
      </c>
      <c r="R114" s="13" t="n">
        <v>64.2</v>
      </c>
      <c r="S114" s="13" t="n">
        <v>20.8</v>
      </c>
      <c r="T114" s="13" t="n">
        <v>35.2</v>
      </c>
      <c r="U114" s="14" t="n">
        <v>43.8</v>
      </c>
      <c r="V114" s="14" t="n">
        <v>12.9</v>
      </c>
      <c r="W114" s="26" t="n">
        <v>40444</v>
      </c>
    </row>
    <row r="115" customFormat="false" ht="12.8" hidden="false" customHeight="false" outlineLevel="0" collapsed="false">
      <c r="A115" s="1" t="n">
        <v>64.8</v>
      </c>
      <c r="B115" s="1" t="n">
        <v>23.2</v>
      </c>
      <c r="C115" s="1" t="n">
        <v>32.8</v>
      </c>
      <c r="D115" s="1" t="n">
        <v>8.6</v>
      </c>
      <c r="E115" s="1" t="n">
        <v>82.7</v>
      </c>
      <c r="F115" s="27" t="n">
        <v>34452.3521080616</v>
      </c>
      <c r="G115" s="27" t="n">
        <v>34584</v>
      </c>
      <c r="H115" s="1" t="n">
        <v>131.647891938454</v>
      </c>
      <c r="K115" s="22"/>
      <c r="M115" s="23"/>
      <c r="P115" s="12" t="n">
        <v>5</v>
      </c>
      <c r="Q115" s="13" t="s">
        <v>75</v>
      </c>
      <c r="R115" s="13" t="n">
        <v>64.5</v>
      </c>
      <c r="S115" s="13" t="n">
        <v>21</v>
      </c>
      <c r="T115" s="13" t="n">
        <v>33.4</v>
      </c>
      <c r="U115" s="14" t="n">
        <v>50.5</v>
      </c>
      <c r="V115" s="14" t="n">
        <v>7.5</v>
      </c>
      <c r="W115" s="26" t="n">
        <v>34540</v>
      </c>
    </row>
    <row r="116" customFormat="false" ht="12.8" hidden="false" customHeight="false" outlineLevel="0" collapsed="false">
      <c r="A116" s="1" t="n">
        <v>56</v>
      </c>
      <c r="B116" s="1" t="n">
        <v>28.8</v>
      </c>
      <c r="C116" s="1" t="n">
        <v>31.6</v>
      </c>
      <c r="D116" s="1" t="n">
        <v>8</v>
      </c>
      <c r="E116" s="1" t="n">
        <v>78.2</v>
      </c>
      <c r="F116" s="27" t="n">
        <v>25354.6349952306</v>
      </c>
      <c r="G116" s="27" t="n">
        <v>95876</v>
      </c>
      <c r="H116" s="1" t="n">
        <v>70521.3650047694</v>
      </c>
      <c r="K116" s="22"/>
      <c r="M116" s="23"/>
      <c r="P116" s="12" t="n">
        <v>5</v>
      </c>
      <c r="Q116" s="13" t="s">
        <v>76</v>
      </c>
      <c r="R116" s="13" t="n">
        <v>61.4</v>
      </c>
      <c r="S116" s="13" t="n">
        <v>29.8</v>
      </c>
      <c r="T116" s="13" t="n">
        <v>35.2</v>
      </c>
      <c r="U116" s="14" t="n">
        <v>46.1</v>
      </c>
      <c r="V116" s="14" t="n">
        <v>8.9</v>
      </c>
      <c r="W116" s="26" t="n">
        <v>83868</v>
      </c>
    </row>
    <row r="117" customFormat="false" ht="12.8" hidden="false" customHeight="false" outlineLevel="0" collapsed="false">
      <c r="A117" s="1" t="n">
        <v>53.3</v>
      </c>
      <c r="B117" s="1" t="n">
        <v>15.4</v>
      </c>
      <c r="C117" s="1" t="n">
        <v>31.8</v>
      </c>
      <c r="D117" s="1" t="n">
        <v>8.6</v>
      </c>
      <c r="E117" s="1" t="n">
        <v>77.9</v>
      </c>
      <c r="F117" s="27" t="n">
        <v>138826.041755011</v>
      </c>
      <c r="G117" s="27" t="n">
        <v>142058</v>
      </c>
      <c r="H117" s="1" t="n">
        <v>3231.95824498893</v>
      </c>
      <c r="K117" s="22"/>
      <c r="M117" s="23"/>
      <c r="P117" s="12" t="n">
        <v>5</v>
      </c>
      <c r="Q117" s="13" t="s">
        <v>78</v>
      </c>
      <c r="R117" s="13" t="n">
        <v>63.4</v>
      </c>
      <c r="S117" s="13" t="n">
        <v>26</v>
      </c>
      <c r="T117" s="13" t="n">
        <v>36.1</v>
      </c>
      <c r="U117" s="14" t="n">
        <v>66.4</v>
      </c>
      <c r="V117" s="14" t="n">
        <v>17.7</v>
      </c>
      <c r="W117" s="26" t="n">
        <v>101465</v>
      </c>
    </row>
    <row r="118" customFormat="false" ht="12.8" hidden="false" customHeight="false" outlineLevel="0" collapsed="false">
      <c r="A118" s="1" t="n">
        <v>53.4</v>
      </c>
      <c r="B118" s="1" t="n">
        <v>17</v>
      </c>
      <c r="C118" s="1" t="n">
        <v>33</v>
      </c>
      <c r="D118" s="1" t="n">
        <v>8.4</v>
      </c>
      <c r="E118" s="1" t="n">
        <v>81</v>
      </c>
      <c r="F118" s="27" t="n">
        <v>137724.473283385</v>
      </c>
      <c r="G118" s="27" t="n">
        <v>58250</v>
      </c>
      <c r="H118" s="1" t="n">
        <v>-79474.4732833848</v>
      </c>
      <c r="K118" s="22"/>
      <c r="M118" s="23"/>
      <c r="P118" s="12" t="n">
        <v>5</v>
      </c>
      <c r="Q118" s="13" t="s">
        <v>80</v>
      </c>
      <c r="R118" s="13" t="n">
        <v>56.5</v>
      </c>
      <c r="S118" s="13" t="n">
        <v>16.7</v>
      </c>
      <c r="T118" s="13" t="n">
        <v>35.5</v>
      </c>
      <c r="U118" s="14" t="n">
        <v>66.3</v>
      </c>
      <c r="V118" s="14" t="n">
        <v>29.3</v>
      </c>
      <c r="W118" s="26" t="n">
        <v>136672</v>
      </c>
    </row>
    <row r="119" customFormat="false" ht="12.8" hidden="false" customHeight="false" outlineLevel="0" collapsed="false">
      <c r="A119" s="1" t="n">
        <v>55.2</v>
      </c>
      <c r="B119" s="1" t="n">
        <v>20.3</v>
      </c>
      <c r="C119" s="1" t="n">
        <v>34.7</v>
      </c>
      <c r="D119" s="1" t="n">
        <v>10</v>
      </c>
      <c r="E119" s="1" t="n">
        <v>72.1</v>
      </c>
      <c r="F119" s="27" t="n">
        <v>109577.021289098</v>
      </c>
      <c r="G119" s="27" t="n">
        <v>37456</v>
      </c>
      <c r="H119" s="1" t="n">
        <v>-72121.0212890981</v>
      </c>
      <c r="K119" s="22"/>
      <c r="M119" s="23"/>
      <c r="P119" s="12" t="n">
        <v>5</v>
      </c>
      <c r="Q119" s="13" t="s">
        <v>81</v>
      </c>
      <c r="R119" s="13" t="n">
        <v>53.1</v>
      </c>
      <c r="S119" s="13" t="n">
        <v>13.6</v>
      </c>
      <c r="T119" s="13" t="n">
        <v>34.7</v>
      </c>
      <c r="U119" s="14" t="n">
        <v>63.7</v>
      </c>
      <c r="V119" s="14" t="n">
        <v>21.1</v>
      </c>
      <c r="W119" s="26" t="n">
        <v>329576</v>
      </c>
    </row>
    <row r="120" customFormat="false" ht="12.8" hidden="false" customHeight="false" outlineLevel="0" collapsed="false">
      <c r="A120" s="1" t="n">
        <v>51.3</v>
      </c>
      <c r="B120" s="1" t="n">
        <v>29.1</v>
      </c>
      <c r="C120" s="1" t="n">
        <v>32.5</v>
      </c>
      <c r="D120" s="1" t="n">
        <v>8.8</v>
      </c>
      <c r="E120" s="1" t="n">
        <v>76.5</v>
      </c>
      <c r="F120" s="27" t="n">
        <v>53294.1326438818</v>
      </c>
      <c r="G120" s="27" t="n">
        <v>53089</v>
      </c>
      <c r="H120" s="1" t="n">
        <v>-205.132643881836</v>
      </c>
      <c r="K120" s="22"/>
      <c r="M120" s="23"/>
      <c r="P120" s="12" t="n">
        <v>5</v>
      </c>
      <c r="Q120" s="13" t="s">
        <v>83</v>
      </c>
      <c r="R120" s="13" t="n">
        <v>60.4</v>
      </c>
      <c r="S120" s="13" t="n">
        <v>18.4</v>
      </c>
      <c r="T120" s="13" t="n">
        <v>33.8</v>
      </c>
      <c r="U120" s="14" t="n">
        <v>61.2</v>
      </c>
      <c r="V120" s="14" t="n">
        <v>19.6</v>
      </c>
      <c r="W120" s="26" t="n">
        <v>68133</v>
      </c>
    </row>
    <row r="121" customFormat="false" ht="12.8" hidden="false" customHeight="false" outlineLevel="0" collapsed="false">
      <c r="A121" s="1" t="n">
        <v>56.7</v>
      </c>
      <c r="B121" s="1" t="n">
        <v>16.1</v>
      </c>
      <c r="C121" s="1" t="n">
        <v>32.2</v>
      </c>
      <c r="D121" s="1" t="n">
        <v>8.2</v>
      </c>
      <c r="E121" s="1" t="n">
        <v>76.4</v>
      </c>
      <c r="F121" s="27" t="n">
        <v>116565.120095737</v>
      </c>
      <c r="G121" s="27" t="n">
        <v>69455</v>
      </c>
      <c r="H121" s="1" t="n">
        <v>-47110.1200957372</v>
      </c>
      <c r="K121" s="22"/>
      <c r="M121" s="23"/>
      <c r="P121" s="12" t="n">
        <v>5</v>
      </c>
      <c r="Q121" s="13" t="s">
        <v>84</v>
      </c>
      <c r="R121" s="13" t="n">
        <v>62.2</v>
      </c>
      <c r="S121" s="13" t="n">
        <v>20.1</v>
      </c>
      <c r="T121" s="13" t="n">
        <v>34.9</v>
      </c>
      <c r="U121" s="14" t="n">
        <v>65.1</v>
      </c>
      <c r="V121" s="14" t="n">
        <v>18.9</v>
      </c>
      <c r="W121" s="26" t="n">
        <v>46931</v>
      </c>
    </row>
    <row r="122" customFormat="false" ht="12.8" hidden="false" customHeight="false" outlineLevel="0" collapsed="false">
      <c r="A122" s="1" t="n">
        <v>60.8</v>
      </c>
      <c r="B122" s="1" t="n">
        <v>14.2</v>
      </c>
      <c r="C122" s="1" t="n">
        <v>29.3</v>
      </c>
      <c r="D122" s="1" t="n">
        <v>9.2</v>
      </c>
      <c r="E122" s="1" t="n">
        <v>74.9</v>
      </c>
      <c r="F122" s="27" t="n">
        <v>89674.7547167404</v>
      </c>
      <c r="G122" s="27" t="n">
        <v>34481</v>
      </c>
      <c r="H122" s="1" t="n">
        <v>-55193.7547167404</v>
      </c>
      <c r="K122" s="22"/>
      <c r="M122" s="23"/>
      <c r="P122" s="12" t="n">
        <v>5</v>
      </c>
      <c r="Q122" s="13" t="s">
        <v>88</v>
      </c>
      <c r="R122" s="13" t="n">
        <v>58.6</v>
      </c>
      <c r="S122" s="13" t="n">
        <v>17.6</v>
      </c>
      <c r="T122" s="13" t="n">
        <v>36.1</v>
      </c>
      <c r="U122" s="14" t="n">
        <v>58.7</v>
      </c>
      <c r="V122" s="14" t="n">
        <v>22.5</v>
      </c>
      <c r="W122" s="26" t="n">
        <v>120732</v>
      </c>
    </row>
    <row r="123" customFormat="false" ht="12.8" hidden="false" customHeight="false" outlineLevel="0" collapsed="false">
      <c r="A123" s="1" t="n">
        <v>50.1</v>
      </c>
      <c r="B123" s="1" t="n">
        <v>14.3</v>
      </c>
      <c r="C123" s="1" t="n">
        <v>32.9</v>
      </c>
      <c r="D123" s="1" t="n">
        <v>12</v>
      </c>
      <c r="E123" s="1" t="n">
        <v>80.5</v>
      </c>
      <c r="F123" s="27" t="n">
        <v>179753.073134399</v>
      </c>
      <c r="G123" s="27" t="n">
        <v>263949</v>
      </c>
      <c r="H123" s="1" t="n">
        <v>84195.9268656011</v>
      </c>
      <c r="K123" s="22"/>
      <c r="M123" s="23"/>
      <c r="P123" s="12" t="n">
        <v>5</v>
      </c>
      <c r="Q123" s="13" t="s">
        <v>89</v>
      </c>
      <c r="R123" s="13" t="n">
        <v>46.8</v>
      </c>
      <c r="S123" s="13" t="n">
        <v>12.6</v>
      </c>
      <c r="T123" s="13" t="n">
        <v>35.5</v>
      </c>
      <c r="U123" s="14" t="n">
        <v>57</v>
      </c>
      <c r="V123" s="14" t="n">
        <v>27.4</v>
      </c>
      <c r="W123" s="26" t="n">
        <v>493557</v>
      </c>
    </row>
    <row r="124" customFormat="false" ht="12.8" hidden="false" customHeight="false" outlineLevel="0" collapsed="false">
      <c r="A124" s="1" t="n">
        <v>49.3</v>
      </c>
      <c r="B124" s="1" t="n">
        <v>17.9</v>
      </c>
      <c r="C124" s="1" t="n">
        <v>33.4</v>
      </c>
      <c r="D124" s="1" t="n">
        <v>9</v>
      </c>
      <c r="E124" s="1" t="n">
        <v>82</v>
      </c>
      <c r="F124" s="27" t="n">
        <v>157262.486342334</v>
      </c>
      <c r="G124" s="27" t="n">
        <v>44123</v>
      </c>
      <c r="H124" s="1" t="n">
        <v>-113139.486342334</v>
      </c>
      <c r="K124" s="22"/>
      <c r="M124" s="23"/>
      <c r="P124" s="12" t="n">
        <v>5</v>
      </c>
      <c r="Q124" s="13" t="s">
        <v>90</v>
      </c>
      <c r="R124" s="13" t="n">
        <v>54</v>
      </c>
      <c r="S124" s="13" t="n">
        <v>15.9</v>
      </c>
      <c r="T124" s="13" t="n">
        <v>34.7</v>
      </c>
      <c r="U124" s="14" t="n">
        <v>55.1</v>
      </c>
      <c r="V124" s="14" t="n">
        <v>14.7</v>
      </c>
      <c r="W124" s="26" t="n">
        <v>211290</v>
      </c>
    </row>
    <row r="125" customFormat="false" ht="12.8" hidden="false" customHeight="false" outlineLevel="0" collapsed="false">
      <c r="A125" s="1" t="n">
        <v>54</v>
      </c>
      <c r="B125" s="1" t="n">
        <v>21</v>
      </c>
      <c r="C125" s="1" t="n">
        <v>33.1</v>
      </c>
      <c r="D125" s="1" t="n">
        <v>9.1</v>
      </c>
      <c r="E125" s="1" t="n">
        <v>81.6</v>
      </c>
      <c r="F125" s="27" t="n">
        <v>108134.138341025</v>
      </c>
      <c r="G125" s="27" t="n">
        <v>64479</v>
      </c>
      <c r="H125" s="1" t="n">
        <v>-43655.1383410252</v>
      </c>
      <c r="K125" s="22"/>
      <c r="M125" s="23"/>
      <c r="P125" s="12" t="n">
        <v>5</v>
      </c>
      <c r="Q125" s="13" t="s">
        <v>91</v>
      </c>
      <c r="R125" s="13" t="n">
        <v>54.7</v>
      </c>
      <c r="S125" s="13" t="n">
        <v>21.4</v>
      </c>
      <c r="T125" s="13" t="n">
        <v>37.2</v>
      </c>
      <c r="U125" s="14" t="n">
        <v>50.3</v>
      </c>
      <c r="V125" s="14" t="n">
        <v>11.8</v>
      </c>
      <c r="W125" s="26" t="n">
        <v>45338</v>
      </c>
    </row>
    <row r="126" customFormat="false" ht="12.8" hidden="false" customHeight="false" outlineLevel="0" collapsed="false">
      <c r="A126" s="1" t="n">
        <v>57.9</v>
      </c>
      <c r="B126" s="1" t="n">
        <v>29.1</v>
      </c>
      <c r="C126" s="1" t="n">
        <v>32.8</v>
      </c>
      <c r="D126" s="1" t="n">
        <v>11.2</v>
      </c>
      <c r="E126" s="1" t="n">
        <v>81.7</v>
      </c>
      <c r="F126" s="27" t="n">
        <v>30970.8117669404</v>
      </c>
      <c r="G126" s="27" t="n">
        <v>90700</v>
      </c>
      <c r="H126" s="1" t="n">
        <v>59729.1882330596</v>
      </c>
      <c r="K126" s="22"/>
      <c r="M126" s="23"/>
      <c r="P126" s="12" t="n">
        <v>5</v>
      </c>
      <c r="Q126" s="13" t="s">
        <v>92</v>
      </c>
      <c r="R126" s="13" t="n">
        <v>53.8</v>
      </c>
      <c r="S126" s="13" t="n">
        <v>17.9</v>
      </c>
      <c r="T126" s="13" t="n">
        <v>36</v>
      </c>
      <c r="U126" s="14" t="n">
        <v>58.1</v>
      </c>
      <c r="V126" s="14" t="n">
        <v>15.2</v>
      </c>
      <c r="W126" s="26" t="n">
        <v>41033</v>
      </c>
    </row>
    <row r="127" customFormat="false" ht="12.8" hidden="false" customHeight="false" outlineLevel="0" collapsed="false">
      <c r="A127" s="1" t="n">
        <v>61</v>
      </c>
      <c r="B127" s="1" t="n">
        <v>24.3</v>
      </c>
      <c r="C127" s="1" t="n">
        <v>33.1</v>
      </c>
      <c r="D127" s="1" t="n">
        <v>8.9</v>
      </c>
      <c r="E127" s="1" t="n">
        <v>79.3</v>
      </c>
      <c r="F127" s="27" t="n">
        <v>45154.2434848886</v>
      </c>
      <c r="G127" s="27" t="n">
        <v>58609</v>
      </c>
      <c r="H127" s="1" t="n">
        <v>13454.7565151114</v>
      </c>
      <c r="K127" s="22"/>
      <c r="M127" s="23"/>
      <c r="P127" s="12" t="n">
        <v>5</v>
      </c>
      <c r="Q127" s="13" t="s">
        <v>93</v>
      </c>
      <c r="R127" s="13" t="n">
        <v>55.5</v>
      </c>
      <c r="S127" s="13" t="n">
        <v>20.4</v>
      </c>
      <c r="T127" s="13" t="n">
        <v>35</v>
      </c>
      <c r="U127" s="14" t="n">
        <v>57.8</v>
      </c>
      <c r="V127" s="14" t="n">
        <v>23.5</v>
      </c>
      <c r="W127" s="26" t="n">
        <v>27288</v>
      </c>
    </row>
    <row r="128" customFormat="false" ht="12.8" hidden="false" customHeight="false" outlineLevel="0" collapsed="false">
      <c r="A128" s="1" t="n">
        <v>52.2</v>
      </c>
      <c r="B128" s="1" t="n">
        <v>14.6</v>
      </c>
      <c r="C128" s="1" t="n">
        <v>34.3</v>
      </c>
      <c r="D128" s="1" t="n">
        <v>8.9</v>
      </c>
      <c r="E128" s="1" t="n">
        <v>82.3</v>
      </c>
      <c r="F128" s="27" t="n">
        <v>172480.992697294</v>
      </c>
      <c r="G128" s="27" t="n">
        <v>53047</v>
      </c>
      <c r="H128" s="1" t="n">
        <v>-119433.992697294</v>
      </c>
      <c r="K128" s="22"/>
      <c r="M128" s="23"/>
      <c r="P128" s="12" t="n">
        <v>5</v>
      </c>
      <c r="Q128" s="13" t="s">
        <v>94</v>
      </c>
      <c r="R128" s="13" t="n">
        <v>66.8</v>
      </c>
      <c r="S128" s="13" t="n">
        <v>23.5</v>
      </c>
      <c r="T128" s="13" t="n">
        <v>34.4</v>
      </c>
      <c r="U128" s="14" t="n">
        <v>55.6</v>
      </c>
      <c r="V128" s="14" t="n">
        <v>15.6</v>
      </c>
      <c r="W128" s="26" t="n">
        <v>34565</v>
      </c>
    </row>
    <row r="129" customFormat="false" ht="12.8" hidden="false" customHeight="false" outlineLevel="0" collapsed="false">
      <c r="A129" s="1" t="n">
        <v>49.2</v>
      </c>
      <c r="B129" s="1" t="n">
        <v>12.9</v>
      </c>
      <c r="C129" s="1" t="n">
        <v>32.2</v>
      </c>
      <c r="D129" s="1" t="n">
        <v>9.6</v>
      </c>
      <c r="E129" s="1" t="n">
        <v>84.7</v>
      </c>
      <c r="F129" s="27" t="n">
        <v>189864.846170227</v>
      </c>
      <c r="G129" s="27" t="n">
        <v>86609</v>
      </c>
      <c r="H129" s="1" t="n">
        <v>-103255.846170227</v>
      </c>
      <c r="K129" s="22"/>
      <c r="M129" s="23"/>
      <c r="P129" s="12" t="n">
        <v>5</v>
      </c>
      <c r="Q129" s="13" t="s">
        <v>95</v>
      </c>
      <c r="R129" s="13" t="n">
        <v>57.9</v>
      </c>
      <c r="S129" s="13" t="n">
        <v>35.2</v>
      </c>
      <c r="T129" s="13" t="n">
        <v>33.4</v>
      </c>
      <c r="U129" s="14" t="n">
        <v>45.2</v>
      </c>
      <c r="V129" s="14" t="n">
        <v>12.5</v>
      </c>
      <c r="W129" s="26" t="n">
        <v>98736</v>
      </c>
    </row>
    <row r="130" customFormat="false" ht="12.8" hidden="false" customHeight="false" outlineLevel="0" collapsed="false">
      <c r="A130" s="1" t="n">
        <v>55.8</v>
      </c>
      <c r="B130" s="1" t="n">
        <v>25.9</v>
      </c>
      <c r="C130" s="1" t="n">
        <v>33.1</v>
      </c>
      <c r="D130" s="1" t="n">
        <v>9.6</v>
      </c>
      <c r="E130" s="1" t="n">
        <v>88.6</v>
      </c>
      <c r="F130" s="27" t="n">
        <v>71449.7450266587</v>
      </c>
      <c r="G130" s="27" t="n">
        <v>75141</v>
      </c>
      <c r="H130" s="1" t="n">
        <v>3691.2549733413</v>
      </c>
      <c r="K130" s="22"/>
      <c r="M130" s="23"/>
      <c r="P130" s="12" t="n">
        <v>5</v>
      </c>
      <c r="Q130" s="13" t="s">
        <v>97</v>
      </c>
      <c r="R130" s="13" t="n">
        <v>56.2</v>
      </c>
      <c r="S130" s="13" t="n">
        <v>18</v>
      </c>
      <c r="T130" s="13" t="n">
        <v>34.5</v>
      </c>
      <c r="U130" s="14" t="n">
        <v>50.9</v>
      </c>
      <c r="V130" s="14" t="n">
        <v>14.3</v>
      </c>
      <c r="W130" s="26" t="n">
        <v>146284</v>
      </c>
    </row>
    <row r="131" customFormat="false" ht="12.8" hidden="false" customHeight="false" outlineLevel="0" collapsed="false">
      <c r="A131" s="1" t="n">
        <v>47.3</v>
      </c>
      <c r="B131" s="1" t="n">
        <v>11.6</v>
      </c>
      <c r="C131" s="1" t="n">
        <v>34.5</v>
      </c>
      <c r="D131" s="1" t="n">
        <v>9.7</v>
      </c>
      <c r="E131" s="1" t="n">
        <v>82.3</v>
      </c>
      <c r="F131" s="27" t="n">
        <v>222452.674509741</v>
      </c>
      <c r="G131" s="27" t="n">
        <v>264810</v>
      </c>
      <c r="H131" s="1" t="n">
        <v>42357.325490259</v>
      </c>
      <c r="K131" s="22"/>
      <c r="M131" s="23"/>
      <c r="P131" s="12" t="n">
        <v>5</v>
      </c>
      <c r="Q131" s="13" t="s">
        <v>98</v>
      </c>
      <c r="R131" s="13" t="n">
        <v>55.2</v>
      </c>
      <c r="S131" s="13" t="n">
        <v>19.5</v>
      </c>
      <c r="T131" s="13" t="n">
        <v>33.6</v>
      </c>
      <c r="U131" s="14" t="n">
        <v>49.6</v>
      </c>
      <c r="V131" s="14" t="n">
        <v>23.5</v>
      </c>
      <c r="W131" s="26" t="n">
        <v>60572</v>
      </c>
    </row>
    <row r="132" customFormat="false" ht="12.8" hidden="false" customHeight="false" outlineLevel="0" collapsed="false">
      <c r="A132" s="1" t="n">
        <v>58.1</v>
      </c>
      <c r="B132" s="1" t="n">
        <v>19.2</v>
      </c>
      <c r="C132" s="1" t="n">
        <v>34.3</v>
      </c>
      <c r="D132" s="1" t="n">
        <v>9.3</v>
      </c>
      <c r="E132" s="1" t="n">
        <v>82.5</v>
      </c>
      <c r="F132" s="27" t="n">
        <v>109455.056093804</v>
      </c>
      <c r="G132" s="27" t="n">
        <v>59661</v>
      </c>
      <c r="H132" s="1" t="n">
        <v>-49794.0560938038</v>
      </c>
      <c r="K132" s="22"/>
      <c r="M132" s="23"/>
      <c r="P132" s="12" t="n">
        <v>5</v>
      </c>
      <c r="Q132" s="13" t="s">
        <v>99</v>
      </c>
      <c r="R132" s="13" t="n">
        <v>54.4</v>
      </c>
      <c r="S132" s="13" t="n">
        <v>27.3</v>
      </c>
      <c r="T132" s="13" t="n">
        <v>36</v>
      </c>
      <c r="U132" s="14" t="n">
        <v>49.4</v>
      </c>
      <c r="V132" s="14" t="n">
        <v>19.6</v>
      </c>
      <c r="W132" s="26" t="n">
        <v>38545</v>
      </c>
    </row>
    <row r="133" customFormat="false" ht="12.8" hidden="false" customHeight="false" outlineLevel="0" collapsed="false">
      <c r="A133" s="1" t="n">
        <v>61.1</v>
      </c>
      <c r="B133" s="1" t="n">
        <v>17</v>
      </c>
      <c r="C133" s="1" t="n">
        <v>33.3</v>
      </c>
      <c r="D133" s="1" t="n">
        <v>10.6</v>
      </c>
      <c r="E133" s="1" t="n">
        <v>85.3</v>
      </c>
      <c r="F133" s="27" t="n">
        <v>108402.447123302</v>
      </c>
      <c r="G133" s="27" t="n">
        <v>54389</v>
      </c>
      <c r="H133" s="1" t="n">
        <v>-54013.447123302</v>
      </c>
      <c r="K133" s="22"/>
      <c r="M133" s="23"/>
      <c r="P133" s="12" t="n">
        <v>5</v>
      </c>
      <c r="Q133" s="13" t="s">
        <v>100</v>
      </c>
      <c r="R133" s="13" t="n">
        <v>54.7</v>
      </c>
      <c r="S133" s="13" t="n">
        <v>35.9</v>
      </c>
      <c r="T133" s="13" t="n">
        <v>35.6</v>
      </c>
      <c r="U133" s="14" t="n">
        <v>53.1</v>
      </c>
      <c r="V133" s="14" t="n">
        <v>16.1</v>
      </c>
      <c r="W133" s="26" t="n">
        <v>54727</v>
      </c>
    </row>
    <row r="134" customFormat="false" ht="12.8" hidden="false" customHeight="false" outlineLevel="0" collapsed="false">
      <c r="A134" s="1" t="n">
        <v>60.6</v>
      </c>
      <c r="B134" s="1" t="n">
        <v>24.3</v>
      </c>
      <c r="C134" s="1" t="n">
        <v>35</v>
      </c>
      <c r="D134" s="1" t="n">
        <v>11.9</v>
      </c>
      <c r="E134" s="1" t="n">
        <v>83.6</v>
      </c>
      <c r="F134" s="27" t="n">
        <v>70089.0753304053</v>
      </c>
      <c r="G134" s="27" t="n">
        <v>103900</v>
      </c>
      <c r="H134" s="1" t="n">
        <v>33810.9246695947</v>
      </c>
      <c r="K134" s="22"/>
      <c r="M134" s="23"/>
      <c r="P134" s="12" t="n">
        <v>5</v>
      </c>
      <c r="Q134" s="13" t="s">
        <v>101</v>
      </c>
      <c r="R134" s="13" t="n">
        <v>59.2</v>
      </c>
      <c r="S134" s="13" t="n">
        <v>18.9</v>
      </c>
      <c r="T134" s="13" t="n">
        <v>34.3</v>
      </c>
      <c r="U134" s="14" t="n">
        <v>65.3</v>
      </c>
      <c r="V134" s="14" t="n">
        <v>25.8</v>
      </c>
      <c r="W134" s="26" t="n">
        <v>71448</v>
      </c>
    </row>
    <row r="135" customFormat="false" ht="12.8" hidden="false" customHeight="false" outlineLevel="0" collapsed="false">
      <c r="A135" s="1" t="n">
        <v>59.2</v>
      </c>
      <c r="B135" s="1" t="n">
        <v>36.2</v>
      </c>
      <c r="C135" s="1" t="n">
        <v>34.5</v>
      </c>
      <c r="D135" s="1" t="n">
        <v>9</v>
      </c>
      <c r="E135" s="1" t="n">
        <v>82.5</v>
      </c>
      <c r="F135" s="27" t="n">
        <v>-18941.2792972306</v>
      </c>
      <c r="G135" s="27" t="n">
        <v>47407</v>
      </c>
      <c r="H135" s="1" t="n">
        <v>66348.2792972306</v>
      </c>
      <c r="K135" s="22"/>
      <c r="M135" s="23"/>
      <c r="P135" s="12" t="n">
        <v>5</v>
      </c>
      <c r="Q135" s="13" t="s">
        <v>102</v>
      </c>
      <c r="R135" s="13" t="n">
        <v>61.5</v>
      </c>
      <c r="S135" s="13" t="n">
        <v>16.5</v>
      </c>
      <c r="T135" s="13" t="n">
        <v>31.8</v>
      </c>
      <c r="U135" s="14" t="n">
        <v>56.8</v>
      </c>
      <c r="V135" s="14" t="n">
        <v>31.6</v>
      </c>
      <c r="W135" s="26" t="n">
        <v>34703</v>
      </c>
    </row>
    <row r="136" customFormat="false" ht="12.8" hidden="false" customHeight="false" outlineLevel="0" collapsed="false">
      <c r="A136" s="1" t="n">
        <v>75.1</v>
      </c>
      <c r="B136" s="1" t="n">
        <v>27.3</v>
      </c>
      <c r="C136" s="1" t="n">
        <v>34.7</v>
      </c>
      <c r="D136" s="1" t="n">
        <v>10.5</v>
      </c>
      <c r="E136" s="1" t="n">
        <v>84</v>
      </c>
      <c r="F136" s="27" t="n">
        <v>-30922.7811623443</v>
      </c>
      <c r="G136" s="27" t="n">
        <v>55000</v>
      </c>
      <c r="H136" s="1" t="n">
        <v>85922.7811623443</v>
      </c>
      <c r="K136" s="22"/>
      <c r="M136" s="23"/>
      <c r="P136" s="12" t="n">
        <v>5</v>
      </c>
      <c r="Q136" s="13" t="s">
        <v>103</v>
      </c>
      <c r="R136" s="13" t="n">
        <v>52.3</v>
      </c>
      <c r="S136" s="13" t="n">
        <v>14</v>
      </c>
      <c r="T136" s="13" t="n">
        <v>34.5</v>
      </c>
      <c r="U136" s="14" t="n">
        <v>54.7</v>
      </c>
      <c r="V136" s="14" t="n">
        <v>19.7</v>
      </c>
      <c r="W136" s="26" t="n">
        <v>275257</v>
      </c>
    </row>
    <row r="137" customFormat="false" ht="12.8" hidden="false" customHeight="false" outlineLevel="0" collapsed="false">
      <c r="A137" s="1" t="n">
        <v>57.4</v>
      </c>
      <c r="B137" s="1" t="n">
        <v>26.4</v>
      </c>
      <c r="C137" s="1" t="n">
        <v>35.1</v>
      </c>
      <c r="D137" s="1" t="n">
        <v>48</v>
      </c>
      <c r="E137" s="1" t="n">
        <v>9.9</v>
      </c>
      <c r="F137" s="27" t="n">
        <v>60443.001457393</v>
      </c>
      <c r="G137" s="27" t="n">
        <v>86140</v>
      </c>
      <c r="H137" s="1" t="n">
        <v>25696.998542607</v>
      </c>
      <c r="K137" s="22"/>
      <c r="M137" s="23"/>
      <c r="P137" s="12" t="n">
        <v>5</v>
      </c>
      <c r="Q137" s="13" t="s">
        <v>104</v>
      </c>
      <c r="R137" s="13" t="n">
        <v>55.6</v>
      </c>
      <c r="S137" s="13" t="n">
        <v>18</v>
      </c>
      <c r="T137" s="13" t="n">
        <v>35.1</v>
      </c>
      <c r="U137" s="14" t="n">
        <v>51.2</v>
      </c>
      <c r="V137" s="14" t="n">
        <v>18.8</v>
      </c>
      <c r="W137" s="26" t="n">
        <v>45757</v>
      </c>
    </row>
    <row r="138" customFormat="false" ht="12.8" hidden="false" customHeight="false" outlineLevel="0" collapsed="false">
      <c r="A138" s="1" t="n">
        <v>55.9</v>
      </c>
      <c r="B138" s="1" t="n">
        <v>14.9</v>
      </c>
      <c r="C138" s="1" t="n">
        <v>33</v>
      </c>
      <c r="D138" s="1" t="n">
        <v>55.1</v>
      </c>
      <c r="E138" s="1" t="n">
        <v>17.8</v>
      </c>
      <c r="F138" s="27" t="n">
        <v>158639.460163701</v>
      </c>
      <c r="G138" s="27" t="n">
        <v>94602</v>
      </c>
      <c r="H138" s="1" t="n">
        <v>-64037.4601637009</v>
      </c>
      <c r="K138" s="22"/>
      <c r="M138" s="23"/>
      <c r="P138" s="12" t="n">
        <v>5</v>
      </c>
      <c r="Q138" s="13" t="s">
        <v>105</v>
      </c>
      <c r="R138" s="13" t="n">
        <v>55.8</v>
      </c>
      <c r="S138" s="13" t="n">
        <v>28.1</v>
      </c>
      <c r="T138" s="13" t="n">
        <v>34.4</v>
      </c>
      <c r="U138" s="14" t="n">
        <v>54.7</v>
      </c>
      <c r="V138" s="14" t="n">
        <v>24.2</v>
      </c>
      <c r="W138" s="26" t="n">
        <v>66217</v>
      </c>
    </row>
    <row r="139" customFormat="false" ht="12.8" hidden="false" customHeight="false" outlineLevel="0" collapsed="false">
      <c r="A139" s="1" t="n">
        <v>58.3</v>
      </c>
      <c r="B139" s="1" t="n">
        <v>23.9</v>
      </c>
      <c r="C139" s="1" t="n">
        <v>34.9</v>
      </c>
      <c r="D139" s="1" t="n">
        <v>57.9</v>
      </c>
      <c r="E139" s="1" t="n">
        <v>14.6</v>
      </c>
      <c r="F139" s="27" t="n">
        <v>95475.7168081102</v>
      </c>
      <c r="G139" s="27" t="n">
        <v>72874</v>
      </c>
      <c r="H139" s="1" t="n">
        <v>-22601.7168081102</v>
      </c>
      <c r="K139" s="22"/>
      <c r="M139" s="23"/>
      <c r="P139" s="12" t="n">
        <v>5</v>
      </c>
      <c r="Q139" s="13" t="s">
        <v>106</v>
      </c>
      <c r="R139" s="13" t="n">
        <v>62</v>
      </c>
      <c r="S139" s="13" t="n">
        <v>31.1</v>
      </c>
      <c r="T139" s="13" t="n">
        <v>35</v>
      </c>
      <c r="U139" s="14" t="n">
        <v>52.3</v>
      </c>
      <c r="V139" s="14" t="n">
        <v>36.1</v>
      </c>
      <c r="W139" s="26" t="n">
        <v>93118</v>
      </c>
    </row>
    <row r="140" customFormat="false" ht="12.8" hidden="false" customHeight="false" outlineLevel="0" collapsed="false">
      <c r="A140" s="1" t="n">
        <v>54.2</v>
      </c>
      <c r="B140" s="1" t="n">
        <v>12.4</v>
      </c>
      <c r="C140" s="1" t="n">
        <v>33.6</v>
      </c>
      <c r="D140" s="1" t="n">
        <v>60</v>
      </c>
      <c r="E140" s="1" t="n">
        <v>27.4</v>
      </c>
      <c r="F140" s="27" t="n">
        <v>208624.407405393</v>
      </c>
      <c r="G140" s="27" t="n">
        <v>83505</v>
      </c>
      <c r="H140" s="1" t="n">
        <v>-125119.407405393</v>
      </c>
      <c r="K140" s="22"/>
      <c r="M140" s="23"/>
      <c r="P140" s="12" t="n">
        <v>5</v>
      </c>
      <c r="Q140" s="13" t="s">
        <v>107</v>
      </c>
      <c r="R140" s="13" t="n">
        <v>64.9</v>
      </c>
      <c r="S140" s="13" t="n">
        <v>29.1</v>
      </c>
      <c r="T140" s="13" t="n">
        <v>35.1</v>
      </c>
      <c r="U140" s="14" t="n">
        <v>58.3</v>
      </c>
      <c r="V140" s="14" t="n">
        <v>22.1</v>
      </c>
      <c r="W140" s="26" t="n">
        <v>60681</v>
      </c>
    </row>
    <row r="141" customFormat="false" ht="12.8" hidden="false" customHeight="false" outlineLevel="0" collapsed="false">
      <c r="A141" s="1" t="n">
        <v>48</v>
      </c>
      <c r="B141" s="1" t="n">
        <v>9.4</v>
      </c>
      <c r="C141" s="1" t="n">
        <v>34.4</v>
      </c>
      <c r="D141" s="1" t="n">
        <v>53.8</v>
      </c>
      <c r="E141" s="1" t="n">
        <v>28.7</v>
      </c>
      <c r="F141" s="27" t="n">
        <v>258061.570790996</v>
      </c>
      <c r="G141" s="27" t="n">
        <v>188060</v>
      </c>
      <c r="H141" s="1" t="n">
        <v>-70001.5707909963</v>
      </c>
      <c r="K141" s="22"/>
      <c r="M141" s="23"/>
      <c r="P141" s="12" t="n">
        <v>5</v>
      </c>
      <c r="Q141" s="13" t="s">
        <v>108</v>
      </c>
      <c r="R141" s="13" t="n">
        <v>55.9</v>
      </c>
      <c r="S141" s="13" t="n">
        <v>15.7</v>
      </c>
      <c r="T141" s="13" t="n">
        <v>34.9</v>
      </c>
      <c r="U141" s="14" t="n">
        <v>61.2</v>
      </c>
      <c r="V141" s="14" t="n">
        <v>17.7</v>
      </c>
      <c r="W141" s="26" t="n">
        <v>55890</v>
      </c>
    </row>
    <row r="142" customFormat="false" ht="12.8" hidden="false" customHeight="false" outlineLevel="0" collapsed="false">
      <c r="A142" s="1" t="n">
        <v>44.8</v>
      </c>
      <c r="B142" s="1" t="n">
        <v>14.5</v>
      </c>
      <c r="C142" s="1" t="n">
        <v>34.8</v>
      </c>
      <c r="D142" s="1" t="n">
        <v>73.8</v>
      </c>
      <c r="E142" s="1" t="n">
        <v>24</v>
      </c>
      <c r="F142" s="27" t="n">
        <v>271666.031379315</v>
      </c>
      <c r="G142" s="27" t="n">
        <v>136480</v>
      </c>
      <c r="H142" s="1" t="n">
        <v>-135186.031379315</v>
      </c>
      <c r="K142" s="22"/>
      <c r="M142" s="23"/>
      <c r="P142" s="12" t="n">
        <v>5</v>
      </c>
      <c r="Q142" s="13" t="s">
        <v>109</v>
      </c>
      <c r="R142" s="13" t="n">
        <v>49</v>
      </c>
      <c r="S142" s="13" t="n">
        <v>16</v>
      </c>
      <c r="T142" s="13" t="n">
        <v>34.6</v>
      </c>
      <c r="U142" s="14" t="n">
        <v>51.5</v>
      </c>
      <c r="V142" s="14" t="n">
        <v>17.3</v>
      </c>
      <c r="W142" s="26" t="n">
        <v>89807</v>
      </c>
    </row>
    <row r="143" customFormat="false" ht="12.8" hidden="false" customHeight="false" outlineLevel="0" collapsed="false">
      <c r="A143" s="1" t="n">
        <v>51.5</v>
      </c>
      <c r="B143" s="1" t="n">
        <v>8.9</v>
      </c>
      <c r="C143" s="1" t="n">
        <v>35.5</v>
      </c>
      <c r="D143" s="1" t="n">
        <v>55</v>
      </c>
      <c r="E143" s="1" t="n">
        <v>23.9</v>
      </c>
      <c r="F143" s="27" t="n">
        <v>248210.943679665</v>
      </c>
      <c r="G143" s="27" t="n">
        <v>761325</v>
      </c>
      <c r="H143" s="1" t="n">
        <v>513114.056320335</v>
      </c>
      <c r="K143" s="22"/>
      <c r="M143" s="23"/>
      <c r="P143" s="12" t="n">
        <v>5</v>
      </c>
      <c r="Q143" s="13" t="s">
        <v>110</v>
      </c>
      <c r="R143" s="13" t="n">
        <v>57.8</v>
      </c>
      <c r="S143" s="13" t="n">
        <v>28.9</v>
      </c>
      <c r="T143" s="13" t="n">
        <v>34.4</v>
      </c>
      <c r="U143" s="14" t="n">
        <v>53.4</v>
      </c>
      <c r="V143" s="14" t="n">
        <v>19.9</v>
      </c>
      <c r="W143" s="26" t="n">
        <v>76184</v>
      </c>
    </row>
    <row r="144" customFormat="false" ht="12.8" hidden="false" customHeight="false" outlineLevel="0" collapsed="false">
      <c r="A144" s="1" t="n">
        <v>46.5</v>
      </c>
      <c r="B144" s="1" t="n">
        <v>10.5</v>
      </c>
      <c r="C144" s="1" t="n">
        <v>35.1</v>
      </c>
      <c r="D144" s="1" t="n">
        <v>52.8</v>
      </c>
      <c r="E144" s="1" t="n">
        <v>20.2</v>
      </c>
      <c r="F144" s="27" t="n">
        <v>251880.53096521</v>
      </c>
      <c r="G144" s="27" t="n">
        <v>230550</v>
      </c>
      <c r="H144" s="1" t="n">
        <v>-21330.5309652097</v>
      </c>
      <c r="K144" s="22"/>
      <c r="M144" s="23"/>
      <c r="P144" s="12" t="n">
        <v>6</v>
      </c>
      <c r="Q144" s="13" t="s">
        <v>42</v>
      </c>
      <c r="R144" s="13" t="n">
        <v>49.1</v>
      </c>
      <c r="S144" s="13" t="n">
        <v>11.7</v>
      </c>
      <c r="T144" s="13" t="n">
        <v>32.7</v>
      </c>
      <c r="U144" s="14" t="n">
        <v>55.3</v>
      </c>
      <c r="V144" s="14" t="n">
        <v>22.5</v>
      </c>
      <c r="W144" s="26" t="n">
        <v>273752</v>
      </c>
    </row>
    <row r="145" customFormat="false" ht="12.8" hidden="false" customHeight="false" outlineLevel="0" collapsed="false">
      <c r="A145" s="1" t="n">
        <v>67.5</v>
      </c>
      <c r="B145" s="1" t="n">
        <v>21.9</v>
      </c>
      <c r="C145" s="1" t="n">
        <v>34.9</v>
      </c>
      <c r="D145" s="1" t="n">
        <v>53.3</v>
      </c>
      <c r="E145" s="1" t="n">
        <v>22.7</v>
      </c>
      <c r="F145" s="27" t="n">
        <v>62518.2151768234</v>
      </c>
      <c r="G145" s="27" t="n">
        <v>101185</v>
      </c>
      <c r="H145" s="1" t="n">
        <v>38666.7848231766</v>
      </c>
      <c r="K145" s="22"/>
      <c r="M145" s="23"/>
      <c r="P145" s="12" t="n">
        <v>6</v>
      </c>
      <c r="Q145" s="13" t="s">
        <v>45</v>
      </c>
      <c r="R145" s="13" t="n">
        <v>61.1</v>
      </c>
      <c r="S145" s="13" t="n">
        <v>22.2</v>
      </c>
      <c r="T145" s="13" t="n">
        <v>32.2</v>
      </c>
      <c r="U145" s="14" t="n">
        <v>58.5</v>
      </c>
      <c r="V145" s="14" t="n">
        <v>30.1</v>
      </c>
      <c r="W145" s="26" t="n">
        <v>62381</v>
      </c>
    </row>
    <row r="146" customFormat="false" ht="12.8" hidden="false" customHeight="false" outlineLevel="0" collapsed="false">
      <c r="A146" s="1" t="n">
        <v>69.1</v>
      </c>
      <c r="B146" s="1" t="n">
        <v>33.1</v>
      </c>
      <c r="C146" s="1" t="n">
        <v>33.7</v>
      </c>
      <c r="D146" s="1" t="n">
        <v>51.2</v>
      </c>
      <c r="E146" s="1" t="n">
        <v>13.5</v>
      </c>
      <c r="F146" s="27" t="n">
        <v>-48740.7424440133</v>
      </c>
      <c r="G146" s="27" t="n">
        <v>52167</v>
      </c>
      <c r="H146" s="1" t="n">
        <v>100907.742444013</v>
      </c>
      <c r="K146" s="22"/>
      <c r="M146" s="23"/>
      <c r="P146" s="12" t="n">
        <v>6</v>
      </c>
      <c r="Q146" s="13" t="s">
        <v>46</v>
      </c>
      <c r="R146" s="13" t="n">
        <v>62.5</v>
      </c>
      <c r="S146" s="13" t="n">
        <v>21.7</v>
      </c>
      <c r="T146" s="13" t="n">
        <v>33.5</v>
      </c>
      <c r="U146" s="14" t="n">
        <v>63.8</v>
      </c>
      <c r="V146" s="14" t="n">
        <v>26.5</v>
      </c>
      <c r="W146" s="26" t="n">
        <v>54862</v>
      </c>
    </row>
    <row r="147" customFormat="false" ht="12.8" hidden="false" customHeight="false" outlineLevel="0" collapsed="false">
      <c r="A147" s="1" t="n">
        <v>65.4</v>
      </c>
      <c r="B147" s="1" t="n">
        <v>22.5</v>
      </c>
      <c r="C147" s="1" t="n">
        <v>35.1</v>
      </c>
      <c r="D147" s="1" t="n">
        <v>47</v>
      </c>
      <c r="E147" s="1" t="n">
        <v>8.4</v>
      </c>
      <c r="F147" s="27" t="n">
        <v>43986.1626274393</v>
      </c>
      <c r="G147" s="27" t="n">
        <v>59465</v>
      </c>
      <c r="H147" s="1" t="n">
        <v>15478.8373725607</v>
      </c>
      <c r="K147" s="22"/>
      <c r="M147" s="23"/>
      <c r="P147" s="12" t="n">
        <v>6</v>
      </c>
      <c r="Q147" s="13" t="s">
        <v>48</v>
      </c>
      <c r="R147" s="13" t="n">
        <v>64.4</v>
      </c>
      <c r="S147" s="13" t="n">
        <v>22.9</v>
      </c>
      <c r="T147" s="13" t="n">
        <v>33.1</v>
      </c>
      <c r="U147" s="14" t="n">
        <v>51.9</v>
      </c>
      <c r="V147" s="14" t="n">
        <v>21.7</v>
      </c>
      <c r="W147" s="26" t="n">
        <v>105191</v>
      </c>
    </row>
    <row r="148" customFormat="false" ht="12.8" hidden="false" customHeight="false" outlineLevel="0" collapsed="false">
      <c r="A148" s="1" t="n">
        <v>64.2</v>
      </c>
      <c r="B148" s="1" t="n">
        <v>20.8</v>
      </c>
      <c r="C148" s="1" t="n">
        <v>35.2</v>
      </c>
      <c r="D148" s="1" t="n">
        <v>43.8</v>
      </c>
      <c r="E148" s="1" t="n">
        <v>12.9</v>
      </c>
      <c r="F148" s="27" t="n">
        <v>62132.1567817204</v>
      </c>
      <c r="G148" s="27" t="n">
        <v>40444</v>
      </c>
      <c r="H148" s="1" t="n">
        <v>-21688.1567817204</v>
      </c>
      <c r="K148" s="22"/>
      <c r="M148" s="23"/>
      <c r="P148" s="12" t="n">
        <v>6</v>
      </c>
      <c r="Q148" s="13" t="s">
        <v>49</v>
      </c>
      <c r="R148" s="13" t="n">
        <v>61.2</v>
      </c>
      <c r="S148" s="13" t="n">
        <v>31.9</v>
      </c>
      <c r="T148" s="13" t="n">
        <v>34.3</v>
      </c>
      <c r="U148" s="14" t="n">
        <v>50.5</v>
      </c>
      <c r="V148" s="14" t="n">
        <v>16.9</v>
      </c>
      <c r="W148" s="26" t="n">
        <v>47825</v>
      </c>
    </row>
    <row r="149" customFormat="false" ht="12.8" hidden="false" customHeight="false" outlineLevel="0" collapsed="false">
      <c r="A149" s="1" t="n">
        <v>64.5</v>
      </c>
      <c r="B149" s="1" t="n">
        <v>21</v>
      </c>
      <c r="C149" s="1" t="n">
        <v>33.4</v>
      </c>
      <c r="D149" s="1" t="n">
        <v>50.5</v>
      </c>
      <c r="E149" s="1" t="n">
        <v>7.5</v>
      </c>
      <c r="F149" s="27" t="n">
        <v>53394.1172155477</v>
      </c>
      <c r="G149" s="27" t="n">
        <v>34540</v>
      </c>
      <c r="H149" s="1" t="n">
        <v>-18854.1172155477</v>
      </c>
      <c r="K149" s="22"/>
      <c r="M149" s="23"/>
      <c r="P149" s="12" t="n">
        <v>6</v>
      </c>
      <c r="Q149" s="13" t="s">
        <v>50</v>
      </c>
      <c r="R149" s="13" t="n">
        <v>77.3</v>
      </c>
      <c r="S149" s="13" t="n">
        <v>25.7</v>
      </c>
      <c r="T149" s="13" t="n">
        <v>34.4</v>
      </c>
      <c r="U149" s="14" t="n">
        <v>55.8</v>
      </c>
      <c r="V149" s="14" t="n">
        <v>30.8</v>
      </c>
      <c r="W149" s="26" t="n">
        <v>55896</v>
      </c>
    </row>
    <row r="150" customFormat="false" ht="12.8" hidden="false" customHeight="false" outlineLevel="0" collapsed="false">
      <c r="A150" s="1" t="n">
        <v>61.4</v>
      </c>
      <c r="B150" s="1" t="n">
        <v>29.8</v>
      </c>
      <c r="C150" s="1" t="n">
        <v>35.2</v>
      </c>
      <c r="D150" s="1" t="n">
        <v>46.1</v>
      </c>
      <c r="E150" s="1" t="n">
        <v>8.9</v>
      </c>
      <c r="F150" s="27" t="n">
        <v>11220.1916514287</v>
      </c>
      <c r="G150" s="27" t="n">
        <v>83868</v>
      </c>
      <c r="H150" s="1" t="n">
        <v>72647.8083485713</v>
      </c>
      <c r="K150" s="22"/>
      <c r="M150" s="23"/>
      <c r="P150" s="12" t="n">
        <v>6</v>
      </c>
      <c r="Q150" s="13" t="s">
        <v>51</v>
      </c>
      <c r="R150" s="13" t="n">
        <v>58.2</v>
      </c>
      <c r="S150" s="13" t="n">
        <v>26.7</v>
      </c>
      <c r="T150" s="13" t="n">
        <v>34</v>
      </c>
      <c r="U150" s="13" t="n">
        <v>34.2</v>
      </c>
      <c r="V150" s="13" t="n">
        <v>83.3</v>
      </c>
      <c r="W150" s="26" t="n">
        <v>87907</v>
      </c>
    </row>
    <row r="151" customFormat="false" ht="12.8" hidden="false" customHeight="false" outlineLevel="0" collapsed="false">
      <c r="A151" s="1" t="n">
        <v>63.4</v>
      </c>
      <c r="B151" s="1" t="n">
        <v>26</v>
      </c>
      <c r="C151" s="1" t="n">
        <v>36.1</v>
      </c>
      <c r="D151" s="1" t="n">
        <v>66.4</v>
      </c>
      <c r="E151" s="1" t="n">
        <v>17.7</v>
      </c>
      <c r="F151" s="27" t="n">
        <v>80650.046572719</v>
      </c>
      <c r="G151" s="27" t="n">
        <v>101465</v>
      </c>
      <c r="H151" s="1" t="n">
        <v>20814.953427281</v>
      </c>
      <c r="K151" s="22"/>
      <c r="M151" s="23"/>
      <c r="P151" s="12" t="n">
        <v>6</v>
      </c>
      <c r="Q151" s="13" t="s">
        <v>52</v>
      </c>
      <c r="R151" s="13" t="n">
        <v>55.5</v>
      </c>
      <c r="S151" s="13" t="n">
        <v>15</v>
      </c>
      <c r="T151" s="13" t="n">
        <v>33.3</v>
      </c>
      <c r="U151" s="13" t="n">
        <v>35.2</v>
      </c>
      <c r="V151" s="13" t="n">
        <v>80.8</v>
      </c>
      <c r="W151" s="26" t="n">
        <v>97264</v>
      </c>
    </row>
    <row r="152" customFormat="false" ht="12.8" hidden="false" customHeight="false" outlineLevel="0" collapsed="false">
      <c r="A152" s="1" t="n">
        <v>56.5</v>
      </c>
      <c r="B152" s="1" t="n">
        <v>16.7</v>
      </c>
      <c r="C152" s="1" t="n">
        <v>35.5</v>
      </c>
      <c r="D152" s="1" t="n">
        <v>66.3</v>
      </c>
      <c r="E152" s="1" t="n">
        <v>29.3</v>
      </c>
      <c r="F152" s="27" t="n">
        <v>191817.79828906</v>
      </c>
      <c r="G152" s="27" t="n">
        <v>136672</v>
      </c>
      <c r="H152" s="1" t="n">
        <v>-55145.7982890604</v>
      </c>
      <c r="K152" s="22"/>
      <c r="M152" s="23"/>
      <c r="P152" s="12" t="n">
        <v>6</v>
      </c>
      <c r="Q152" s="13" t="s">
        <v>53</v>
      </c>
      <c r="R152" s="13" t="n">
        <v>61</v>
      </c>
      <c r="S152" s="13" t="n">
        <v>25.4</v>
      </c>
      <c r="T152" s="13" t="n">
        <v>34.4</v>
      </c>
      <c r="U152" s="13" t="n">
        <v>36.6</v>
      </c>
      <c r="V152" s="13" t="n">
        <v>81.4</v>
      </c>
      <c r="W152" s="26" t="n">
        <v>75767</v>
      </c>
    </row>
    <row r="153" customFormat="false" ht="12.8" hidden="false" customHeight="false" outlineLevel="0" collapsed="false">
      <c r="A153" s="1" t="n">
        <v>53.1</v>
      </c>
      <c r="B153" s="1" t="n">
        <v>13.6</v>
      </c>
      <c r="C153" s="1" t="n">
        <v>34.7</v>
      </c>
      <c r="D153" s="1" t="n">
        <v>63.7</v>
      </c>
      <c r="E153" s="1" t="n">
        <v>21.1</v>
      </c>
      <c r="F153" s="27" t="n">
        <v>213198.707773935</v>
      </c>
      <c r="G153" s="27" t="n">
        <v>329576</v>
      </c>
      <c r="H153" s="1" t="n">
        <v>116377.292226065</v>
      </c>
      <c r="K153" s="22"/>
      <c r="M153" s="23"/>
      <c r="P153" s="12" t="n">
        <v>6</v>
      </c>
      <c r="Q153" s="13" t="s">
        <v>54</v>
      </c>
      <c r="R153" s="13" t="n">
        <v>55.2</v>
      </c>
      <c r="S153" s="13" t="n">
        <v>13.2</v>
      </c>
      <c r="T153" s="13" t="n">
        <v>33</v>
      </c>
      <c r="U153" s="13" t="n">
        <v>33.7</v>
      </c>
      <c r="V153" s="13" t="n">
        <v>82</v>
      </c>
      <c r="W153" s="26" t="n">
        <v>85792</v>
      </c>
    </row>
    <row r="154" customFormat="false" ht="12.8" hidden="false" customHeight="false" outlineLevel="0" collapsed="false">
      <c r="A154" s="1" t="n">
        <v>60.4</v>
      </c>
      <c r="B154" s="1" t="n">
        <v>18.4</v>
      </c>
      <c r="C154" s="1" t="n">
        <v>33.8</v>
      </c>
      <c r="D154" s="1" t="n">
        <v>61.2</v>
      </c>
      <c r="E154" s="1" t="n">
        <v>19.6</v>
      </c>
      <c r="F154" s="27" t="n">
        <v>128311.197954738</v>
      </c>
      <c r="G154" s="27" t="n">
        <v>68133</v>
      </c>
      <c r="H154" s="1" t="n">
        <v>-60178.1979547376</v>
      </c>
      <c r="K154" s="22"/>
      <c r="M154" s="23"/>
      <c r="P154" s="12" t="n">
        <v>6</v>
      </c>
      <c r="Q154" s="13" t="s">
        <v>56</v>
      </c>
      <c r="R154" s="13" t="n">
        <v>49.8</v>
      </c>
      <c r="S154" s="13" t="n">
        <v>8.4</v>
      </c>
      <c r="T154" s="13" t="n">
        <v>33.7</v>
      </c>
      <c r="U154" s="13" t="n">
        <v>32.2</v>
      </c>
      <c r="V154" s="13" t="n">
        <v>81.6</v>
      </c>
      <c r="W154" s="26" t="n">
        <v>196744</v>
      </c>
    </row>
    <row r="155" customFormat="false" ht="12.8" hidden="false" customHeight="false" outlineLevel="0" collapsed="false">
      <c r="A155" s="1" t="n">
        <v>62.2</v>
      </c>
      <c r="B155" s="1" t="n">
        <v>20.1</v>
      </c>
      <c r="C155" s="1" t="n">
        <v>34.9</v>
      </c>
      <c r="D155" s="1" t="n">
        <v>65.1</v>
      </c>
      <c r="E155" s="1" t="n">
        <v>18.9</v>
      </c>
      <c r="F155" s="27" t="n">
        <v>120466.928276229</v>
      </c>
      <c r="G155" s="27" t="n">
        <v>46931</v>
      </c>
      <c r="H155" s="1" t="n">
        <v>-73535.9282762289</v>
      </c>
      <c r="K155" s="22"/>
      <c r="M155" s="23"/>
      <c r="P155" s="12" t="n">
        <v>6</v>
      </c>
      <c r="Q155" s="13" t="s">
        <v>58</v>
      </c>
      <c r="R155" s="13" t="n">
        <v>46.9</v>
      </c>
      <c r="S155" s="13" t="n">
        <v>14.4</v>
      </c>
      <c r="T155" s="13" t="n">
        <v>34.2</v>
      </c>
      <c r="U155" s="13" t="n">
        <v>32.2</v>
      </c>
      <c r="V155" s="13" t="n">
        <v>81.7</v>
      </c>
      <c r="W155" s="26" t="n">
        <v>143779</v>
      </c>
    </row>
    <row r="156" customFormat="false" ht="12.8" hidden="false" customHeight="false" outlineLevel="0" collapsed="false">
      <c r="A156" s="1" t="n">
        <v>58.6</v>
      </c>
      <c r="B156" s="1" t="n">
        <v>17.6</v>
      </c>
      <c r="C156" s="1" t="n">
        <v>36.1</v>
      </c>
      <c r="D156" s="1" t="n">
        <v>58.7</v>
      </c>
      <c r="E156" s="1" t="n">
        <v>22.5</v>
      </c>
      <c r="F156" s="27" t="n">
        <v>157577.834167815</v>
      </c>
      <c r="G156" s="27" t="n">
        <v>120732</v>
      </c>
      <c r="H156" s="1" t="n">
        <v>-36845.8341678153</v>
      </c>
      <c r="K156" s="22"/>
      <c r="M156" s="23"/>
      <c r="P156" s="12" t="n">
        <v>6</v>
      </c>
      <c r="Q156" s="13" t="s">
        <v>60</v>
      </c>
      <c r="R156" s="13" t="n">
        <v>53.1</v>
      </c>
      <c r="S156" s="13" t="n">
        <v>9.5</v>
      </c>
      <c r="T156" s="13" t="n">
        <v>35.2</v>
      </c>
      <c r="U156" s="13" t="n">
        <v>34.1</v>
      </c>
      <c r="V156" s="13" t="n">
        <v>80.4</v>
      </c>
      <c r="W156" s="26" t="n">
        <v>823223</v>
      </c>
    </row>
    <row r="157" customFormat="false" ht="12.8" hidden="false" customHeight="false" outlineLevel="0" collapsed="false">
      <c r="A157" s="1" t="n">
        <v>46.8</v>
      </c>
      <c r="B157" s="1" t="n">
        <v>12.6</v>
      </c>
      <c r="C157" s="1" t="n">
        <v>35.5</v>
      </c>
      <c r="D157" s="1" t="n">
        <v>57</v>
      </c>
      <c r="E157" s="1" t="n">
        <v>27.4</v>
      </c>
      <c r="F157" s="27" t="n">
        <v>252948.343385571</v>
      </c>
      <c r="G157" s="27" t="n">
        <v>493557</v>
      </c>
      <c r="H157" s="1" t="n">
        <v>240608.656614429</v>
      </c>
      <c r="K157" s="22"/>
      <c r="M157" s="23"/>
      <c r="P157" s="12" t="n">
        <v>6</v>
      </c>
      <c r="Q157" s="13" t="s">
        <v>62</v>
      </c>
      <c r="R157" s="13" t="n">
        <v>48.2</v>
      </c>
      <c r="S157" s="13" t="n">
        <v>10.4</v>
      </c>
      <c r="T157" s="13" t="n">
        <v>34</v>
      </c>
      <c r="U157" s="13" t="n">
        <v>33.9</v>
      </c>
      <c r="V157" s="13" t="n">
        <v>80.9</v>
      </c>
      <c r="W157" s="26" t="n">
        <v>241725</v>
      </c>
    </row>
    <row r="158" customFormat="false" ht="12.8" hidden="false" customHeight="false" outlineLevel="0" collapsed="false">
      <c r="A158" s="1" t="n">
        <v>54</v>
      </c>
      <c r="B158" s="1" t="n">
        <v>15.9</v>
      </c>
      <c r="C158" s="1" t="n">
        <v>34.7</v>
      </c>
      <c r="D158" s="1" t="n">
        <v>55.1</v>
      </c>
      <c r="E158" s="1" t="n">
        <v>14.7</v>
      </c>
      <c r="F158" s="27" t="n">
        <v>169522.163586979</v>
      </c>
      <c r="G158" s="27" t="n">
        <v>211290</v>
      </c>
      <c r="H158" s="1" t="n">
        <v>41767.8364130211</v>
      </c>
      <c r="K158" s="22"/>
      <c r="M158" s="23"/>
      <c r="P158" s="12" t="n">
        <v>6</v>
      </c>
      <c r="Q158" s="13" t="s">
        <v>64</v>
      </c>
      <c r="R158" s="13" t="n">
        <v>69.9</v>
      </c>
      <c r="S158" s="13" t="n">
        <v>22</v>
      </c>
      <c r="T158" s="13" t="n">
        <v>33.5</v>
      </c>
      <c r="U158" s="13" t="n">
        <v>38.6</v>
      </c>
      <c r="V158" s="13" t="n">
        <v>82.9</v>
      </c>
      <c r="W158" s="26" t="n">
        <v>104533</v>
      </c>
    </row>
    <row r="159" customFormat="false" ht="12.8" hidden="false" customHeight="false" outlineLevel="0" collapsed="false">
      <c r="A159" s="1" t="n">
        <v>54.7</v>
      </c>
      <c r="B159" s="1" t="n">
        <v>21.4</v>
      </c>
      <c r="C159" s="1" t="n">
        <v>37.2</v>
      </c>
      <c r="D159" s="1" t="n">
        <v>50.3</v>
      </c>
      <c r="E159" s="1" t="n">
        <v>11.8</v>
      </c>
      <c r="F159" s="27" t="n">
        <v>131188.857470874</v>
      </c>
      <c r="G159" s="27" t="n">
        <v>45338</v>
      </c>
      <c r="H159" s="1" t="n">
        <v>-85850.8574708738</v>
      </c>
      <c r="K159" s="22"/>
      <c r="M159" s="23"/>
      <c r="P159" s="12" t="n">
        <v>6</v>
      </c>
      <c r="Q159" s="13" t="s">
        <v>66</v>
      </c>
      <c r="R159" s="13" t="n">
        <v>71.8</v>
      </c>
      <c r="S159" s="13" t="n">
        <v>31.9</v>
      </c>
      <c r="T159" s="13" t="n">
        <v>33.5</v>
      </c>
      <c r="U159" s="13" t="n">
        <v>39.4</v>
      </c>
      <c r="V159" s="13" t="n">
        <v>81.9</v>
      </c>
      <c r="W159" s="26" t="n">
        <v>53588</v>
      </c>
    </row>
    <row r="160" customFormat="false" ht="12.8" hidden="false" customHeight="false" outlineLevel="0" collapsed="false">
      <c r="A160" s="1" t="n">
        <v>53.8</v>
      </c>
      <c r="B160" s="1" t="n">
        <v>17.9</v>
      </c>
      <c r="C160" s="1" t="n">
        <v>36</v>
      </c>
      <c r="D160" s="1" t="n">
        <v>58.1</v>
      </c>
      <c r="E160" s="1" t="n">
        <v>15.2</v>
      </c>
      <c r="F160" s="27" t="n">
        <v>170832.904106602</v>
      </c>
      <c r="G160" s="27" t="n">
        <v>41033</v>
      </c>
      <c r="H160" s="1" t="n">
        <v>-129799.904106602</v>
      </c>
      <c r="K160" s="22"/>
      <c r="M160" s="23"/>
      <c r="P160" s="12" t="n">
        <v>6</v>
      </c>
      <c r="Q160" s="13" t="s">
        <v>67</v>
      </c>
      <c r="R160" s="13" t="n">
        <v>66.6</v>
      </c>
      <c r="S160" s="13" t="n">
        <v>23.7</v>
      </c>
      <c r="T160" s="13" t="n">
        <v>33.9</v>
      </c>
      <c r="U160" s="13" t="n">
        <v>36</v>
      </c>
      <c r="V160" s="13" t="n">
        <v>81</v>
      </c>
      <c r="W160" s="26" t="n">
        <v>60279</v>
      </c>
    </row>
    <row r="161" customFormat="false" ht="12.8" hidden="false" customHeight="false" outlineLevel="0" collapsed="false">
      <c r="A161" s="1" t="n">
        <v>55.5</v>
      </c>
      <c r="B161" s="1" t="n">
        <v>20.4</v>
      </c>
      <c r="C161" s="1" t="n">
        <v>35</v>
      </c>
      <c r="D161" s="1" t="n">
        <v>57.8</v>
      </c>
      <c r="E161" s="1" t="n">
        <v>23.5</v>
      </c>
      <c r="F161" s="27" t="n">
        <v>145213.510446899</v>
      </c>
      <c r="G161" s="27" t="n">
        <v>27288</v>
      </c>
      <c r="H161" s="1" t="n">
        <v>-117925.510446899</v>
      </c>
      <c r="K161" s="22"/>
      <c r="M161" s="23"/>
      <c r="P161" s="12" t="n">
        <v>6</v>
      </c>
      <c r="Q161" s="13" t="s">
        <v>69</v>
      </c>
      <c r="R161" s="13" t="n">
        <v>65.4</v>
      </c>
      <c r="S161" s="13" t="n">
        <v>21.9</v>
      </c>
      <c r="T161" s="13" t="n">
        <v>34.2</v>
      </c>
      <c r="U161" s="13" t="n">
        <v>35.7</v>
      </c>
      <c r="V161" s="13" t="n">
        <v>79.9</v>
      </c>
      <c r="W161" s="26" t="n">
        <v>41063</v>
      </c>
    </row>
    <row r="162" customFormat="false" ht="12.8" hidden="false" customHeight="false" outlineLevel="0" collapsed="false">
      <c r="A162" s="1" t="n">
        <v>66.8</v>
      </c>
      <c r="B162" s="1" t="n">
        <v>23.5</v>
      </c>
      <c r="C162" s="1" t="n">
        <v>34.4</v>
      </c>
      <c r="D162" s="1" t="n">
        <v>55.6</v>
      </c>
      <c r="E162" s="1" t="n">
        <v>15.6</v>
      </c>
      <c r="F162" s="27" t="n">
        <v>47858.5957877706</v>
      </c>
      <c r="G162" s="27" t="n">
        <v>34565</v>
      </c>
      <c r="H162" s="1" t="n">
        <v>-13293.5957877706</v>
      </c>
      <c r="K162" s="22"/>
      <c r="M162" s="23"/>
      <c r="P162" s="12" t="n">
        <v>6</v>
      </c>
      <c r="Q162" s="13" t="s">
        <v>75</v>
      </c>
      <c r="R162" s="13" t="n">
        <v>67.8</v>
      </c>
      <c r="S162" s="13" t="n">
        <v>18.7</v>
      </c>
      <c r="T162" s="13" t="n">
        <v>33.3</v>
      </c>
      <c r="U162" s="13" t="n">
        <v>31.8</v>
      </c>
      <c r="V162" s="13" t="n">
        <v>80.8</v>
      </c>
      <c r="W162" s="26" t="n">
        <v>35280</v>
      </c>
    </row>
    <row r="163" customFormat="false" ht="12.8" hidden="false" customHeight="false" outlineLevel="0" collapsed="false">
      <c r="A163" s="1" t="n">
        <v>57.9</v>
      </c>
      <c r="B163" s="1" t="n">
        <v>35.2</v>
      </c>
      <c r="C163" s="1" t="n">
        <v>33.4</v>
      </c>
      <c r="D163" s="1" t="n">
        <v>45.2</v>
      </c>
      <c r="E163" s="1" t="n">
        <v>12.5</v>
      </c>
      <c r="F163" s="27" t="n">
        <v>-20002.701174816</v>
      </c>
      <c r="G163" s="27" t="n">
        <v>98736</v>
      </c>
      <c r="H163" s="1" t="n">
        <v>118738.701174816</v>
      </c>
      <c r="K163" s="22"/>
      <c r="M163" s="23"/>
      <c r="P163" s="12" t="n">
        <v>6</v>
      </c>
      <c r="Q163" s="13" t="s">
        <v>76</v>
      </c>
      <c r="R163" s="13" t="n">
        <v>64</v>
      </c>
      <c r="S163" s="13" t="n">
        <v>29.4</v>
      </c>
      <c r="T163" s="13" t="n">
        <v>34.6</v>
      </c>
      <c r="U163" s="13" t="n">
        <v>36.3</v>
      </c>
      <c r="V163" s="13" t="n">
        <v>82.6</v>
      </c>
      <c r="W163" s="26" t="n">
        <v>86822</v>
      </c>
    </row>
    <row r="164" customFormat="false" ht="12.8" hidden="false" customHeight="false" outlineLevel="0" collapsed="false">
      <c r="A164" s="1" t="n">
        <v>56.2</v>
      </c>
      <c r="B164" s="1" t="n">
        <v>18</v>
      </c>
      <c r="C164" s="1" t="n">
        <v>34.5</v>
      </c>
      <c r="D164" s="1" t="n">
        <v>50.9</v>
      </c>
      <c r="E164" s="1" t="n">
        <v>14.3</v>
      </c>
      <c r="F164" s="27" t="n">
        <v>133475.875180823</v>
      </c>
      <c r="G164" s="27" t="n">
        <v>146284</v>
      </c>
      <c r="H164" s="1" t="n">
        <v>12808.124819177</v>
      </c>
      <c r="K164" s="22"/>
      <c r="M164" s="23"/>
      <c r="P164" s="12" t="n">
        <v>6</v>
      </c>
      <c r="Q164" s="13" t="s">
        <v>78</v>
      </c>
      <c r="R164" s="13" t="n">
        <v>64.8</v>
      </c>
      <c r="S164" s="13" t="n">
        <v>25.5</v>
      </c>
      <c r="T164" s="13" t="n">
        <v>34.9</v>
      </c>
      <c r="U164" s="13" t="n">
        <v>35.9</v>
      </c>
      <c r="V164" s="13" t="n">
        <v>80.4</v>
      </c>
      <c r="W164" s="26" t="n">
        <v>106341</v>
      </c>
    </row>
    <row r="165" customFormat="false" ht="12.8" hidden="false" customHeight="false" outlineLevel="0" collapsed="false">
      <c r="A165" s="1" t="n">
        <v>55.2</v>
      </c>
      <c r="B165" s="1" t="n">
        <v>19.5</v>
      </c>
      <c r="C165" s="1" t="n">
        <v>33.6</v>
      </c>
      <c r="D165" s="1" t="n">
        <v>49.6</v>
      </c>
      <c r="E165" s="1" t="n">
        <v>23.5</v>
      </c>
      <c r="F165" s="27" t="n">
        <v>128904.775727343</v>
      </c>
      <c r="G165" s="27" t="n">
        <v>60572</v>
      </c>
      <c r="H165" s="1" t="n">
        <v>-68332.7757273427</v>
      </c>
      <c r="K165" s="22"/>
      <c r="M165" s="23"/>
      <c r="P165" s="12" t="n">
        <v>6</v>
      </c>
      <c r="Q165" s="13" t="s">
        <v>80</v>
      </c>
      <c r="R165" s="13" t="n">
        <v>59.4</v>
      </c>
      <c r="S165" s="13" t="n">
        <v>16.7</v>
      </c>
      <c r="T165" s="13" t="n">
        <v>34.7</v>
      </c>
      <c r="U165" s="13" t="n">
        <v>35.3</v>
      </c>
      <c r="V165" s="13" t="n">
        <v>82.1</v>
      </c>
      <c r="W165" s="26" t="n">
        <v>140259</v>
      </c>
    </row>
    <row r="166" customFormat="false" ht="12.8" hidden="false" customHeight="false" outlineLevel="0" collapsed="false">
      <c r="A166" s="1" t="n">
        <v>54.4</v>
      </c>
      <c r="B166" s="1" t="n">
        <v>27.3</v>
      </c>
      <c r="C166" s="1" t="n">
        <v>36</v>
      </c>
      <c r="D166" s="1" t="n">
        <v>49.4</v>
      </c>
      <c r="E166" s="1" t="n">
        <v>19.6</v>
      </c>
      <c r="F166" s="27" t="n">
        <v>88245.7761976734</v>
      </c>
      <c r="G166" s="27" t="n">
        <v>38545</v>
      </c>
      <c r="H166" s="1" t="n">
        <v>-49700.7761976734</v>
      </c>
      <c r="K166" s="22"/>
      <c r="M166" s="23"/>
      <c r="P166" s="12" t="n">
        <v>6</v>
      </c>
      <c r="Q166" s="13" t="s">
        <v>81</v>
      </c>
      <c r="R166" s="13" t="n">
        <v>55.8</v>
      </c>
      <c r="S166" s="13" t="n">
        <v>14.5</v>
      </c>
      <c r="T166" s="13" t="n">
        <v>33.4</v>
      </c>
      <c r="U166" s="13" t="n">
        <v>35.8</v>
      </c>
      <c r="V166" s="13" t="n">
        <v>80.6</v>
      </c>
      <c r="W166" s="26" t="n">
        <v>346191</v>
      </c>
    </row>
    <row r="167" customFormat="false" ht="12.8" hidden="false" customHeight="false" outlineLevel="0" collapsed="false">
      <c r="A167" s="1" t="n">
        <v>54.7</v>
      </c>
      <c r="B167" s="1" t="n">
        <v>35.9</v>
      </c>
      <c r="C167" s="1" t="n">
        <v>35.6</v>
      </c>
      <c r="D167" s="1" t="n">
        <v>53.1</v>
      </c>
      <c r="E167" s="1" t="n">
        <v>16.1</v>
      </c>
      <c r="F167" s="27" t="n">
        <v>24538.7648121489</v>
      </c>
      <c r="G167" s="27" t="n">
        <v>54727</v>
      </c>
      <c r="H167" s="1" t="n">
        <v>30188.2351878511</v>
      </c>
      <c r="K167" s="22"/>
      <c r="M167" s="23"/>
      <c r="P167" s="12" t="n">
        <v>6</v>
      </c>
      <c r="Q167" s="13" t="s">
        <v>83</v>
      </c>
      <c r="R167" s="13" t="n">
        <v>64.4</v>
      </c>
      <c r="S167" s="13" t="n">
        <v>15.4</v>
      </c>
      <c r="T167" s="13" t="n">
        <v>34</v>
      </c>
      <c r="U167" s="13" t="n">
        <v>35.1</v>
      </c>
      <c r="V167" s="13" t="n">
        <v>80.2</v>
      </c>
      <c r="W167" s="26" t="n">
        <v>70324</v>
      </c>
    </row>
    <row r="168" customFormat="false" ht="12.8" hidden="false" customHeight="false" outlineLevel="0" collapsed="false">
      <c r="A168" s="1" t="n">
        <v>59.2</v>
      </c>
      <c r="B168" s="1" t="n">
        <v>18.9</v>
      </c>
      <c r="C168" s="1" t="n">
        <v>34.3</v>
      </c>
      <c r="D168" s="1" t="n">
        <v>65.3</v>
      </c>
      <c r="E168" s="1" t="n">
        <v>25.8</v>
      </c>
      <c r="F168" s="27" t="n">
        <v>148220.004772199</v>
      </c>
      <c r="G168" s="27" t="n">
        <v>71448</v>
      </c>
      <c r="H168" s="1" t="n">
        <v>-76772.0047721993</v>
      </c>
      <c r="K168" s="22"/>
      <c r="M168" s="23"/>
      <c r="P168" s="12" t="n">
        <v>6</v>
      </c>
      <c r="Q168" s="13" t="s">
        <v>84</v>
      </c>
      <c r="R168" s="13" t="n">
        <v>61.9</v>
      </c>
      <c r="S168" s="13" t="n">
        <v>20.2</v>
      </c>
      <c r="T168" s="13" t="n">
        <v>34.5</v>
      </c>
      <c r="U168" s="13" t="n">
        <v>33.5</v>
      </c>
      <c r="V168" s="13" t="n">
        <v>81.9</v>
      </c>
      <c r="W168" s="26" t="n">
        <v>48341</v>
      </c>
    </row>
    <row r="169" customFormat="false" ht="12.8" hidden="false" customHeight="false" outlineLevel="0" collapsed="false">
      <c r="A169" s="1" t="n">
        <v>61.5</v>
      </c>
      <c r="B169" s="1" t="n">
        <v>16.5</v>
      </c>
      <c r="C169" s="1" t="n">
        <v>31.8</v>
      </c>
      <c r="D169" s="1" t="n">
        <v>56.8</v>
      </c>
      <c r="E169" s="1" t="n">
        <v>31.6</v>
      </c>
      <c r="F169" s="27" t="n">
        <v>127399.668954313</v>
      </c>
      <c r="G169" s="27" t="n">
        <v>34703</v>
      </c>
      <c r="H169" s="1" t="n">
        <v>-92696.6689543126</v>
      </c>
      <c r="K169" s="22"/>
      <c r="M169" s="23"/>
      <c r="P169" s="12" t="n">
        <v>6</v>
      </c>
      <c r="Q169" s="13" t="s">
        <v>88</v>
      </c>
      <c r="R169" s="13" t="n">
        <v>60.9</v>
      </c>
      <c r="S169" s="13" t="n">
        <v>17.1</v>
      </c>
      <c r="T169" s="13" t="n">
        <v>35.5</v>
      </c>
      <c r="U169" s="13" t="n">
        <v>32.2</v>
      </c>
      <c r="V169" s="13" t="n">
        <v>78</v>
      </c>
      <c r="W169" s="26" t="n">
        <v>124948</v>
      </c>
    </row>
    <row r="170" customFormat="false" ht="12.8" hidden="false" customHeight="false" outlineLevel="0" collapsed="false">
      <c r="A170" s="1" t="n">
        <v>52.3</v>
      </c>
      <c r="B170" s="1" t="n">
        <v>14</v>
      </c>
      <c r="C170" s="1" t="n">
        <v>34.5</v>
      </c>
      <c r="D170" s="1" t="n">
        <v>54.7</v>
      </c>
      <c r="E170" s="1" t="n">
        <v>19.7</v>
      </c>
      <c r="F170" s="27" t="n">
        <v>195274.423658737</v>
      </c>
      <c r="G170" s="27" t="n">
        <v>275257</v>
      </c>
      <c r="H170" s="1" t="n">
        <v>79982.5763412635</v>
      </c>
      <c r="K170" s="22"/>
      <c r="M170" s="23"/>
      <c r="P170" s="12" t="n">
        <v>6</v>
      </c>
      <c r="Q170" s="13" t="s">
        <v>89</v>
      </c>
      <c r="R170" s="13" t="n">
        <v>49.8</v>
      </c>
      <c r="S170" s="13" t="n">
        <v>12.8</v>
      </c>
      <c r="T170" s="13" t="n">
        <v>35</v>
      </c>
      <c r="U170" s="13" t="n">
        <v>33.8</v>
      </c>
      <c r="V170" s="13" t="n">
        <v>78.5</v>
      </c>
      <c r="W170" s="26" t="n">
        <v>515154</v>
      </c>
    </row>
    <row r="171" customFormat="false" ht="12.8" hidden="false" customHeight="false" outlineLevel="0" collapsed="false">
      <c r="A171" s="1" t="n">
        <v>55.6</v>
      </c>
      <c r="B171" s="1" t="n">
        <v>18</v>
      </c>
      <c r="C171" s="1" t="n">
        <v>35.1</v>
      </c>
      <c r="D171" s="1" t="n">
        <v>51.2</v>
      </c>
      <c r="E171" s="1" t="n">
        <v>18.8</v>
      </c>
      <c r="F171" s="27" t="n">
        <v>145916.026604726</v>
      </c>
      <c r="G171" s="27" t="n">
        <v>45757</v>
      </c>
      <c r="H171" s="1" t="n">
        <v>-100159.026604726</v>
      </c>
      <c r="K171" s="22"/>
      <c r="M171" s="23"/>
      <c r="P171" s="12" t="n">
        <v>6</v>
      </c>
      <c r="Q171" s="13" t="s">
        <v>90</v>
      </c>
      <c r="R171" s="13" t="n">
        <v>56.6</v>
      </c>
      <c r="S171" s="13" t="n">
        <v>15.2</v>
      </c>
      <c r="T171" s="13" t="n">
        <v>34.5</v>
      </c>
      <c r="U171" s="13" t="n">
        <v>33.6</v>
      </c>
      <c r="V171" s="13" t="n">
        <v>80.5</v>
      </c>
      <c r="W171" s="26" t="n">
        <v>219422</v>
      </c>
    </row>
    <row r="172" customFormat="false" ht="12.8" hidden="false" customHeight="false" outlineLevel="0" collapsed="false">
      <c r="A172" s="1" t="n">
        <v>55.8</v>
      </c>
      <c r="B172" s="1" t="n">
        <v>28.1</v>
      </c>
      <c r="C172" s="1" t="n">
        <v>34.4</v>
      </c>
      <c r="D172" s="1" t="n">
        <v>54.7</v>
      </c>
      <c r="E172" s="1" t="n">
        <v>24.2</v>
      </c>
      <c r="F172" s="27" t="n">
        <v>78741.3892478088</v>
      </c>
      <c r="G172" s="27" t="n">
        <v>66217</v>
      </c>
      <c r="H172" s="1" t="n">
        <v>-12524.3892478088</v>
      </c>
      <c r="K172" s="22"/>
      <c r="M172" s="23"/>
      <c r="P172" s="12" t="n">
        <v>6</v>
      </c>
      <c r="Q172" s="13" t="s">
        <v>91</v>
      </c>
      <c r="R172" s="13" t="n">
        <v>56.8</v>
      </c>
      <c r="S172" s="13" t="n">
        <v>22.6</v>
      </c>
      <c r="T172" s="13" t="n">
        <v>36.7</v>
      </c>
      <c r="U172" s="13" t="n">
        <v>35.9</v>
      </c>
      <c r="V172" s="13" t="n">
        <v>76.6</v>
      </c>
      <c r="W172" s="26" t="n">
        <v>46165</v>
      </c>
    </row>
    <row r="173" customFormat="false" ht="12.8" hidden="false" customHeight="false" outlineLevel="0" collapsed="false">
      <c r="A173" s="1" t="n">
        <v>62</v>
      </c>
      <c r="B173" s="1" t="n">
        <v>31.1</v>
      </c>
      <c r="C173" s="1" t="n">
        <v>35</v>
      </c>
      <c r="D173" s="1" t="n">
        <v>52.3</v>
      </c>
      <c r="E173" s="1" t="n">
        <v>36.1</v>
      </c>
      <c r="F173" s="27" t="n">
        <v>37033.1335917094</v>
      </c>
      <c r="G173" s="27" t="n">
        <v>93118</v>
      </c>
      <c r="H173" s="1" t="n">
        <v>56084.8664082906</v>
      </c>
      <c r="K173" s="22"/>
      <c r="M173" s="23"/>
      <c r="P173" s="12" t="n">
        <v>6</v>
      </c>
      <c r="Q173" s="13" t="s">
        <v>92</v>
      </c>
      <c r="R173" s="13" t="n">
        <v>56.3</v>
      </c>
      <c r="S173" s="13" t="n">
        <v>15.3</v>
      </c>
      <c r="T173" s="13" t="n">
        <v>34.7</v>
      </c>
      <c r="U173" s="13" t="n">
        <v>34.6</v>
      </c>
      <c r="V173" s="13" t="n">
        <v>77.4</v>
      </c>
      <c r="W173" s="26" t="n">
        <v>42632</v>
      </c>
    </row>
    <row r="174" customFormat="false" ht="12.8" hidden="false" customHeight="false" outlineLevel="0" collapsed="false">
      <c r="A174" s="1" t="n">
        <v>64.9</v>
      </c>
      <c r="B174" s="1" t="n">
        <v>29.1</v>
      </c>
      <c r="C174" s="1" t="n">
        <v>35.1</v>
      </c>
      <c r="D174" s="1" t="n">
        <v>58.3</v>
      </c>
      <c r="E174" s="1" t="n">
        <v>22.1</v>
      </c>
      <c r="F174" s="27" t="n">
        <v>33468.3469292251</v>
      </c>
      <c r="G174" s="27" t="n">
        <v>60681</v>
      </c>
      <c r="H174" s="1" t="n">
        <v>27212.6530707749</v>
      </c>
      <c r="K174" s="22"/>
      <c r="M174" s="23"/>
      <c r="P174" s="12" t="n">
        <v>6</v>
      </c>
      <c r="Q174" s="13" t="s">
        <v>93</v>
      </c>
      <c r="R174" s="13" t="n">
        <v>57.1</v>
      </c>
      <c r="S174" s="13" t="n">
        <v>21.9</v>
      </c>
      <c r="T174" s="13" t="n">
        <v>33.7</v>
      </c>
      <c r="U174" s="13" t="n">
        <v>33.5</v>
      </c>
      <c r="V174" s="13" t="n">
        <v>82.8</v>
      </c>
      <c r="W174" s="26" t="n">
        <v>28248</v>
      </c>
    </row>
    <row r="175" customFormat="false" ht="12.8" hidden="false" customHeight="false" outlineLevel="0" collapsed="false">
      <c r="A175" s="1" t="n">
        <v>55.9</v>
      </c>
      <c r="B175" s="1" t="n">
        <v>15.7</v>
      </c>
      <c r="C175" s="1" t="n">
        <v>34.9</v>
      </c>
      <c r="D175" s="1" t="n">
        <v>61.2</v>
      </c>
      <c r="E175" s="1" t="n">
        <v>17.7</v>
      </c>
      <c r="F175" s="27" t="n">
        <v>176711.461398251</v>
      </c>
      <c r="G175" s="27" t="n">
        <v>55890</v>
      </c>
      <c r="H175" s="1" t="n">
        <v>-120821.461398251</v>
      </c>
      <c r="K175" s="22"/>
      <c r="M175" s="23"/>
      <c r="P175" s="12" t="n">
        <v>6</v>
      </c>
      <c r="Q175" s="13" t="s">
        <v>94</v>
      </c>
      <c r="R175" s="13" t="n">
        <v>70.8</v>
      </c>
      <c r="S175" s="13" t="n">
        <v>19.6</v>
      </c>
      <c r="T175" s="13" t="n">
        <v>34.5</v>
      </c>
      <c r="U175" s="13" t="n">
        <v>37.9</v>
      </c>
      <c r="V175" s="13" t="n">
        <v>84.3</v>
      </c>
      <c r="W175" s="26" t="n">
        <v>34529</v>
      </c>
    </row>
    <row r="176" customFormat="false" ht="12.8" hidden="false" customHeight="false" outlineLevel="0" collapsed="false">
      <c r="A176" s="1" t="n">
        <v>49</v>
      </c>
      <c r="B176" s="1" t="n">
        <v>16</v>
      </c>
      <c r="C176" s="1" t="n">
        <v>34.6</v>
      </c>
      <c r="D176" s="1" t="n">
        <v>51.5</v>
      </c>
      <c r="E176" s="1" t="n">
        <v>17.3</v>
      </c>
      <c r="F176" s="27" t="n">
        <v>190184.082490566</v>
      </c>
      <c r="G176" s="27" t="n">
        <v>89807</v>
      </c>
      <c r="H176" s="1" t="n">
        <v>-100377.082490566</v>
      </c>
      <c r="K176" s="22"/>
      <c r="M176" s="23"/>
      <c r="P176" s="12" t="n">
        <v>6</v>
      </c>
      <c r="Q176" s="13" t="s">
        <v>95</v>
      </c>
      <c r="R176" s="13" t="n">
        <v>63.7</v>
      </c>
      <c r="S176" s="13" t="n">
        <v>33.1</v>
      </c>
      <c r="T176" s="13" t="n">
        <v>32.3</v>
      </c>
      <c r="U176" s="13" t="n">
        <v>37.1</v>
      </c>
      <c r="V176" s="13" t="n">
        <v>80</v>
      </c>
      <c r="W176" s="26" t="n">
        <v>102689</v>
      </c>
    </row>
    <row r="177" customFormat="false" ht="12.8" hidden="false" customHeight="false" outlineLevel="0" collapsed="false">
      <c r="A177" s="1" t="n">
        <v>57.8</v>
      </c>
      <c r="B177" s="1" t="n">
        <v>28.9</v>
      </c>
      <c r="C177" s="1" t="n">
        <v>34.4</v>
      </c>
      <c r="D177" s="1" t="n">
        <v>53.4</v>
      </c>
      <c r="E177" s="1" t="n">
        <v>19.9</v>
      </c>
      <c r="F177" s="27" t="n">
        <v>55716.3119390974</v>
      </c>
      <c r="G177" s="27" t="n">
        <v>76184</v>
      </c>
      <c r="H177" s="1" t="n">
        <v>20467.6880609026</v>
      </c>
      <c r="K177" s="22"/>
      <c r="M177" s="23"/>
      <c r="P177" s="12" t="n">
        <v>6</v>
      </c>
      <c r="Q177" s="13" t="s">
        <v>97</v>
      </c>
      <c r="R177" s="13" t="n">
        <v>57.3</v>
      </c>
      <c r="S177" s="13" t="n">
        <v>18.6</v>
      </c>
      <c r="T177" s="13" t="n">
        <v>33.3</v>
      </c>
      <c r="U177" s="13" t="n">
        <v>37.4</v>
      </c>
      <c r="V177" s="13" t="n">
        <v>79.8</v>
      </c>
      <c r="W177" s="26" t="n">
        <v>149727</v>
      </c>
    </row>
    <row r="178" customFormat="false" ht="12.8" hidden="false" customHeight="false" outlineLevel="0" collapsed="false">
      <c r="A178" s="1" t="n">
        <v>49.1</v>
      </c>
      <c r="B178" s="1" t="n">
        <v>11.7</v>
      </c>
      <c r="C178" s="1" t="n">
        <v>32.7</v>
      </c>
      <c r="D178" s="1" t="n">
        <v>55.3</v>
      </c>
      <c r="E178" s="1" t="n">
        <v>22.5</v>
      </c>
      <c r="F178" s="27" t="n">
        <v>220329.988446281</v>
      </c>
      <c r="G178" s="27" t="n">
        <v>273752</v>
      </c>
      <c r="H178" s="1" t="n">
        <v>53422.0115537189</v>
      </c>
      <c r="K178" s="22"/>
      <c r="M178" s="23"/>
      <c r="P178" s="12" t="n">
        <v>6</v>
      </c>
      <c r="Q178" s="13" t="s">
        <v>98</v>
      </c>
      <c r="R178" s="13" t="n">
        <v>57</v>
      </c>
      <c r="S178" s="13" t="n">
        <v>18.2</v>
      </c>
      <c r="T178" s="13" t="n">
        <v>35.3</v>
      </c>
      <c r="U178" s="13" t="n">
        <v>33.6</v>
      </c>
      <c r="V178" s="13" t="n">
        <v>82.7</v>
      </c>
      <c r="W178" s="26" t="n">
        <v>62541</v>
      </c>
    </row>
    <row r="179" customFormat="false" ht="12.8" hidden="false" customHeight="false" outlineLevel="0" collapsed="false">
      <c r="A179" s="1" t="n">
        <v>61.1</v>
      </c>
      <c r="B179" s="1" t="n">
        <v>22.2</v>
      </c>
      <c r="C179" s="1" t="n">
        <v>32.2</v>
      </c>
      <c r="D179" s="1" t="n">
        <v>58.5</v>
      </c>
      <c r="E179" s="1" t="n">
        <v>30.1</v>
      </c>
      <c r="F179" s="27" t="n">
        <v>92290.0080155037</v>
      </c>
      <c r="G179" s="27" t="n">
        <v>62381</v>
      </c>
      <c r="H179" s="1" t="n">
        <v>-29909.0080155037</v>
      </c>
      <c r="K179" s="22"/>
      <c r="M179" s="23"/>
      <c r="P179" s="12" t="n">
        <v>6</v>
      </c>
      <c r="Q179" s="13" t="s">
        <v>99</v>
      </c>
      <c r="R179" s="13" t="n">
        <v>55.1</v>
      </c>
      <c r="S179" s="13" t="n">
        <v>24.8</v>
      </c>
      <c r="T179" s="13" t="n">
        <v>35.3</v>
      </c>
      <c r="U179" s="13" t="n">
        <v>32.8</v>
      </c>
      <c r="V179" s="13" t="n">
        <v>74.5</v>
      </c>
      <c r="W179" s="26" t="n">
        <v>40110</v>
      </c>
    </row>
    <row r="180" customFormat="false" ht="12.8" hidden="false" customHeight="false" outlineLevel="0" collapsed="false">
      <c r="A180" s="1" t="n">
        <v>62.5</v>
      </c>
      <c r="B180" s="1" t="n">
        <v>21.7</v>
      </c>
      <c r="C180" s="1" t="n">
        <v>33.5</v>
      </c>
      <c r="D180" s="1" t="n">
        <v>63.8</v>
      </c>
      <c r="E180" s="1" t="n">
        <v>26.5</v>
      </c>
      <c r="F180" s="27" t="n">
        <v>103365.873889234</v>
      </c>
      <c r="G180" s="27" t="n">
        <v>54862</v>
      </c>
      <c r="H180" s="1" t="n">
        <v>-48503.8738892342</v>
      </c>
      <c r="K180" s="22"/>
      <c r="M180" s="23"/>
      <c r="P180" s="12" t="n">
        <v>6</v>
      </c>
      <c r="Q180" s="13" t="s">
        <v>100</v>
      </c>
      <c r="R180" s="13" t="n">
        <v>54.1</v>
      </c>
      <c r="S180" s="13" t="n">
        <v>33.7</v>
      </c>
      <c r="T180" s="13" t="n">
        <v>34.2</v>
      </c>
      <c r="U180" s="13" t="n">
        <v>35.5</v>
      </c>
      <c r="V180" s="13" t="n">
        <v>78.3</v>
      </c>
      <c r="W180" s="26" t="n">
        <v>55436</v>
      </c>
    </row>
    <row r="181" customFormat="false" ht="12.8" hidden="false" customHeight="false" outlineLevel="0" collapsed="false">
      <c r="A181" s="1" t="n">
        <v>64.4</v>
      </c>
      <c r="B181" s="1" t="n">
        <v>22.9</v>
      </c>
      <c r="C181" s="1" t="n">
        <v>33.1</v>
      </c>
      <c r="D181" s="1" t="n">
        <v>51.9</v>
      </c>
      <c r="E181" s="1" t="n">
        <v>21.7</v>
      </c>
      <c r="F181" s="27" t="n">
        <v>55471.7641525673</v>
      </c>
      <c r="G181" s="27" t="n">
        <v>105191</v>
      </c>
      <c r="H181" s="1" t="n">
        <v>49719.2358474327</v>
      </c>
      <c r="K181" s="22"/>
      <c r="M181" s="23"/>
      <c r="P181" s="12" t="n">
        <v>6</v>
      </c>
      <c r="Q181" s="13" t="s">
        <v>101</v>
      </c>
      <c r="R181" s="13" t="n">
        <v>61.4</v>
      </c>
      <c r="S181" s="13" t="n">
        <v>18.3</v>
      </c>
      <c r="T181" s="13" t="n">
        <v>33.3</v>
      </c>
      <c r="U181" s="13" t="n">
        <v>35.3</v>
      </c>
      <c r="V181" s="13" t="n">
        <v>79</v>
      </c>
      <c r="W181" s="26" t="n">
        <v>73494</v>
      </c>
    </row>
    <row r="182" customFormat="false" ht="12.8" hidden="false" customHeight="false" outlineLevel="0" collapsed="false">
      <c r="A182" s="1" t="n">
        <v>61.2</v>
      </c>
      <c r="B182" s="1" t="n">
        <v>31.9</v>
      </c>
      <c r="C182" s="1" t="n">
        <v>34.3</v>
      </c>
      <c r="D182" s="1" t="n">
        <v>50.5</v>
      </c>
      <c r="E182" s="1" t="n">
        <v>16.9</v>
      </c>
      <c r="F182" s="27" t="n">
        <v>7237.20165023615</v>
      </c>
      <c r="G182" s="27" t="n">
        <v>47825</v>
      </c>
      <c r="H182" s="1" t="n">
        <v>40587.7983497639</v>
      </c>
      <c r="K182" s="22"/>
      <c r="M182" s="23"/>
      <c r="P182" s="12" t="n">
        <v>6</v>
      </c>
      <c r="Q182" s="13" t="s">
        <v>102</v>
      </c>
      <c r="R182" s="13" t="n">
        <v>66.1</v>
      </c>
      <c r="S182" s="13" t="n">
        <v>15.5</v>
      </c>
      <c r="T182" s="13" t="n">
        <v>30.2</v>
      </c>
      <c r="U182" s="13" t="n">
        <v>31.6</v>
      </c>
      <c r="V182" s="13" t="n">
        <v>76.9</v>
      </c>
      <c r="W182" s="26" t="n">
        <v>35562</v>
      </c>
    </row>
    <row r="183" customFormat="false" ht="12.8" hidden="false" customHeight="false" outlineLevel="0" collapsed="false">
      <c r="A183" s="1" t="n">
        <v>77.3</v>
      </c>
      <c r="B183" s="1" t="n">
        <v>25.7</v>
      </c>
      <c r="C183" s="1" t="n">
        <v>34.4</v>
      </c>
      <c r="D183" s="1" t="n">
        <v>55.8</v>
      </c>
      <c r="E183" s="1" t="n">
        <v>30.8</v>
      </c>
      <c r="F183" s="27" t="n">
        <v>-6200.7933577348</v>
      </c>
      <c r="G183" s="27" t="n">
        <v>55896</v>
      </c>
      <c r="H183" s="1" t="n">
        <v>62096.7933577348</v>
      </c>
      <c r="K183" s="22"/>
      <c r="M183" s="23"/>
      <c r="P183" s="12" t="n">
        <v>6</v>
      </c>
      <c r="Q183" s="13" t="s">
        <v>103</v>
      </c>
      <c r="R183" s="13" t="n">
        <v>55.4</v>
      </c>
      <c r="S183" s="13" t="n">
        <v>19.3</v>
      </c>
      <c r="T183" s="13" t="n">
        <v>34.3</v>
      </c>
      <c r="U183" s="13" t="n">
        <v>36.5</v>
      </c>
      <c r="V183" s="13" t="n">
        <v>82.3</v>
      </c>
      <c r="W183" s="26" t="n">
        <v>286132</v>
      </c>
    </row>
    <row r="184" customFormat="false" ht="12.8" hidden="false" customHeight="false" outlineLevel="0" collapsed="false">
      <c r="A184" s="1" t="n">
        <v>58.2</v>
      </c>
      <c r="B184" s="1" t="n">
        <v>26.7</v>
      </c>
      <c r="C184" s="1" t="n">
        <v>34</v>
      </c>
      <c r="D184" s="1" t="n">
        <v>34.2</v>
      </c>
      <c r="E184" s="1" t="n">
        <v>83.3</v>
      </c>
      <c r="F184" s="27" t="n">
        <v>98431.012902347</v>
      </c>
      <c r="G184" s="27" t="n">
        <v>87907</v>
      </c>
      <c r="H184" s="1" t="n">
        <v>-10524.012902347</v>
      </c>
      <c r="K184" s="22"/>
      <c r="M184" s="23"/>
      <c r="P184" s="12" t="n">
        <v>6</v>
      </c>
      <c r="Q184" s="13" t="s">
        <v>104</v>
      </c>
      <c r="R184" s="13" t="n">
        <v>58.9</v>
      </c>
      <c r="S184" s="13" t="n">
        <v>26.2</v>
      </c>
      <c r="T184" s="13" t="n">
        <v>36.4</v>
      </c>
      <c r="U184" s="13" t="n">
        <v>39.1</v>
      </c>
      <c r="V184" s="13" t="n">
        <v>83.3</v>
      </c>
      <c r="W184" s="26" t="n">
        <v>46552</v>
      </c>
    </row>
    <row r="185" customFormat="false" ht="12.8" hidden="false" customHeight="false" outlineLevel="0" collapsed="false">
      <c r="A185" s="1" t="n">
        <v>55.5</v>
      </c>
      <c r="B185" s="1" t="n">
        <v>15</v>
      </c>
      <c r="C185" s="1" t="n">
        <v>33.3</v>
      </c>
      <c r="D185" s="1" t="n">
        <v>35.2</v>
      </c>
      <c r="E185" s="1" t="n">
        <v>80.8</v>
      </c>
      <c r="F185" s="27" t="n">
        <v>191854.208562254</v>
      </c>
      <c r="G185" s="27" t="n">
        <v>97264</v>
      </c>
      <c r="H185" s="1" t="n">
        <v>-94590.2085622539</v>
      </c>
      <c r="K185" s="22"/>
      <c r="M185" s="23"/>
      <c r="P185" s="12" t="n">
        <v>6</v>
      </c>
      <c r="Q185" s="13" t="s">
        <v>105</v>
      </c>
      <c r="R185" s="13" t="n">
        <v>57.7</v>
      </c>
      <c r="S185" s="13" t="n">
        <v>26.8</v>
      </c>
      <c r="T185" s="13" t="n">
        <v>35.4</v>
      </c>
      <c r="U185" s="13" t="n">
        <v>34.6</v>
      </c>
      <c r="V185" s="13" t="n">
        <v>83.1</v>
      </c>
      <c r="W185" s="26" t="n">
        <v>68580</v>
      </c>
    </row>
    <row r="186" customFormat="false" ht="12.8" hidden="false" customHeight="false" outlineLevel="0" collapsed="false">
      <c r="A186" s="1" t="n">
        <v>61</v>
      </c>
      <c r="B186" s="1" t="n">
        <v>25.4</v>
      </c>
      <c r="C186" s="1" t="n">
        <v>34.4</v>
      </c>
      <c r="D186" s="1" t="n">
        <v>36.6</v>
      </c>
      <c r="E186" s="1" t="n">
        <v>81.4</v>
      </c>
      <c r="F186" s="27" t="n">
        <v>98470.0779156547</v>
      </c>
      <c r="G186" s="27" t="n">
        <v>75767</v>
      </c>
      <c r="H186" s="1" t="n">
        <v>-22703.0779156547</v>
      </c>
      <c r="K186" s="22"/>
      <c r="M186" s="23"/>
      <c r="P186" s="12" t="n">
        <v>6</v>
      </c>
      <c r="Q186" s="13" t="s">
        <v>106</v>
      </c>
      <c r="R186" s="13" t="n">
        <v>62.1</v>
      </c>
      <c r="S186" s="13" t="n">
        <v>36.2</v>
      </c>
      <c r="T186" s="13" t="n">
        <v>33.2</v>
      </c>
      <c r="U186" s="13" t="n">
        <v>38.8</v>
      </c>
      <c r="V186" s="13" t="n">
        <v>83.4</v>
      </c>
      <c r="W186" s="26" t="n">
        <v>93665</v>
      </c>
    </row>
    <row r="187" customFormat="false" ht="12.8" hidden="false" customHeight="false" outlineLevel="0" collapsed="false">
      <c r="A187" s="1" t="n">
        <v>55.2</v>
      </c>
      <c r="B187" s="1" t="n">
        <v>13.2</v>
      </c>
      <c r="C187" s="1" t="n">
        <v>33</v>
      </c>
      <c r="D187" s="1" t="n">
        <v>33.7</v>
      </c>
      <c r="E187" s="1" t="n">
        <v>82</v>
      </c>
      <c r="F187" s="27" t="n">
        <v>202979.468692574</v>
      </c>
      <c r="G187" s="27" t="n">
        <v>85792</v>
      </c>
      <c r="H187" s="1" t="n">
        <v>-117187.468692574</v>
      </c>
      <c r="K187" s="22"/>
      <c r="M187" s="23"/>
      <c r="P187" s="12" t="n">
        <v>6</v>
      </c>
      <c r="Q187" s="13" t="s">
        <v>107</v>
      </c>
      <c r="R187" s="13" t="n">
        <v>65.5</v>
      </c>
      <c r="S187" s="13" t="n">
        <v>29.4</v>
      </c>
      <c r="T187" s="13" t="n">
        <v>34.1</v>
      </c>
      <c r="U187" s="13" t="n">
        <v>38.2</v>
      </c>
      <c r="V187" s="13" t="n">
        <v>81</v>
      </c>
      <c r="W187" s="26" t="n">
        <v>61836</v>
      </c>
    </row>
    <row r="188" customFormat="false" ht="12.8" hidden="false" customHeight="false" outlineLevel="0" collapsed="false">
      <c r="A188" s="1" t="n">
        <v>49.8</v>
      </c>
      <c r="B188" s="1" t="n">
        <v>8.4</v>
      </c>
      <c r="C188" s="1" t="n">
        <v>33.7</v>
      </c>
      <c r="D188" s="1" t="n">
        <v>32.2</v>
      </c>
      <c r="E188" s="1" t="n">
        <v>81.6</v>
      </c>
      <c r="F188" s="27" t="n">
        <v>267424.44221989</v>
      </c>
      <c r="G188" s="27" t="n">
        <v>196744</v>
      </c>
      <c r="H188" s="1" t="n">
        <v>-70680.4422198895</v>
      </c>
      <c r="K188" s="22"/>
      <c r="M188" s="23"/>
      <c r="P188" s="12" t="n">
        <v>6</v>
      </c>
      <c r="Q188" s="13" t="s">
        <v>108</v>
      </c>
      <c r="R188" s="13" t="n">
        <v>56.6</v>
      </c>
      <c r="S188" s="13" t="n">
        <v>19.3</v>
      </c>
      <c r="T188" s="13" t="n">
        <v>34.7</v>
      </c>
      <c r="U188" s="13" t="n">
        <v>36.8</v>
      </c>
      <c r="V188" s="13" t="n">
        <v>84.2</v>
      </c>
      <c r="W188" s="26" t="n">
        <v>57996</v>
      </c>
    </row>
    <row r="189" customFormat="false" ht="12.8" hidden="false" customHeight="false" outlineLevel="0" collapsed="false">
      <c r="A189" s="1" t="n">
        <v>46.9</v>
      </c>
      <c r="B189" s="1" t="n">
        <v>14.4</v>
      </c>
      <c r="C189" s="1" t="n">
        <v>34.2</v>
      </c>
      <c r="D189" s="1" t="n">
        <v>32.2</v>
      </c>
      <c r="E189" s="1" t="n">
        <v>81.7</v>
      </c>
      <c r="F189" s="27" t="n">
        <v>242344.718415869</v>
      </c>
      <c r="G189" s="27" t="n">
        <v>143779</v>
      </c>
      <c r="H189" s="1" t="n">
        <v>-98565.7184158687</v>
      </c>
      <c r="K189" s="22"/>
      <c r="M189" s="23"/>
      <c r="P189" s="12" t="n">
        <v>6</v>
      </c>
      <c r="Q189" s="13" t="s">
        <v>109</v>
      </c>
      <c r="R189" s="13" t="n">
        <v>55.1</v>
      </c>
      <c r="S189" s="13" t="n">
        <v>19.6</v>
      </c>
      <c r="T189" s="13" t="n">
        <v>34.7</v>
      </c>
      <c r="U189" s="13" t="n">
        <v>38.7</v>
      </c>
      <c r="V189" s="13" t="n">
        <v>86.1</v>
      </c>
      <c r="W189" s="26" t="n">
        <v>92510</v>
      </c>
    </row>
    <row r="190" customFormat="false" ht="12.8" hidden="false" customHeight="false" outlineLevel="0" collapsed="false">
      <c r="A190" s="1" t="n">
        <v>53.1</v>
      </c>
      <c r="B190" s="1" t="n">
        <v>9.5</v>
      </c>
      <c r="C190" s="1" t="n">
        <v>35.2</v>
      </c>
      <c r="D190" s="1" t="n">
        <v>34.1</v>
      </c>
      <c r="E190" s="1" t="n">
        <v>80.4</v>
      </c>
      <c r="F190" s="27" t="n">
        <v>254742.279631889</v>
      </c>
      <c r="G190" s="27" t="n">
        <v>823223</v>
      </c>
      <c r="H190" s="1" t="n">
        <v>568480.720368111</v>
      </c>
      <c r="K190" s="22"/>
      <c r="M190" s="23"/>
      <c r="P190" s="12" t="n">
        <v>6</v>
      </c>
      <c r="Q190" s="13" t="s">
        <v>110</v>
      </c>
      <c r="R190" s="13" t="n">
        <v>60.1</v>
      </c>
      <c r="S190" s="13" t="n">
        <v>24.5</v>
      </c>
      <c r="T190" s="13" t="n">
        <v>34.2</v>
      </c>
      <c r="U190" s="13" t="n">
        <v>35.8</v>
      </c>
      <c r="V190" s="13" t="n">
        <v>89.3</v>
      </c>
      <c r="W190" s="26" t="n">
        <v>78124</v>
      </c>
    </row>
    <row r="191" customFormat="false" ht="12.8" hidden="false" customHeight="false" outlineLevel="0" collapsed="false">
      <c r="A191" s="1" t="n">
        <v>48.2</v>
      </c>
      <c r="B191" s="1" t="n">
        <v>10.4</v>
      </c>
      <c r="C191" s="1" t="n">
        <v>34</v>
      </c>
      <c r="D191" s="1" t="n">
        <v>33.9</v>
      </c>
      <c r="E191" s="1" t="n">
        <v>80.9</v>
      </c>
      <c r="F191" s="27" t="n">
        <v>265566.864129922</v>
      </c>
      <c r="G191" s="27" t="n">
        <v>241725</v>
      </c>
      <c r="H191" s="1" t="n">
        <v>-23841.8641299225</v>
      </c>
      <c r="K191" s="22"/>
      <c r="M191" s="23"/>
      <c r="P191" s="12" t="n">
        <v>7</v>
      </c>
      <c r="Q191" s="13" t="s">
        <v>42</v>
      </c>
      <c r="R191" s="13" t="n">
        <v>53.5</v>
      </c>
      <c r="S191" s="13" t="n">
        <v>13.5</v>
      </c>
      <c r="T191" s="13" t="n">
        <v>32.4</v>
      </c>
      <c r="U191" s="13" t="n">
        <v>32.6</v>
      </c>
      <c r="V191" s="13" t="n">
        <v>84.4</v>
      </c>
      <c r="W191" s="26" t="n">
        <v>285581</v>
      </c>
    </row>
    <row r="192" customFormat="false" ht="12.8" hidden="false" customHeight="false" outlineLevel="0" collapsed="false">
      <c r="A192" s="1" t="n">
        <v>69.9</v>
      </c>
      <c r="B192" s="1" t="n">
        <v>22</v>
      </c>
      <c r="C192" s="1" t="n">
        <v>33.5</v>
      </c>
      <c r="D192" s="1" t="n">
        <v>38.6</v>
      </c>
      <c r="E192" s="1" t="n">
        <v>82.9</v>
      </c>
      <c r="F192" s="27" t="n">
        <v>76187.2462634579</v>
      </c>
      <c r="G192" s="27" t="n">
        <v>104533</v>
      </c>
      <c r="H192" s="1" t="n">
        <v>28345.7537365421</v>
      </c>
      <c r="K192" s="22"/>
      <c r="M192" s="23"/>
      <c r="P192" s="12" t="n">
        <v>7</v>
      </c>
      <c r="Q192" s="13" t="s">
        <v>45</v>
      </c>
      <c r="R192" s="13" t="n">
        <v>61.4</v>
      </c>
      <c r="S192" s="13" t="n">
        <v>28.4</v>
      </c>
      <c r="T192" s="13" t="n">
        <v>33.5</v>
      </c>
      <c r="U192" s="13" t="n">
        <v>34.2</v>
      </c>
      <c r="V192" s="13" t="n">
        <v>84.8</v>
      </c>
      <c r="W192" s="26" t="n">
        <v>64474</v>
      </c>
    </row>
    <row r="193" customFormat="false" ht="12.8" hidden="false" customHeight="false" outlineLevel="0" collapsed="false">
      <c r="A193" s="1" t="n">
        <v>71.8</v>
      </c>
      <c r="B193" s="1" t="n">
        <v>31.9</v>
      </c>
      <c r="C193" s="1" t="n">
        <v>33.5</v>
      </c>
      <c r="D193" s="1" t="n">
        <v>39.4</v>
      </c>
      <c r="E193" s="1" t="n">
        <v>81.9</v>
      </c>
      <c r="F193" s="27" t="n">
        <v>-5173.27966382675</v>
      </c>
      <c r="G193" s="27" t="n">
        <v>53588</v>
      </c>
      <c r="H193" s="1" t="n">
        <v>58761.2796638268</v>
      </c>
      <c r="K193" s="22"/>
      <c r="M193" s="23"/>
      <c r="P193" s="12" t="n">
        <v>7</v>
      </c>
      <c r="Q193" s="13" t="s">
        <v>46</v>
      </c>
      <c r="R193" s="13" t="n">
        <v>63.7</v>
      </c>
      <c r="S193" s="13" t="n">
        <v>22.2</v>
      </c>
      <c r="T193" s="13" t="n">
        <v>34</v>
      </c>
      <c r="U193" s="13" t="n">
        <v>31.4</v>
      </c>
      <c r="V193" s="13" t="n">
        <v>87.1</v>
      </c>
      <c r="W193" s="26" t="n">
        <v>56283</v>
      </c>
    </row>
    <row r="194" customFormat="false" ht="12.8" hidden="false" customHeight="false" outlineLevel="0" collapsed="false">
      <c r="A194" s="1" t="n">
        <v>66.6</v>
      </c>
      <c r="B194" s="1" t="n">
        <v>23.7</v>
      </c>
      <c r="C194" s="1" t="n">
        <v>33.9</v>
      </c>
      <c r="D194" s="1" t="n">
        <v>36</v>
      </c>
      <c r="E194" s="1" t="n">
        <v>81</v>
      </c>
      <c r="F194" s="27" t="n">
        <v>76928.7327895791</v>
      </c>
      <c r="G194" s="27" t="n">
        <v>60279</v>
      </c>
      <c r="H194" s="1" t="n">
        <v>-16649.7327895791</v>
      </c>
      <c r="K194" s="22"/>
      <c r="M194" s="23"/>
      <c r="P194" s="12" t="n">
        <v>7</v>
      </c>
      <c r="Q194" s="13" t="s">
        <v>48</v>
      </c>
      <c r="R194" s="13" t="n">
        <v>64.1</v>
      </c>
      <c r="S194" s="13" t="n">
        <v>24.4</v>
      </c>
      <c r="T194" s="13" t="n">
        <v>32.5</v>
      </c>
      <c r="U194" s="13" t="n">
        <v>33.4</v>
      </c>
      <c r="V194" s="13" t="n">
        <v>86</v>
      </c>
      <c r="W194" s="26" t="n">
        <v>109889</v>
      </c>
    </row>
    <row r="195" customFormat="false" ht="12.8" hidden="false" customHeight="false" outlineLevel="0" collapsed="false">
      <c r="A195" s="1" t="n">
        <v>65.4</v>
      </c>
      <c r="B195" s="1" t="n">
        <v>21.9</v>
      </c>
      <c r="C195" s="1" t="n">
        <v>34.2</v>
      </c>
      <c r="D195" s="1" t="n">
        <v>35.7</v>
      </c>
      <c r="E195" s="1" t="n">
        <v>79.9</v>
      </c>
      <c r="F195" s="27" t="n">
        <v>96562.3026543763</v>
      </c>
      <c r="G195" s="27" t="n">
        <v>41063</v>
      </c>
      <c r="H195" s="1" t="n">
        <v>-55499.3026543763</v>
      </c>
      <c r="K195" s="22"/>
      <c r="M195" s="23"/>
      <c r="P195" s="12" t="n">
        <v>7</v>
      </c>
      <c r="Q195" s="13" t="s">
        <v>49</v>
      </c>
      <c r="R195" s="13" t="n">
        <v>62.9</v>
      </c>
      <c r="S195" s="13" t="n">
        <v>32.3</v>
      </c>
      <c r="T195" s="13" t="n">
        <v>33</v>
      </c>
      <c r="U195" s="13" t="n">
        <v>37.9</v>
      </c>
      <c r="V195" s="13" t="n">
        <v>85.1</v>
      </c>
      <c r="W195" s="26" t="n">
        <v>49818</v>
      </c>
    </row>
    <row r="196" customFormat="false" ht="12.8" hidden="false" customHeight="false" outlineLevel="0" collapsed="false">
      <c r="A196" s="1" t="n">
        <v>67.8</v>
      </c>
      <c r="B196" s="1" t="n">
        <v>18.7</v>
      </c>
      <c r="C196" s="1" t="n">
        <v>33.3</v>
      </c>
      <c r="D196" s="1" t="n">
        <v>31.8</v>
      </c>
      <c r="E196" s="1" t="n">
        <v>80.8</v>
      </c>
      <c r="F196" s="27" t="n">
        <v>95135.0654236112</v>
      </c>
      <c r="G196" s="27" t="n">
        <v>35280</v>
      </c>
      <c r="H196" s="1" t="n">
        <v>-59855.0654236112</v>
      </c>
      <c r="K196" s="22"/>
      <c r="M196" s="23"/>
      <c r="P196" s="12" t="n">
        <v>7</v>
      </c>
      <c r="Q196" s="13" t="s">
        <v>50</v>
      </c>
      <c r="R196" s="13" t="n">
        <v>77.9</v>
      </c>
      <c r="S196" s="13" t="n">
        <v>29.1</v>
      </c>
      <c r="T196" s="13" t="n">
        <v>33.7</v>
      </c>
      <c r="U196" s="13" t="n">
        <v>37.4</v>
      </c>
      <c r="V196" s="13" t="n">
        <v>87.1</v>
      </c>
      <c r="W196" s="26" t="n">
        <v>57521</v>
      </c>
    </row>
    <row r="197" customFormat="false" ht="12.8" hidden="false" customHeight="false" outlineLevel="0" collapsed="false">
      <c r="A197" s="1" t="n">
        <v>64</v>
      </c>
      <c r="B197" s="1" t="n">
        <v>29.4</v>
      </c>
      <c r="C197" s="1" t="n">
        <v>34.6</v>
      </c>
      <c r="D197" s="1" t="n">
        <v>36.3</v>
      </c>
      <c r="E197" s="1" t="n">
        <v>82.6</v>
      </c>
      <c r="F197" s="27" t="n">
        <v>55950.4002620023</v>
      </c>
      <c r="G197" s="27" t="n">
        <v>86822</v>
      </c>
      <c r="H197" s="1" t="n">
        <v>30871.5997379977</v>
      </c>
      <c r="K197" s="22"/>
      <c r="M197" s="23"/>
      <c r="P197" s="12" t="n">
        <v>7</v>
      </c>
      <c r="Q197" s="13" t="s">
        <v>51</v>
      </c>
      <c r="R197" s="13" t="n">
        <v>59.8</v>
      </c>
      <c r="S197" s="13" t="n">
        <v>27.9</v>
      </c>
      <c r="T197" s="13" t="n">
        <v>33.8</v>
      </c>
      <c r="U197" s="13" t="n">
        <v>31.3</v>
      </c>
      <c r="V197" s="13" t="n">
        <v>84.8</v>
      </c>
      <c r="W197" s="26" t="n">
        <v>90594</v>
      </c>
    </row>
    <row r="198" customFormat="false" ht="12.8" hidden="false" customHeight="false" outlineLevel="0" collapsed="false">
      <c r="A198" s="1" t="n">
        <v>64.8</v>
      </c>
      <c r="B198" s="1" t="n">
        <v>25.5</v>
      </c>
      <c r="C198" s="1" t="n">
        <v>34.9</v>
      </c>
      <c r="D198" s="1" t="n">
        <v>35.9</v>
      </c>
      <c r="E198" s="1" t="n">
        <v>80.4</v>
      </c>
      <c r="F198" s="27" t="n">
        <v>79157.072978052</v>
      </c>
      <c r="G198" s="27" t="n">
        <v>106341</v>
      </c>
      <c r="H198" s="1" t="n">
        <v>27183.927021948</v>
      </c>
      <c r="K198" s="22"/>
      <c r="M198" s="23"/>
      <c r="P198" s="12" t="n">
        <v>7</v>
      </c>
      <c r="Q198" s="13" t="s">
        <v>52</v>
      </c>
      <c r="R198" s="13" t="n">
        <v>55.7</v>
      </c>
      <c r="S198" s="13" t="n">
        <v>17.2</v>
      </c>
      <c r="T198" s="13" t="n">
        <v>32.1</v>
      </c>
      <c r="U198" s="13" t="n">
        <v>32.2</v>
      </c>
      <c r="V198" s="13" t="n">
        <v>82.7</v>
      </c>
      <c r="W198" s="26" t="n">
        <v>100749</v>
      </c>
    </row>
    <row r="199" customFormat="false" ht="12.8" hidden="false" customHeight="false" outlineLevel="0" collapsed="false">
      <c r="A199" s="1" t="n">
        <v>59.4</v>
      </c>
      <c r="B199" s="1" t="n">
        <v>16.7</v>
      </c>
      <c r="C199" s="1" t="n">
        <v>34.7</v>
      </c>
      <c r="D199" s="1" t="n">
        <v>35.3</v>
      </c>
      <c r="E199" s="1" t="n">
        <v>82.1</v>
      </c>
      <c r="F199" s="27" t="n">
        <v>170377.23632731</v>
      </c>
      <c r="G199" s="27" t="n">
        <v>140259</v>
      </c>
      <c r="H199" s="1" t="n">
        <v>-30118.2363273098</v>
      </c>
      <c r="K199" s="22"/>
      <c r="M199" s="23"/>
      <c r="P199" s="12" t="n">
        <v>7</v>
      </c>
      <c r="Q199" s="13" t="s">
        <v>53</v>
      </c>
      <c r="R199" s="13" t="n">
        <v>61.7</v>
      </c>
      <c r="S199" s="13" t="n">
        <v>27.6</v>
      </c>
      <c r="T199" s="13" t="n">
        <v>33.6</v>
      </c>
      <c r="U199" s="13" t="n">
        <v>34.6</v>
      </c>
      <c r="V199" s="13" t="n">
        <v>83.1</v>
      </c>
      <c r="W199" s="26" t="n">
        <v>79419</v>
      </c>
    </row>
    <row r="200" customFormat="false" ht="12.8" hidden="false" customHeight="false" outlineLevel="0" collapsed="false">
      <c r="A200" s="1" t="n">
        <v>55.8</v>
      </c>
      <c r="B200" s="1" t="n">
        <v>14.5</v>
      </c>
      <c r="C200" s="1" t="n">
        <v>33.4</v>
      </c>
      <c r="D200" s="1" t="n">
        <v>35.8</v>
      </c>
      <c r="E200" s="1" t="n">
        <v>80.6</v>
      </c>
      <c r="F200" s="27" t="n">
        <v>195493.763692551</v>
      </c>
      <c r="G200" s="27" t="n">
        <v>346191</v>
      </c>
      <c r="H200" s="1" t="n">
        <v>150697.236307449</v>
      </c>
      <c r="K200" s="22"/>
      <c r="M200" s="23"/>
      <c r="P200" s="12" t="n">
        <v>7</v>
      </c>
      <c r="Q200" s="13" t="s">
        <v>54</v>
      </c>
      <c r="R200" s="13" t="n">
        <v>55.5</v>
      </c>
      <c r="S200" s="13" t="n">
        <v>14.5</v>
      </c>
      <c r="T200" s="13" t="n">
        <v>32.3</v>
      </c>
      <c r="U200" s="13" t="n">
        <v>32.6</v>
      </c>
      <c r="V200" s="13" t="n">
        <v>83.8</v>
      </c>
      <c r="W200" s="26" t="n">
        <v>89566</v>
      </c>
    </row>
    <row r="201" customFormat="false" ht="12.8" hidden="false" customHeight="false" outlineLevel="0" collapsed="false">
      <c r="A201" s="1" t="n">
        <v>64.4</v>
      </c>
      <c r="B201" s="1" t="n">
        <v>15.4</v>
      </c>
      <c r="C201" s="1" t="n">
        <v>34</v>
      </c>
      <c r="D201" s="1" t="n">
        <v>35.1</v>
      </c>
      <c r="E201" s="1" t="n">
        <v>80.2</v>
      </c>
      <c r="F201" s="27" t="n">
        <v>146831.117219566</v>
      </c>
      <c r="G201" s="27" t="n">
        <v>70324</v>
      </c>
      <c r="H201" s="1" t="n">
        <v>-76507.117219566</v>
      </c>
      <c r="K201" s="22"/>
      <c r="M201" s="23"/>
      <c r="P201" s="12" t="n">
        <v>7</v>
      </c>
      <c r="Q201" s="13" t="s">
        <v>56</v>
      </c>
      <c r="R201" s="13" t="n">
        <v>48.1</v>
      </c>
      <c r="S201" s="13" t="n">
        <v>9.7</v>
      </c>
      <c r="T201" s="13" t="n">
        <v>33.2</v>
      </c>
      <c r="U201" s="13" t="n">
        <v>30.5</v>
      </c>
      <c r="V201" s="13" t="n">
        <v>83.5</v>
      </c>
      <c r="W201" s="26" t="n">
        <v>208126</v>
      </c>
    </row>
    <row r="202" customFormat="false" ht="12.8" hidden="false" customHeight="false" outlineLevel="0" collapsed="false">
      <c r="A202" s="1" t="n">
        <v>61.9</v>
      </c>
      <c r="B202" s="1" t="n">
        <v>20.2</v>
      </c>
      <c r="C202" s="1" t="n">
        <v>34.5</v>
      </c>
      <c r="D202" s="1" t="n">
        <v>33.5</v>
      </c>
      <c r="E202" s="1" t="n">
        <v>81.9</v>
      </c>
      <c r="F202" s="27" t="n">
        <v>127170.99757102</v>
      </c>
      <c r="G202" s="27" t="n">
        <v>48341</v>
      </c>
      <c r="H202" s="1" t="n">
        <v>-78829.9975710196</v>
      </c>
      <c r="K202" s="22"/>
      <c r="M202" s="23"/>
      <c r="P202" s="12" t="n">
        <v>7</v>
      </c>
      <c r="Q202" s="13" t="s">
        <v>58</v>
      </c>
      <c r="R202" s="13" t="n">
        <v>47.7</v>
      </c>
      <c r="S202" s="13" t="n">
        <v>16</v>
      </c>
      <c r="T202" s="13" t="n">
        <v>33.5</v>
      </c>
      <c r="U202" s="13" t="n">
        <v>32.2</v>
      </c>
      <c r="V202" s="13" t="n">
        <v>83.4</v>
      </c>
      <c r="W202" s="26" t="n">
        <v>152723</v>
      </c>
    </row>
    <row r="203" customFormat="false" ht="12.8" hidden="false" customHeight="false" outlineLevel="0" collapsed="false">
      <c r="A203" s="1" t="n">
        <v>60.9</v>
      </c>
      <c r="B203" s="1" t="n">
        <v>17.1</v>
      </c>
      <c r="C203" s="1" t="n">
        <v>35.5</v>
      </c>
      <c r="D203" s="1" t="n">
        <v>32.2</v>
      </c>
      <c r="E203" s="1" t="n">
        <v>78</v>
      </c>
      <c r="F203" s="27" t="n">
        <v>155228.660680321</v>
      </c>
      <c r="G203" s="27" t="n">
        <v>124948</v>
      </c>
      <c r="H203" s="1" t="n">
        <v>-30280.6606803211</v>
      </c>
      <c r="K203" s="22"/>
      <c r="M203" s="23"/>
      <c r="P203" s="12" t="n">
        <v>7</v>
      </c>
      <c r="Q203" s="13" t="s">
        <v>60</v>
      </c>
      <c r="R203" s="13" t="n">
        <v>53.8</v>
      </c>
      <c r="S203" s="13" t="n">
        <v>11.6</v>
      </c>
      <c r="T203" s="13" t="n">
        <v>34.4</v>
      </c>
      <c r="U203" s="13" t="n">
        <v>32</v>
      </c>
      <c r="V203" s="13" t="n">
        <v>82.3</v>
      </c>
      <c r="W203" s="26" t="n">
        <v>885483</v>
      </c>
    </row>
    <row r="204" customFormat="false" ht="12.8" hidden="false" customHeight="false" outlineLevel="0" collapsed="false">
      <c r="A204" s="1" t="n">
        <v>49.8</v>
      </c>
      <c r="B204" s="1" t="n">
        <v>12.8</v>
      </c>
      <c r="C204" s="1" t="n">
        <v>35</v>
      </c>
      <c r="D204" s="1" t="n">
        <v>33.8</v>
      </c>
      <c r="E204" s="1" t="n">
        <v>78.5</v>
      </c>
      <c r="F204" s="27" t="n">
        <v>243953.007133028</v>
      </c>
      <c r="G204" s="27" t="n">
        <v>515154</v>
      </c>
      <c r="H204" s="1" t="n">
        <v>271200.992866972</v>
      </c>
      <c r="K204" s="22"/>
      <c r="M204" s="23"/>
      <c r="P204" s="12" t="n">
        <v>7</v>
      </c>
      <c r="Q204" s="13" t="s">
        <v>62</v>
      </c>
      <c r="R204" s="13" t="n">
        <v>48.2</v>
      </c>
      <c r="S204" s="13" t="n">
        <v>13.5</v>
      </c>
      <c r="T204" s="13" t="n">
        <v>33.4</v>
      </c>
      <c r="U204" s="13" t="n">
        <v>31.9</v>
      </c>
      <c r="V204" s="13" t="n">
        <v>82.6</v>
      </c>
      <c r="W204" s="26" t="n">
        <v>259474</v>
      </c>
    </row>
    <row r="205" customFormat="false" ht="12.8" hidden="false" customHeight="false" outlineLevel="0" collapsed="false">
      <c r="A205" s="1" t="n">
        <v>56.6</v>
      </c>
      <c r="B205" s="1" t="n">
        <v>15.2</v>
      </c>
      <c r="C205" s="1" t="n">
        <v>34.5</v>
      </c>
      <c r="D205" s="1" t="n">
        <v>33.6</v>
      </c>
      <c r="E205" s="1" t="n">
        <v>80.5</v>
      </c>
      <c r="F205" s="27" t="n">
        <v>189648.911623828</v>
      </c>
      <c r="G205" s="27" t="n">
        <v>219422</v>
      </c>
      <c r="H205" s="1" t="n">
        <v>29773.0883761719</v>
      </c>
      <c r="K205" s="22"/>
      <c r="M205" s="23"/>
      <c r="P205" s="12" t="n">
        <v>7</v>
      </c>
      <c r="Q205" s="13" t="s">
        <v>64</v>
      </c>
      <c r="R205" s="13" t="n">
        <v>70.4</v>
      </c>
      <c r="S205" s="13" t="n">
        <v>24.2</v>
      </c>
      <c r="T205" s="13" t="n">
        <v>34.2</v>
      </c>
      <c r="U205" s="13" t="n">
        <v>36.1</v>
      </c>
      <c r="V205" s="13" t="n">
        <v>84.8</v>
      </c>
      <c r="W205" s="26" t="n">
        <v>106964</v>
      </c>
    </row>
    <row r="206" customFormat="false" ht="12.8" hidden="false" customHeight="false" outlineLevel="0" collapsed="false">
      <c r="A206" s="1" t="n">
        <v>56.8</v>
      </c>
      <c r="B206" s="1" t="n">
        <v>22.6</v>
      </c>
      <c r="C206" s="1" t="n">
        <v>36.7</v>
      </c>
      <c r="D206" s="1" t="n">
        <v>35.9</v>
      </c>
      <c r="E206" s="1" t="n">
        <v>76.6</v>
      </c>
      <c r="F206" s="27" t="n">
        <v>149897.370276253</v>
      </c>
      <c r="G206" s="27" t="n">
        <v>46165</v>
      </c>
      <c r="H206" s="1" t="n">
        <v>-103732.370276253</v>
      </c>
      <c r="K206" s="22"/>
      <c r="M206" s="23"/>
      <c r="P206" s="12" t="n">
        <v>7</v>
      </c>
      <c r="Q206" s="13" t="s">
        <v>66</v>
      </c>
      <c r="R206" s="13" t="n">
        <v>72.3</v>
      </c>
      <c r="S206" s="13" t="n">
        <v>33.2</v>
      </c>
      <c r="T206" s="13" t="n">
        <v>33.1</v>
      </c>
      <c r="U206" s="13" t="n">
        <v>38.5</v>
      </c>
      <c r="V206" s="13" t="n">
        <v>83.8</v>
      </c>
      <c r="W206" s="26" t="n">
        <v>55576</v>
      </c>
    </row>
    <row r="207" customFormat="false" ht="12.8" hidden="false" customHeight="false" outlineLevel="0" collapsed="false">
      <c r="A207" s="1" t="n">
        <v>56.3</v>
      </c>
      <c r="B207" s="1" t="n">
        <v>15.3</v>
      </c>
      <c r="C207" s="1" t="n">
        <v>34.7</v>
      </c>
      <c r="D207" s="1" t="n">
        <v>34.6</v>
      </c>
      <c r="E207" s="1" t="n">
        <v>77.4</v>
      </c>
      <c r="F207" s="27" t="n">
        <v>190404.883679358</v>
      </c>
      <c r="G207" s="27" t="n">
        <v>42632</v>
      </c>
      <c r="H207" s="1" t="n">
        <v>-147772.883679358</v>
      </c>
      <c r="K207" s="22"/>
      <c r="M207" s="23"/>
      <c r="P207" s="12" t="n">
        <v>7</v>
      </c>
      <c r="Q207" s="13" t="s">
        <v>67</v>
      </c>
      <c r="R207" s="13" t="n">
        <v>67</v>
      </c>
      <c r="S207" s="13" t="n">
        <v>27.5</v>
      </c>
      <c r="T207" s="13" t="n">
        <v>33.6</v>
      </c>
      <c r="U207" s="13" t="n">
        <v>32.8</v>
      </c>
      <c r="V207" s="13" t="n">
        <v>82.9</v>
      </c>
      <c r="W207" s="26" t="n">
        <v>62200</v>
      </c>
    </row>
    <row r="208" customFormat="false" ht="12.8" hidden="false" customHeight="false" outlineLevel="0" collapsed="false">
      <c r="A208" s="1" t="n">
        <v>57.1</v>
      </c>
      <c r="B208" s="1" t="n">
        <v>21.9</v>
      </c>
      <c r="C208" s="1" t="n">
        <v>33.7</v>
      </c>
      <c r="D208" s="1" t="n">
        <v>33.5</v>
      </c>
      <c r="E208" s="1" t="n">
        <v>82.8</v>
      </c>
      <c r="F208" s="27" t="n">
        <v>135166.787124335</v>
      </c>
      <c r="G208" s="27" t="n">
        <v>28248</v>
      </c>
      <c r="H208" s="1" t="n">
        <v>-106918.787124335</v>
      </c>
      <c r="K208" s="22"/>
      <c r="M208" s="23"/>
      <c r="P208" s="12" t="n">
        <v>7</v>
      </c>
      <c r="Q208" s="13" t="s">
        <v>69</v>
      </c>
      <c r="R208" s="13" t="n">
        <v>67.6</v>
      </c>
      <c r="S208" s="13" t="n">
        <v>24.3</v>
      </c>
      <c r="T208" s="13" t="n">
        <v>32.9</v>
      </c>
      <c r="U208" s="13" t="n">
        <v>33.6</v>
      </c>
      <c r="V208" s="13" t="n">
        <v>81.8</v>
      </c>
      <c r="W208" s="26" t="n">
        <v>42301</v>
      </c>
    </row>
    <row r="209" customFormat="false" ht="12.8" hidden="false" customHeight="false" outlineLevel="0" collapsed="false">
      <c r="A209" s="1" t="n">
        <v>70.8</v>
      </c>
      <c r="B209" s="1" t="n">
        <v>19.6</v>
      </c>
      <c r="C209" s="1" t="n">
        <v>34.5</v>
      </c>
      <c r="D209" s="1" t="n">
        <v>37.9</v>
      </c>
      <c r="E209" s="1" t="n">
        <v>84.3</v>
      </c>
      <c r="F209" s="27" t="n">
        <v>95961.1335799681</v>
      </c>
      <c r="G209" s="27" t="n">
        <v>34529</v>
      </c>
      <c r="H209" s="1" t="n">
        <v>-61432.1335799681</v>
      </c>
      <c r="K209" s="22"/>
      <c r="M209" s="23"/>
      <c r="P209" s="12" t="n">
        <v>7</v>
      </c>
      <c r="Q209" s="13" t="s">
        <v>75</v>
      </c>
      <c r="R209" s="13" t="n">
        <v>69</v>
      </c>
      <c r="S209" s="13" t="n">
        <v>22.5</v>
      </c>
      <c r="T209" s="13" t="n">
        <v>33.2</v>
      </c>
      <c r="U209" s="13" t="n">
        <v>33.4</v>
      </c>
      <c r="V209" s="13" t="n">
        <v>82.6</v>
      </c>
      <c r="W209" s="26" t="n">
        <v>36482</v>
      </c>
    </row>
    <row r="210" customFormat="false" ht="12.8" hidden="false" customHeight="false" outlineLevel="0" collapsed="false">
      <c r="A210" s="1" t="n">
        <v>63.7</v>
      </c>
      <c r="B210" s="1" t="n">
        <v>33.1</v>
      </c>
      <c r="C210" s="1" t="n">
        <v>32.3</v>
      </c>
      <c r="D210" s="1" t="n">
        <v>37.1</v>
      </c>
      <c r="E210" s="1" t="n">
        <v>80</v>
      </c>
      <c r="F210" s="27" t="n">
        <v>13711.5439091637</v>
      </c>
      <c r="G210" s="27" t="n">
        <v>102689</v>
      </c>
      <c r="H210" s="1" t="n">
        <v>88977.4560908363</v>
      </c>
      <c r="K210" s="22"/>
      <c r="M210" s="23"/>
      <c r="P210" s="12" t="n">
        <v>7</v>
      </c>
      <c r="Q210" s="13" t="s">
        <v>76</v>
      </c>
      <c r="R210" s="13" t="n">
        <v>64.5</v>
      </c>
      <c r="S210" s="13" t="n">
        <v>31.2</v>
      </c>
      <c r="T210" s="13" t="n">
        <v>34</v>
      </c>
      <c r="U210" s="13" t="n">
        <v>36.2</v>
      </c>
      <c r="V210" s="13" t="n">
        <v>84.6</v>
      </c>
      <c r="W210" s="26" t="n">
        <v>90464</v>
      </c>
    </row>
    <row r="211" customFormat="false" ht="12.8" hidden="false" customHeight="false" outlineLevel="0" collapsed="false">
      <c r="A211" s="1" t="n">
        <v>57.3</v>
      </c>
      <c r="B211" s="1" t="n">
        <v>18.6</v>
      </c>
      <c r="C211" s="1" t="n">
        <v>33.3</v>
      </c>
      <c r="D211" s="1" t="n">
        <v>37.4</v>
      </c>
      <c r="E211" s="1" t="n">
        <v>79.8</v>
      </c>
      <c r="F211" s="27" t="n">
        <v>159326.407922702</v>
      </c>
      <c r="G211" s="27" t="n">
        <v>149727</v>
      </c>
      <c r="H211" s="1" t="n">
        <v>-9599.40792270162</v>
      </c>
      <c r="K211" s="22"/>
      <c r="M211" s="23"/>
      <c r="P211" s="12" t="n">
        <v>7</v>
      </c>
      <c r="Q211" s="13" t="s">
        <v>78</v>
      </c>
      <c r="R211" s="13" t="n">
        <v>65.5</v>
      </c>
      <c r="S211" s="13" t="n">
        <v>24.6</v>
      </c>
      <c r="T211" s="13" t="n">
        <v>34.8</v>
      </c>
      <c r="U211" s="13" t="n">
        <v>36.2</v>
      </c>
      <c r="V211" s="13" t="n">
        <v>82.7</v>
      </c>
      <c r="W211" s="26" t="n">
        <v>110457</v>
      </c>
    </row>
    <row r="212" customFormat="false" ht="12.8" hidden="false" customHeight="false" outlineLevel="0" collapsed="false">
      <c r="A212" s="1" t="n">
        <v>57</v>
      </c>
      <c r="B212" s="1" t="n">
        <v>18.2</v>
      </c>
      <c r="C212" s="1" t="n">
        <v>35.3</v>
      </c>
      <c r="D212" s="1" t="n">
        <v>33.6</v>
      </c>
      <c r="E212" s="1" t="n">
        <v>82.7</v>
      </c>
      <c r="F212" s="27" t="n">
        <v>173523.571830954</v>
      </c>
      <c r="G212" s="27" t="n">
        <v>62541</v>
      </c>
      <c r="H212" s="1" t="n">
        <v>-110982.571830954</v>
      </c>
      <c r="K212" s="22"/>
      <c r="M212" s="23"/>
      <c r="P212" s="12" t="n">
        <v>7</v>
      </c>
      <c r="Q212" s="13" t="s">
        <v>80</v>
      </c>
      <c r="R212" s="13" t="n">
        <v>59.7</v>
      </c>
      <c r="S212" s="13" t="n">
        <v>17.7</v>
      </c>
      <c r="T212" s="13" t="n">
        <v>34.3</v>
      </c>
      <c r="U212" s="13" t="n">
        <v>34.6</v>
      </c>
      <c r="V212" s="13" t="n">
        <v>83.8</v>
      </c>
      <c r="W212" s="26" t="n">
        <v>145937</v>
      </c>
    </row>
    <row r="213" customFormat="false" ht="12.8" hidden="false" customHeight="false" outlineLevel="0" collapsed="false">
      <c r="A213" s="1" t="n">
        <v>55.1</v>
      </c>
      <c r="B213" s="1" t="n">
        <v>24.8</v>
      </c>
      <c r="C213" s="1" t="n">
        <v>35.3</v>
      </c>
      <c r="D213" s="1" t="n">
        <v>32.8</v>
      </c>
      <c r="E213" s="1" t="n">
        <v>74.5</v>
      </c>
      <c r="F213" s="27" t="n">
        <v>125368.632328664</v>
      </c>
      <c r="G213" s="27" t="n">
        <v>40110</v>
      </c>
      <c r="H213" s="1" t="n">
        <v>-85258.6323286644</v>
      </c>
      <c r="K213" s="22"/>
      <c r="M213" s="23"/>
      <c r="P213" s="12" t="n">
        <v>7</v>
      </c>
      <c r="Q213" s="13" t="s">
        <v>81</v>
      </c>
      <c r="R213" s="13" t="n">
        <v>57</v>
      </c>
      <c r="S213" s="13" t="n">
        <v>16.8</v>
      </c>
      <c r="T213" s="13" t="n">
        <v>33.2</v>
      </c>
      <c r="U213" s="13" t="n">
        <v>31.1</v>
      </c>
      <c r="V213" s="13" t="n">
        <v>82.6</v>
      </c>
      <c r="W213" s="26" t="n">
        <v>364237</v>
      </c>
    </row>
    <row r="214" customFormat="false" ht="12.8" hidden="false" customHeight="false" outlineLevel="0" collapsed="false">
      <c r="A214" s="1" t="n">
        <v>54.1</v>
      </c>
      <c r="B214" s="1" t="n">
        <v>33.7</v>
      </c>
      <c r="C214" s="1" t="n">
        <v>34.2</v>
      </c>
      <c r="D214" s="1" t="n">
        <v>35.5</v>
      </c>
      <c r="E214" s="1" t="n">
        <v>78.3</v>
      </c>
      <c r="F214" s="27" t="n">
        <v>67277.7337666441</v>
      </c>
      <c r="G214" s="27" t="n">
        <v>55436</v>
      </c>
      <c r="H214" s="1" t="n">
        <v>-11841.7337666441</v>
      </c>
      <c r="K214" s="22"/>
      <c r="M214" s="23"/>
      <c r="P214" s="12" t="n">
        <v>7</v>
      </c>
      <c r="Q214" s="13" t="s">
        <v>83</v>
      </c>
      <c r="R214" s="13" t="n">
        <v>64.6</v>
      </c>
      <c r="S214" s="13" t="n">
        <v>18.1</v>
      </c>
      <c r="T214" s="13" t="n">
        <v>33.4</v>
      </c>
      <c r="U214" s="13" t="n">
        <v>34.8</v>
      </c>
      <c r="V214" s="13" t="n">
        <v>82.1</v>
      </c>
      <c r="W214" s="26" t="n">
        <v>73101</v>
      </c>
    </row>
    <row r="215" customFormat="false" ht="12.8" hidden="false" customHeight="false" outlineLevel="0" collapsed="false">
      <c r="A215" s="1" t="n">
        <v>61.4</v>
      </c>
      <c r="B215" s="1" t="n">
        <v>18.3</v>
      </c>
      <c r="C215" s="1" t="n">
        <v>33.3</v>
      </c>
      <c r="D215" s="1" t="n">
        <v>35.3</v>
      </c>
      <c r="E215" s="1" t="n">
        <v>79</v>
      </c>
      <c r="F215" s="27" t="n">
        <v>135635.795924839</v>
      </c>
      <c r="G215" s="27" t="n">
        <v>73494</v>
      </c>
      <c r="H215" s="1" t="n">
        <v>-62141.7959248392</v>
      </c>
      <c r="K215" s="22"/>
      <c r="M215" s="23"/>
      <c r="P215" s="12" t="n">
        <v>7</v>
      </c>
      <c r="Q215" s="13" t="s">
        <v>84</v>
      </c>
      <c r="R215" s="13" t="n">
        <v>62.6</v>
      </c>
      <c r="S215" s="13" t="n">
        <v>19.5</v>
      </c>
      <c r="T215" s="13" t="n">
        <v>33.8</v>
      </c>
      <c r="U215" s="13" t="n">
        <v>32.3</v>
      </c>
      <c r="V215" s="13" t="n">
        <v>83.6</v>
      </c>
      <c r="W215" s="26" t="n">
        <v>50825</v>
      </c>
    </row>
    <row r="216" customFormat="false" ht="12.8" hidden="false" customHeight="false" outlineLevel="0" collapsed="false">
      <c r="A216" s="1" t="n">
        <v>66.1</v>
      </c>
      <c r="B216" s="1" t="n">
        <v>15.5</v>
      </c>
      <c r="C216" s="1" t="n">
        <v>30.2</v>
      </c>
      <c r="D216" s="1" t="n">
        <v>31.6</v>
      </c>
      <c r="E216" s="1" t="n">
        <v>76.9</v>
      </c>
      <c r="F216" s="27" t="n">
        <v>101661.362602794</v>
      </c>
      <c r="G216" s="27" t="n">
        <v>35562</v>
      </c>
      <c r="H216" s="1" t="n">
        <v>-66099.3626027938</v>
      </c>
      <c r="K216" s="22"/>
      <c r="M216" s="23"/>
      <c r="P216" s="12" t="n">
        <v>7</v>
      </c>
      <c r="Q216" s="13" t="s">
        <v>88</v>
      </c>
      <c r="R216" s="13" t="n">
        <v>62.8</v>
      </c>
      <c r="S216" s="13" t="n">
        <v>17.8</v>
      </c>
      <c r="T216" s="13" t="n">
        <v>34.8</v>
      </c>
      <c r="U216" s="13" t="n">
        <v>30.5</v>
      </c>
      <c r="V216" s="13" t="n">
        <v>80.3</v>
      </c>
      <c r="W216" s="26" t="n">
        <v>130171</v>
      </c>
    </row>
    <row r="217" customFormat="false" ht="12.8" hidden="false" customHeight="false" outlineLevel="0" collapsed="false">
      <c r="A217" s="1" t="n">
        <v>55.4</v>
      </c>
      <c r="B217" s="1" t="n">
        <v>19.3</v>
      </c>
      <c r="C217" s="1" t="n">
        <v>34.3</v>
      </c>
      <c r="D217" s="1" t="n">
        <v>36.5</v>
      </c>
      <c r="E217" s="1" t="n">
        <v>82.3</v>
      </c>
      <c r="F217" s="27" t="n">
        <v>171857.809251443</v>
      </c>
      <c r="G217" s="27" t="n">
        <v>286132</v>
      </c>
      <c r="H217" s="1" t="n">
        <v>114274.190748557</v>
      </c>
      <c r="K217" s="22"/>
      <c r="M217" s="23"/>
      <c r="P217" s="12" t="n">
        <v>7</v>
      </c>
      <c r="Q217" s="13" t="s">
        <v>89</v>
      </c>
      <c r="R217" s="13" t="n">
        <v>50.2</v>
      </c>
      <c r="S217" s="13" t="n">
        <v>13.8</v>
      </c>
      <c r="T217" s="13" t="n">
        <v>34.1</v>
      </c>
      <c r="U217" s="13" t="n">
        <v>31.6</v>
      </c>
      <c r="V217" s="13" t="n">
        <v>80.7</v>
      </c>
      <c r="W217" s="26" t="n">
        <v>543377</v>
      </c>
    </row>
    <row r="218" customFormat="false" ht="12.8" hidden="false" customHeight="false" outlineLevel="0" collapsed="false">
      <c r="A218" s="1" t="n">
        <v>58.9</v>
      </c>
      <c r="B218" s="1" t="n">
        <v>26.2</v>
      </c>
      <c r="C218" s="1" t="n">
        <v>36.4</v>
      </c>
      <c r="D218" s="1" t="n">
        <v>39.1</v>
      </c>
      <c r="E218" s="1" t="n">
        <v>83.3</v>
      </c>
      <c r="F218" s="27" t="n">
        <v>123651.859413022</v>
      </c>
      <c r="G218" s="27" t="n">
        <v>46552</v>
      </c>
      <c r="H218" s="1" t="n">
        <v>-77099.8594130216</v>
      </c>
      <c r="K218" s="22"/>
      <c r="M218" s="23"/>
      <c r="P218" s="12" t="n">
        <v>7</v>
      </c>
      <c r="Q218" s="13" t="s">
        <v>90</v>
      </c>
      <c r="R218" s="13" t="n">
        <v>56.8</v>
      </c>
      <c r="S218" s="13" t="n">
        <v>15.5</v>
      </c>
      <c r="T218" s="13" t="n">
        <v>33.7</v>
      </c>
      <c r="U218" s="13" t="n">
        <v>32.8</v>
      </c>
      <c r="V218" s="13" t="n">
        <v>82.4</v>
      </c>
      <c r="W218" s="26" t="n">
        <v>229595</v>
      </c>
    </row>
    <row r="219" customFormat="false" ht="12.8" hidden="false" customHeight="false" outlineLevel="0" collapsed="false">
      <c r="A219" s="1" t="n">
        <v>57.7</v>
      </c>
      <c r="B219" s="1" t="n">
        <v>26.8</v>
      </c>
      <c r="C219" s="1" t="n">
        <v>35.4</v>
      </c>
      <c r="D219" s="1" t="n">
        <v>34.6</v>
      </c>
      <c r="E219" s="1" t="n">
        <v>83.1</v>
      </c>
      <c r="F219" s="27" t="n">
        <v>110328.179808537</v>
      </c>
      <c r="G219" s="27" t="n">
        <v>68580</v>
      </c>
      <c r="H219" s="1" t="n">
        <v>-41748.1798085367</v>
      </c>
      <c r="K219" s="22"/>
      <c r="M219" s="23"/>
      <c r="P219" s="12" t="n">
        <v>7</v>
      </c>
      <c r="Q219" s="13" t="s">
        <v>91</v>
      </c>
      <c r="R219" s="13" t="n">
        <v>56.3</v>
      </c>
      <c r="S219" s="13" t="n">
        <v>20.8</v>
      </c>
      <c r="T219" s="13" t="n">
        <v>35.5</v>
      </c>
      <c r="U219" s="13" t="n">
        <v>37.1</v>
      </c>
      <c r="V219" s="13" t="n">
        <v>79</v>
      </c>
      <c r="W219" s="26" t="n">
        <v>48406</v>
      </c>
    </row>
    <row r="220" customFormat="false" ht="12.8" hidden="false" customHeight="false" outlineLevel="0" collapsed="false">
      <c r="A220" s="1" t="n">
        <v>62.1</v>
      </c>
      <c r="B220" s="1" t="n">
        <v>36.2</v>
      </c>
      <c r="C220" s="1" t="n">
        <v>33.2</v>
      </c>
      <c r="D220" s="1" t="n">
        <v>38.8</v>
      </c>
      <c r="E220" s="1" t="n">
        <v>83.4</v>
      </c>
      <c r="F220" s="27" t="n">
        <v>12232.9861709671</v>
      </c>
      <c r="G220" s="27" t="n">
        <v>93665</v>
      </c>
      <c r="H220" s="1" t="n">
        <v>81432.013829033</v>
      </c>
      <c r="K220" s="22"/>
      <c r="M220" s="23"/>
      <c r="P220" s="12" t="n">
        <v>7</v>
      </c>
      <c r="Q220" s="13" t="s">
        <v>92</v>
      </c>
      <c r="R220" s="13" t="n">
        <v>57.5</v>
      </c>
      <c r="S220" s="13" t="n">
        <v>17.9</v>
      </c>
      <c r="T220" s="13" t="n">
        <v>35.2</v>
      </c>
      <c r="U220" s="13" t="n">
        <v>32.7</v>
      </c>
      <c r="V220" s="13" t="n">
        <v>79.8</v>
      </c>
      <c r="W220" s="26" t="n">
        <v>44701</v>
      </c>
    </row>
    <row r="221" customFormat="false" ht="12.8" hidden="false" customHeight="false" outlineLevel="0" collapsed="false">
      <c r="A221" s="1" t="n">
        <v>65.5</v>
      </c>
      <c r="B221" s="1" t="n">
        <v>29.4</v>
      </c>
      <c r="C221" s="1" t="n">
        <v>34.1</v>
      </c>
      <c r="D221" s="1" t="n">
        <v>38.2</v>
      </c>
      <c r="E221" s="1" t="n">
        <v>81</v>
      </c>
      <c r="F221" s="27" t="n">
        <v>46559.9889724494</v>
      </c>
      <c r="G221" s="27" t="n">
        <v>61836</v>
      </c>
      <c r="H221" s="1" t="n">
        <v>15276.0110275506</v>
      </c>
      <c r="K221" s="22"/>
      <c r="M221" s="23"/>
      <c r="P221" s="12" t="n">
        <v>7</v>
      </c>
      <c r="Q221" s="13" t="s">
        <v>93</v>
      </c>
      <c r="R221" s="13" t="n">
        <v>58</v>
      </c>
      <c r="S221" s="13" t="n">
        <v>23.6</v>
      </c>
      <c r="T221" s="13" t="n">
        <v>33.7</v>
      </c>
      <c r="U221" s="13" t="n">
        <v>31</v>
      </c>
      <c r="V221" s="13" t="n">
        <v>84.6</v>
      </c>
      <c r="W221" s="26" t="n">
        <v>28990</v>
      </c>
    </row>
    <row r="222" customFormat="false" ht="12.8" hidden="false" customHeight="false" outlineLevel="0" collapsed="false">
      <c r="A222" s="1" t="n">
        <v>56.6</v>
      </c>
      <c r="B222" s="1" t="n">
        <v>19.3</v>
      </c>
      <c r="C222" s="1" t="n">
        <v>34.7</v>
      </c>
      <c r="D222" s="1" t="n">
        <v>36.8</v>
      </c>
      <c r="E222" s="1" t="n">
        <v>84.2</v>
      </c>
      <c r="F222" s="27" t="n">
        <v>170899.61091329</v>
      </c>
      <c r="G222" s="27" t="n">
        <v>57996</v>
      </c>
      <c r="H222" s="1" t="n">
        <v>-112903.61091329</v>
      </c>
      <c r="K222" s="22"/>
      <c r="M222" s="23"/>
      <c r="P222" s="12" t="n">
        <v>7</v>
      </c>
      <c r="Q222" s="13" t="s">
        <v>94</v>
      </c>
      <c r="R222" s="13" t="n">
        <v>71.5</v>
      </c>
      <c r="S222" s="13" t="n">
        <v>25.6</v>
      </c>
      <c r="T222" s="13" t="n">
        <v>33.5</v>
      </c>
      <c r="U222" s="13" t="n">
        <v>35.8</v>
      </c>
      <c r="V222" s="13" t="n">
        <v>86.3</v>
      </c>
      <c r="W222" s="26" t="n">
        <v>36075</v>
      </c>
    </row>
    <row r="223" customFormat="false" ht="12.8" hidden="false" customHeight="false" outlineLevel="0" collapsed="false">
      <c r="A223" s="1" t="n">
        <v>55.1</v>
      </c>
      <c r="B223" s="1" t="n">
        <v>19.6</v>
      </c>
      <c r="C223" s="1" t="n">
        <v>34.7</v>
      </c>
      <c r="D223" s="1" t="n">
        <v>38.7</v>
      </c>
      <c r="E223" s="1" t="n">
        <v>86.1</v>
      </c>
      <c r="F223" s="27" t="n">
        <v>181920.978196379</v>
      </c>
      <c r="G223" s="27" t="n">
        <v>92510</v>
      </c>
      <c r="H223" s="1" t="n">
        <v>-89410.9781963791</v>
      </c>
      <c r="K223" s="22"/>
      <c r="M223" s="23"/>
      <c r="P223" s="12" t="n">
        <v>7</v>
      </c>
      <c r="Q223" s="13" t="s">
        <v>95</v>
      </c>
      <c r="R223" s="13" t="n">
        <v>65</v>
      </c>
      <c r="S223" s="13" t="n">
        <v>35.6</v>
      </c>
      <c r="T223" s="13" t="n">
        <v>32.4</v>
      </c>
      <c r="U223" s="13" t="n">
        <v>38.3</v>
      </c>
      <c r="V223" s="13" t="n">
        <v>81.8</v>
      </c>
      <c r="W223" s="26" t="n">
        <v>106146</v>
      </c>
    </row>
    <row r="224" customFormat="false" ht="12.8" hidden="false" customHeight="false" outlineLevel="0" collapsed="false">
      <c r="A224" s="1" t="n">
        <v>60.1</v>
      </c>
      <c r="B224" s="1" t="n">
        <v>24.5</v>
      </c>
      <c r="C224" s="1" t="n">
        <v>34.2</v>
      </c>
      <c r="D224" s="1" t="n">
        <v>35.8</v>
      </c>
      <c r="E224" s="1" t="n">
        <v>89.3</v>
      </c>
      <c r="F224" s="27" t="n">
        <v>115125.416354382</v>
      </c>
      <c r="G224" s="27" t="n">
        <v>78124</v>
      </c>
      <c r="H224" s="1" t="n">
        <v>-37001.416354382</v>
      </c>
      <c r="K224" s="22"/>
      <c r="M224" s="23"/>
      <c r="P224" s="12" t="n">
        <v>7</v>
      </c>
      <c r="Q224" s="13" t="s">
        <v>97</v>
      </c>
      <c r="R224" s="13" t="n">
        <v>59.3</v>
      </c>
      <c r="S224" s="13" t="n">
        <v>21.4</v>
      </c>
      <c r="T224" s="13" t="n">
        <v>33.4</v>
      </c>
      <c r="U224" s="13" t="n">
        <v>36.7</v>
      </c>
      <c r="V224" s="13" t="n">
        <v>81.8</v>
      </c>
      <c r="W224" s="26" t="n">
        <v>154715</v>
      </c>
    </row>
    <row r="225" customFormat="false" ht="12.8" hidden="false" customHeight="false" outlineLevel="0" collapsed="false">
      <c r="A225" s="1" t="n">
        <v>53.5</v>
      </c>
      <c r="B225" s="1" t="n">
        <v>13.5</v>
      </c>
      <c r="C225" s="1" t="n">
        <v>32.4</v>
      </c>
      <c r="D225" s="1" t="n">
        <v>32.6</v>
      </c>
      <c r="E225" s="1" t="n">
        <v>84.4</v>
      </c>
      <c r="F225" s="27" t="n">
        <v>206035.307328089</v>
      </c>
      <c r="G225" s="27" t="n">
        <v>285581</v>
      </c>
      <c r="H225" s="1" t="n">
        <v>79545.6926719111</v>
      </c>
      <c r="K225" s="22"/>
      <c r="M225" s="23"/>
      <c r="P225" s="12" t="n">
        <v>7</v>
      </c>
      <c r="Q225" s="13" t="s">
        <v>98</v>
      </c>
      <c r="R225" s="13" t="n">
        <v>57.1</v>
      </c>
      <c r="S225" s="13" t="n">
        <v>20.2</v>
      </c>
      <c r="T225" s="13" t="n">
        <v>34.4</v>
      </c>
      <c r="U225" s="13" t="n">
        <v>33.7</v>
      </c>
      <c r="V225" s="13" t="n">
        <v>84.6</v>
      </c>
      <c r="W225" s="26" t="n">
        <v>64632</v>
      </c>
    </row>
    <row r="226" customFormat="false" ht="12.8" hidden="false" customHeight="false" outlineLevel="0" collapsed="false">
      <c r="A226" s="1" t="n">
        <v>61.4</v>
      </c>
      <c r="B226" s="1" t="n">
        <v>28.4</v>
      </c>
      <c r="C226" s="1" t="n">
        <v>33.5</v>
      </c>
      <c r="D226" s="1" t="n">
        <v>34.2</v>
      </c>
      <c r="E226" s="1" t="n">
        <v>84.8</v>
      </c>
      <c r="F226" s="27" t="n">
        <v>67686.3073450146</v>
      </c>
      <c r="G226" s="27" t="n">
        <v>64474</v>
      </c>
      <c r="H226" s="1" t="n">
        <v>-3212.30734501462</v>
      </c>
      <c r="K226" s="22"/>
      <c r="M226" s="23"/>
      <c r="P226" s="12" t="n">
        <v>7</v>
      </c>
      <c r="Q226" s="13" t="s">
        <v>99</v>
      </c>
      <c r="R226" s="13" t="n">
        <v>57</v>
      </c>
      <c r="S226" s="13" t="n">
        <v>27.2</v>
      </c>
      <c r="T226" s="13" t="n">
        <v>35.8</v>
      </c>
      <c r="U226" s="13" t="n">
        <v>31.1</v>
      </c>
      <c r="V226" s="13" t="n">
        <v>77</v>
      </c>
      <c r="W226" s="26" t="n">
        <v>40930</v>
      </c>
    </row>
    <row r="227" customFormat="false" ht="12.8" hidden="false" customHeight="false" outlineLevel="0" collapsed="false">
      <c r="A227" s="1" t="n">
        <v>63.7</v>
      </c>
      <c r="B227" s="1" t="n">
        <v>22.2</v>
      </c>
      <c r="C227" s="1" t="n">
        <v>34</v>
      </c>
      <c r="D227" s="1" t="n">
        <v>31.4</v>
      </c>
      <c r="E227" s="1" t="n">
        <v>87.1</v>
      </c>
      <c r="F227" s="27" t="n">
        <v>101554.914265371</v>
      </c>
      <c r="G227" s="27" t="n">
        <v>56283</v>
      </c>
      <c r="H227" s="1" t="n">
        <v>-45271.9142653708</v>
      </c>
      <c r="K227" s="22"/>
      <c r="M227" s="23"/>
      <c r="P227" s="12" t="n">
        <v>7</v>
      </c>
      <c r="Q227" s="13" t="s">
        <v>100</v>
      </c>
      <c r="R227" s="13" t="n">
        <v>55</v>
      </c>
      <c r="S227" s="13" t="n">
        <v>34.1</v>
      </c>
      <c r="T227" s="13" t="n">
        <v>33.5</v>
      </c>
      <c r="U227" s="13" t="n">
        <v>32.5</v>
      </c>
      <c r="V227" s="13" t="n">
        <v>80.6</v>
      </c>
      <c r="W227" s="26" t="n">
        <v>57163</v>
      </c>
    </row>
    <row r="228" customFormat="false" ht="12.8" hidden="false" customHeight="false" outlineLevel="0" collapsed="false">
      <c r="A228" s="1" t="n">
        <v>64.1</v>
      </c>
      <c r="B228" s="1" t="n">
        <v>24.4</v>
      </c>
      <c r="C228" s="1" t="n">
        <v>32.5</v>
      </c>
      <c r="D228" s="1" t="n">
        <v>33.4</v>
      </c>
      <c r="E228" s="1" t="n">
        <v>86</v>
      </c>
      <c r="F228" s="27" t="n">
        <v>75778.935075744</v>
      </c>
      <c r="G228" s="27" t="n">
        <v>109889</v>
      </c>
      <c r="H228" s="1" t="n">
        <v>34110.064924256</v>
      </c>
      <c r="K228" s="22"/>
      <c r="M228" s="23"/>
      <c r="P228" s="12" t="n">
        <v>7</v>
      </c>
      <c r="Q228" s="13" t="s">
        <v>101</v>
      </c>
      <c r="R228" s="13" t="n">
        <v>63</v>
      </c>
      <c r="S228" s="13" t="n">
        <v>19.2</v>
      </c>
      <c r="T228" s="13" t="n">
        <v>33.2</v>
      </c>
      <c r="U228" s="13" t="n">
        <v>33.7</v>
      </c>
      <c r="V228" s="13" t="n">
        <v>81</v>
      </c>
      <c r="W228" s="26" t="n">
        <v>74178</v>
      </c>
    </row>
    <row r="229" customFormat="false" ht="12.8" hidden="false" customHeight="false" outlineLevel="0" collapsed="false">
      <c r="A229" s="1" t="n">
        <v>62.9</v>
      </c>
      <c r="B229" s="1" t="n">
        <v>32.3</v>
      </c>
      <c r="C229" s="1" t="n">
        <v>33</v>
      </c>
      <c r="D229" s="1" t="n">
        <v>37.9</v>
      </c>
      <c r="E229" s="1" t="n">
        <v>85.1</v>
      </c>
      <c r="F229" s="27" t="n">
        <v>35214.9340781781</v>
      </c>
      <c r="G229" s="27" t="n">
        <v>49818</v>
      </c>
      <c r="H229" s="1" t="n">
        <v>14603.0659218219</v>
      </c>
      <c r="K229" s="22"/>
      <c r="M229" s="23"/>
      <c r="P229" s="12" t="n">
        <v>7</v>
      </c>
      <c r="Q229" s="13" t="s">
        <v>102</v>
      </c>
      <c r="R229" s="13" t="n">
        <v>68</v>
      </c>
      <c r="S229" s="13" t="n">
        <v>17.1</v>
      </c>
      <c r="T229" s="13" t="n">
        <v>31</v>
      </c>
      <c r="U229" s="13" t="n">
        <v>29.9</v>
      </c>
      <c r="V229" s="13" t="n">
        <v>79.1</v>
      </c>
      <c r="W229" s="26" t="n">
        <v>36615</v>
      </c>
    </row>
    <row r="230" customFormat="false" ht="12.8" hidden="false" customHeight="false" outlineLevel="0" collapsed="false">
      <c r="A230" s="1" t="n">
        <v>77.9</v>
      </c>
      <c r="B230" s="1" t="n">
        <v>29.1</v>
      </c>
      <c r="C230" s="1" t="n">
        <v>33.7</v>
      </c>
      <c r="D230" s="1" t="n">
        <v>37.4</v>
      </c>
      <c r="E230" s="1" t="n">
        <v>87.1</v>
      </c>
      <c r="F230" s="27" t="n">
        <v>-13229.6054552758</v>
      </c>
      <c r="G230" s="27" t="n">
        <v>57521</v>
      </c>
      <c r="H230" s="1" t="n">
        <v>70750.6054552758</v>
      </c>
      <c r="K230" s="22"/>
      <c r="M230" s="23"/>
      <c r="P230" s="12" t="n">
        <v>7</v>
      </c>
      <c r="Q230" s="13" t="s">
        <v>103</v>
      </c>
      <c r="R230" s="13" t="n">
        <v>57.9</v>
      </c>
      <c r="S230" s="13" t="n">
        <v>21.5</v>
      </c>
      <c r="T230" s="13" t="n">
        <v>34.1</v>
      </c>
      <c r="U230" s="13" t="n">
        <v>33.3</v>
      </c>
      <c r="V230" s="13" t="n">
        <v>83.9</v>
      </c>
      <c r="W230" s="26" t="n">
        <v>296881</v>
      </c>
    </row>
    <row r="231" customFormat="false" ht="12.8" hidden="false" customHeight="false" outlineLevel="0" collapsed="false">
      <c r="A231" s="1" t="n">
        <v>59.8</v>
      </c>
      <c r="B231" s="1" t="n">
        <v>27.9</v>
      </c>
      <c r="C231" s="1" t="n">
        <v>33.8</v>
      </c>
      <c r="D231" s="1" t="n">
        <v>31.3</v>
      </c>
      <c r="E231" s="1" t="n">
        <v>84.8</v>
      </c>
      <c r="F231" s="27" t="n">
        <v>76377.6781441936</v>
      </c>
      <c r="G231" s="27" t="n">
        <v>90594</v>
      </c>
      <c r="H231" s="1" t="n">
        <v>14216.3218558065</v>
      </c>
      <c r="K231" s="22"/>
      <c r="M231" s="23"/>
      <c r="P231" s="12" t="n">
        <v>7</v>
      </c>
      <c r="Q231" s="13" t="s">
        <v>104</v>
      </c>
      <c r="R231" s="13" t="n">
        <v>58.9</v>
      </c>
      <c r="S231" s="13" t="n">
        <v>24.8</v>
      </c>
      <c r="T231" s="13" t="n">
        <v>34.5</v>
      </c>
      <c r="U231" s="13" t="n">
        <v>34.8</v>
      </c>
      <c r="V231" s="13" t="n">
        <v>85.1</v>
      </c>
      <c r="W231" s="26" t="n">
        <v>48269</v>
      </c>
    </row>
    <row r="232" customFormat="false" ht="12.8" hidden="false" customHeight="false" outlineLevel="0" collapsed="false">
      <c r="A232" s="1" t="n">
        <v>55.7</v>
      </c>
      <c r="B232" s="1" t="n">
        <v>17.2</v>
      </c>
      <c r="C232" s="1" t="n">
        <v>32.1</v>
      </c>
      <c r="D232" s="1" t="n">
        <v>32.2</v>
      </c>
      <c r="E232" s="1" t="n">
        <v>82.7</v>
      </c>
      <c r="F232" s="27" t="n">
        <v>163219.403052113</v>
      </c>
      <c r="G232" s="27" t="n">
        <v>100749</v>
      </c>
      <c r="H232" s="1" t="n">
        <v>-62470.4030521131</v>
      </c>
      <c r="K232" s="22"/>
      <c r="M232" s="23"/>
      <c r="P232" s="12" t="n">
        <v>7</v>
      </c>
      <c r="Q232" s="13" t="s">
        <v>105</v>
      </c>
      <c r="R232" s="13" t="n">
        <v>59.3</v>
      </c>
      <c r="S232" s="13" t="n">
        <v>25.6</v>
      </c>
      <c r="T232" s="13" t="n">
        <v>34.5</v>
      </c>
      <c r="U232" s="13" t="n">
        <v>33.8</v>
      </c>
      <c r="V232" s="13" t="n">
        <v>84.7</v>
      </c>
      <c r="W232" s="26" t="n">
        <v>69750</v>
      </c>
    </row>
    <row r="233" customFormat="false" ht="12.8" hidden="false" customHeight="false" outlineLevel="0" collapsed="false">
      <c r="A233" s="1" t="n">
        <v>61.7</v>
      </c>
      <c r="B233" s="1" t="n">
        <v>27.6</v>
      </c>
      <c r="C233" s="1" t="n">
        <v>33.6</v>
      </c>
      <c r="D233" s="1" t="n">
        <v>34.6</v>
      </c>
      <c r="E233" s="1" t="n">
        <v>83.1</v>
      </c>
      <c r="F233" s="27" t="n">
        <v>71572.4805155056</v>
      </c>
      <c r="G233" s="27" t="n">
        <v>79419</v>
      </c>
      <c r="H233" s="1" t="n">
        <v>7846.51948449443</v>
      </c>
      <c r="K233" s="22"/>
      <c r="M233" s="23"/>
      <c r="P233" s="12" t="n">
        <v>7</v>
      </c>
      <c r="Q233" s="13" t="s">
        <v>106</v>
      </c>
      <c r="R233" s="13" t="n">
        <v>64.1</v>
      </c>
      <c r="S233" s="13" t="n">
        <v>38.3</v>
      </c>
      <c r="T233" s="13" t="n">
        <v>34</v>
      </c>
      <c r="U233" s="13" t="n">
        <v>38.9</v>
      </c>
      <c r="V233" s="13" t="n">
        <v>85.1</v>
      </c>
      <c r="W233" s="26" t="n">
        <v>97262</v>
      </c>
    </row>
    <row r="234" customFormat="false" ht="12.8" hidden="false" customHeight="false" outlineLevel="0" collapsed="false">
      <c r="A234" s="1" t="n">
        <v>55.5</v>
      </c>
      <c r="B234" s="1" t="n">
        <v>14.5</v>
      </c>
      <c r="C234" s="1" t="n">
        <v>32.3</v>
      </c>
      <c r="D234" s="1" t="n">
        <v>32.6</v>
      </c>
      <c r="E234" s="1" t="n">
        <v>83.8</v>
      </c>
      <c r="F234" s="27" t="n">
        <v>187109.445671463</v>
      </c>
      <c r="G234" s="27" t="n">
        <v>89566</v>
      </c>
      <c r="H234" s="1" t="n">
        <v>-97543.4456714632</v>
      </c>
      <c r="K234" s="22"/>
      <c r="M234" s="23"/>
      <c r="P234" s="12" t="n">
        <v>7</v>
      </c>
      <c r="Q234" s="13" t="s">
        <v>107</v>
      </c>
      <c r="R234" s="13" t="n">
        <v>66.6</v>
      </c>
      <c r="S234" s="13" t="n">
        <v>30.8</v>
      </c>
      <c r="T234" s="13" t="n">
        <v>34.3</v>
      </c>
      <c r="U234" s="13" t="n">
        <v>37.5</v>
      </c>
      <c r="V234" s="13" t="n">
        <v>82.8</v>
      </c>
      <c r="W234" s="26" t="n">
        <v>63689</v>
      </c>
    </row>
    <row r="235" customFormat="false" ht="12.8" hidden="false" customHeight="false" outlineLevel="0" collapsed="false">
      <c r="A235" s="1" t="n">
        <v>48.1</v>
      </c>
      <c r="B235" s="1" t="n">
        <v>9.7</v>
      </c>
      <c r="C235" s="1" t="n">
        <v>33.2</v>
      </c>
      <c r="D235" s="1" t="n">
        <v>30.5</v>
      </c>
      <c r="E235" s="1" t="n">
        <v>83.5</v>
      </c>
      <c r="F235" s="27" t="n">
        <v>262282.168111559</v>
      </c>
      <c r="G235" s="27" t="n">
        <v>208126</v>
      </c>
      <c r="H235" s="1" t="n">
        <v>-54156.1681115594</v>
      </c>
      <c r="K235" s="22"/>
      <c r="M235" s="23"/>
      <c r="P235" s="12" t="n">
        <v>7</v>
      </c>
      <c r="Q235" s="13" t="s">
        <v>108</v>
      </c>
      <c r="R235" s="13" t="n">
        <v>60.1</v>
      </c>
      <c r="S235" s="13" t="n">
        <v>20.7</v>
      </c>
      <c r="T235" s="13" t="n">
        <v>34.5</v>
      </c>
      <c r="U235" s="13" t="n">
        <v>34.1</v>
      </c>
      <c r="V235" s="13" t="n">
        <v>85.9</v>
      </c>
      <c r="W235" s="26" t="n">
        <v>59585</v>
      </c>
    </row>
    <row r="236" customFormat="false" ht="12.8" hidden="false" customHeight="false" outlineLevel="0" collapsed="false">
      <c r="A236" s="1" t="n">
        <v>47.7</v>
      </c>
      <c r="B236" s="1" t="n">
        <v>16</v>
      </c>
      <c r="C236" s="1" t="n">
        <v>33.5</v>
      </c>
      <c r="D236" s="1" t="n">
        <v>32.2</v>
      </c>
      <c r="E236" s="1" t="n">
        <v>83.4</v>
      </c>
      <c r="F236" s="27" t="n">
        <v>223598.576628996</v>
      </c>
      <c r="G236" s="27" t="n">
        <v>152723</v>
      </c>
      <c r="H236" s="1" t="n">
        <v>-70875.5766289963</v>
      </c>
      <c r="K236" s="22"/>
      <c r="M236" s="23"/>
      <c r="P236" s="12" t="n">
        <v>7</v>
      </c>
      <c r="Q236" s="13" t="s">
        <v>109</v>
      </c>
      <c r="R236" s="13" t="n">
        <v>51.6</v>
      </c>
      <c r="S236" s="13" t="n">
        <v>21.5</v>
      </c>
      <c r="T236" s="13" t="n">
        <v>34.1</v>
      </c>
      <c r="U236" s="13" t="n">
        <v>39</v>
      </c>
      <c r="V236" s="13" t="n">
        <v>87.5</v>
      </c>
      <c r="W236" s="26" t="n">
        <v>95379</v>
      </c>
    </row>
    <row r="237" customFormat="false" ht="12.8" hidden="false" customHeight="false" outlineLevel="0" collapsed="false">
      <c r="A237" s="1" t="n">
        <v>53.8</v>
      </c>
      <c r="B237" s="1" t="n">
        <v>11.6</v>
      </c>
      <c r="C237" s="1" t="n">
        <v>34.4</v>
      </c>
      <c r="D237" s="1" t="n">
        <v>32</v>
      </c>
      <c r="E237" s="1" t="n">
        <v>82.3</v>
      </c>
      <c r="F237" s="27" t="n">
        <v>228599.129432464</v>
      </c>
      <c r="G237" s="27" t="n">
        <v>885483</v>
      </c>
      <c r="H237" s="1" t="n">
        <v>656883.870567536</v>
      </c>
      <c r="K237" s="22"/>
      <c r="M237" s="23"/>
      <c r="P237" s="12" t="n">
        <v>7</v>
      </c>
      <c r="Q237" s="13" t="s">
        <v>110</v>
      </c>
      <c r="R237" s="13" t="n">
        <v>60.2</v>
      </c>
      <c r="S237" s="13" t="n">
        <v>28.8</v>
      </c>
      <c r="T237" s="13" t="n">
        <v>33.9</v>
      </c>
      <c r="U237" s="13" t="n">
        <v>33.9</v>
      </c>
      <c r="V237" s="13" t="n">
        <v>90.1</v>
      </c>
      <c r="W237" s="26" t="n">
        <v>83000</v>
      </c>
    </row>
    <row r="238" customFormat="false" ht="12.8" hidden="false" customHeight="false" outlineLevel="0" collapsed="false">
      <c r="A238" s="1" t="n">
        <v>48.2</v>
      </c>
      <c r="B238" s="1" t="n">
        <v>13.5</v>
      </c>
      <c r="C238" s="1" t="n">
        <v>33.4</v>
      </c>
      <c r="D238" s="1" t="n">
        <v>31.9</v>
      </c>
      <c r="E238" s="1" t="n">
        <v>82.6</v>
      </c>
      <c r="F238" s="27" t="n">
        <v>237113.18235699</v>
      </c>
      <c r="G238" s="27" t="n">
        <v>259474</v>
      </c>
      <c r="H238" s="1" t="n">
        <v>22360.8176430095</v>
      </c>
      <c r="K238" s="22"/>
      <c r="M238" s="23"/>
      <c r="W238" s="0"/>
    </row>
    <row r="239" customFormat="false" ht="12.8" hidden="false" customHeight="false" outlineLevel="0" collapsed="false">
      <c r="A239" s="1" t="n">
        <v>70.4</v>
      </c>
      <c r="B239" s="1" t="n">
        <v>24.2</v>
      </c>
      <c r="C239" s="1" t="n">
        <v>34.2</v>
      </c>
      <c r="D239" s="1" t="n">
        <v>36.1</v>
      </c>
      <c r="E239" s="1" t="n">
        <v>84.8</v>
      </c>
      <c r="F239" s="27" t="n">
        <v>59825.8773297772</v>
      </c>
      <c r="G239" s="27" t="n">
        <v>106964</v>
      </c>
      <c r="H239" s="1" t="n">
        <v>47138.1226702228</v>
      </c>
      <c r="K239" s="22"/>
      <c r="M239" s="23"/>
      <c r="W239" s="0"/>
    </row>
    <row r="240" customFormat="false" ht="12.8" hidden="false" customHeight="false" outlineLevel="0" collapsed="false">
      <c r="A240" s="1" t="n">
        <v>72.3</v>
      </c>
      <c r="B240" s="1" t="n">
        <v>33.2</v>
      </c>
      <c r="C240" s="1" t="n">
        <v>33.1</v>
      </c>
      <c r="D240" s="1" t="n">
        <v>38.5</v>
      </c>
      <c r="E240" s="1" t="n">
        <v>83.8</v>
      </c>
      <c r="F240" s="27" t="n">
        <v>-19571.0533953137</v>
      </c>
      <c r="G240" s="27" t="n">
        <v>55576</v>
      </c>
      <c r="H240" s="1" t="n">
        <v>75147.0533953137</v>
      </c>
      <c r="K240" s="22"/>
      <c r="M240" s="23"/>
      <c r="W240" s="0"/>
    </row>
    <row r="241" customFormat="false" ht="12.8" hidden="false" customHeight="false" outlineLevel="0" collapsed="false">
      <c r="A241" s="1" t="n">
        <v>67</v>
      </c>
      <c r="B241" s="1" t="n">
        <v>27.5</v>
      </c>
      <c r="C241" s="1" t="n">
        <v>33.6</v>
      </c>
      <c r="D241" s="1" t="n">
        <v>32.8</v>
      </c>
      <c r="E241" s="1" t="n">
        <v>82.9</v>
      </c>
      <c r="F241" s="27" t="n">
        <v>41389.9665067585</v>
      </c>
      <c r="G241" s="27" t="n">
        <v>62200</v>
      </c>
      <c r="H241" s="1" t="n">
        <v>20810.0334932415</v>
      </c>
      <c r="K241" s="22"/>
      <c r="M241" s="23"/>
      <c r="W241" s="0"/>
    </row>
    <row r="242" customFormat="false" ht="12.8" hidden="false" customHeight="false" outlineLevel="0" collapsed="false">
      <c r="A242" s="1" t="n">
        <v>67.6</v>
      </c>
      <c r="B242" s="1" t="n">
        <v>24.3</v>
      </c>
      <c r="C242" s="1" t="n">
        <v>32.9</v>
      </c>
      <c r="D242" s="1" t="n">
        <v>33.6</v>
      </c>
      <c r="E242" s="1" t="n">
        <v>81.8</v>
      </c>
      <c r="F242" s="27" t="n">
        <v>57075.6579899362</v>
      </c>
      <c r="G242" s="27" t="n">
        <v>42301</v>
      </c>
      <c r="H242" s="1" t="n">
        <v>-14774.6579899362</v>
      </c>
      <c r="K242" s="22"/>
      <c r="M242" s="23"/>
      <c r="W242" s="0"/>
    </row>
    <row r="243" customFormat="false" ht="12.8" hidden="false" customHeight="false" outlineLevel="0" collapsed="false">
      <c r="A243" s="1" t="n">
        <v>69</v>
      </c>
      <c r="B243" s="1" t="n">
        <v>22.5</v>
      </c>
      <c r="C243" s="1" t="n">
        <v>33.2</v>
      </c>
      <c r="D243" s="1" t="n">
        <v>33.4</v>
      </c>
      <c r="E243" s="1" t="n">
        <v>82.6</v>
      </c>
      <c r="F243" s="27" t="n">
        <v>65421.8439438289</v>
      </c>
      <c r="G243" s="27" t="n">
        <v>36482</v>
      </c>
      <c r="H243" s="1" t="n">
        <v>-28939.8439438289</v>
      </c>
      <c r="K243" s="22"/>
      <c r="M243" s="23"/>
      <c r="W243" s="0"/>
    </row>
    <row r="244" customFormat="false" ht="12.8" hidden="false" customHeight="false" outlineLevel="0" collapsed="false">
      <c r="A244" s="1" t="n">
        <v>64.5</v>
      </c>
      <c r="B244" s="1" t="n">
        <v>31.2</v>
      </c>
      <c r="C244" s="1" t="n">
        <v>34</v>
      </c>
      <c r="D244" s="1" t="n">
        <v>36.2</v>
      </c>
      <c r="E244" s="1" t="n">
        <v>84.6</v>
      </c>
      <c r="F244" s="27" t="n">
        <v>38116.4033790521</v>
      </c>
      <c r="G244" s="27" t="n">
        <v>90464</v>
      </c>
      <c r="H244" s="1" t="n">
        <v>52347.5966209479</v>
      </c>
      <c r="K244" s="22"/>
      <c r="M244" s="23"/>
      <c r="W244" s="0"/>
    </row>
    <row r="245" customFormat="false" ht="12.8" hidden="false" customHeight="false" outlineLevel="0" collapsed="false">
      <c r="A245" s="1" t="n">
        <v>65.5</v>
      </c>
      <c r="B245" s="1" t="n">
        <v>24.6</v>
      </c>
      <c r="C245" s="1" t="n">
        <v>34.8</v>
      </c>
      <c r="D245" s="1" t="n">
        <v>36.2</v>
      </c>
      <c r="E245" s="1" t="n">
        <v>82.7</v>
      </c>
      <c r="F245" s="27" t="n">
        <v>84345.1043781892</v>
      </c>
      <c r="G245" s="27" t="n">
        <v>110457</v>
      </c>
      <c r="H245" s="1" t="n">
        <v>26111.8956218108</v>
      </c>
      <c r="K245" s="22"/>
      <c r="M245" s="23"/>
      <c r="W245" s="0"/>
    </row>
    <row r="246" customFormat="false" ht="12.8" hidden="false" customHeight="false" outlineLevel="0" collapsed="false">
      <c r="A246" s="1" t="n">
        <v>59.7</v>
      </c>
      <c r="B246" s="1" t="n">
        <v>17.7</v>
      </c>
      <c r="C246" s="1" t="n">
        <v>34.3</v>
      </c>
      <c r="D246" s="1" t="n">
        <v>34.6</v>
      </c>
      <c r="E246" s="1" t="n">
        <v>83.8</v>
      </c>
      <c r="F246" s="27" t="n">
        <v>159348.01613134</v>
      </c>
      <c r="G246" s="27" t="n">
        <v>145937</v>
      </c>
      <c r="H246" s="1" t="n">
        <v>-13411.0161313405</v>
      </c>
      <c r="K246" s="22"/>
      <c r="M246" s="23"/>
      <c r="W246" s="0"/>
    </row>
    <row r="247" customFormat="false" ht="12.8" hidden="false" customHeight="false" outlineLevel="0" collapsed="false">
      <c r="A247" s="1" t="n">
        <v>57</v>
      </c>
      <c r="B247" s="1" t="n">
        <v>16.8</v>
      </c>
      <c r="C247" s="1" t="n">
        <v>33.2</v>
      </c>
      <c r="D247" s="1" t="n">
        <v>31.1</v>
      </c>
      <c r="E247" s="1" t="n">
        <v>82.6</v>
      </c>
      <c r="F247" s="27" t="n">
        <v>164775.188621722</v>
      </c>
      <c r="G247" s="27" t="n">
        <v>364237</v>
      </c>
      <c r="H247" s="1" t="n">
        <v>199461.811378278</v>
      </c>
      <c r="K247" s="22"/>
      <c r="M247" s="23"/>
      <c r="W247" s="0"/>
    </row>
    <row r="248" customFormat="false" ht="12.8" hidden="false" customHeight="false" outlineLevel="0" collapsed="false">
      <c r="A248" s="1" t="n">
        <v>64.6</v>
      </c>
      <c r="B248" s="1" t="n">
        <v>18.1</v>
      </c>
      <c r="C248" s="1" t="n">
        <v>33.4</v>
      </c>
      <c r="D248" s="1" t="n">
        <v>34.8</v>
      </c>
      <c r="E248" s="1" t="n">
        <v>82.1</v>
      </c>
      <c r="F248" s="27" t="n">
        <v>123543.097628347</v>
      </c>
      <c r="G248" s="27" t="n">
        <v>73101</v>
      </c>
      <c r="H248" s="1" t="n">
        <v>-50442.097628347</v>
      </c>
      <c r="K248" s="22"/>
      <c r="M248" s="23"/>
      <c r="W248" s="0"/>
    </row>
    <row r="249" customFormat="false" ht="12.8" hidden="false" customHeight="false" outlineLevel="0" collapsed="false">
      <c r="A249" s="1" t="n">
        <v>62.6</v>
      </c>
      <c r="B249" s="1" t="n">
        <v>19.5</v>
      </c>
      <c r="C249" s="1" t="n">
        <v>33.8</v>
      </c>
      <c r="D249" s="1" t="n">
        <v>32.3</v>
      </c>
      <c r="E249" s="1" t="n">
        <v>83.6</v>
      </c>
      <c r="F249" s="27" t="n">
        <v>123475.939321049</v>
      </c>
      <c r="G249" s="27" t="n">
        <v>50825</v>
      </c>
      <c r="H249" s="1" t="n">
        <v>-72650.9393210495</v>
      </c>
      <c r="K249" s="22"/>
      <c r="M249" s="23"/>
      <c r="W249" s="0"/>
    </row>
    <row r="250" customFormat="false" ht="12.8" hidden="false" customHeight="false" outlineLevel="0" collapsed="false">
      <c r="A250" s="1" t="n">
        <v>62.8</v>
      </c>
      <c r="B250" s="1" t="n">
        <v>17.8</v>
      </c>
      <c r="C250" s="1" t="n">
        <v>34.8</v>
      </c>
      <c r="D250" s="1" t="n">
        <v>30.5</v>
      </c>
      <c r="E250" s="1" t="n">
        <v>80.3</v>
      </c>
      <c r="F250" s="27" t="n">
        <v>134870.911307216</v>
      </c>
      <c r="G250" s="27" t="n">
        <v>130171</v>
      </c>
      <c r="H250" s="1" t="n">
        <v>-4699.91130721616</v>
      </c>
      <c r="K250" s="22"/>
      <c r="M250" s="23"/>
      <c r="W250" s="0"/>
    </row>
    <row r="251" customFormat="false" ht="12.8" hidden="false" customHeight="false" outlineLevel="0" collapsed="false">
      <c r="A251" s="1" t="n">
        <v>50.2</v>
      </c>
      <c r="B251" s="1" t="n">
        <v>13.8</v>
      </c>
      <c r="C251" s="1" t="n">
        <v>34.1</v>
      </c>
      <c r="D251" s="1" t="n">
        <v>31.6</v>
      </c>
      <c r="E251" s="1" t="n">
        <v>80.7</v>
      </c>
      <c r="F251" s="27" t="n">
        <v>226807.627154463</v>
      </c>
      <c r="G251" s="27" t="n">
        <v>543377</v>
      </c>
      <c r="H251" s="1" t="n">
        <v>316569.372845537</v>
      </c>
      <c r="K251" s="22"/>
      <c r="M251" s="23"/>
      <c r="W251" s="0"/>
    </row>
    <row r="252" customFormat="false" ht="12.8" hidden="false" customHeight="false" outlineLevel="0" collapsed="false">
      <c r="A252" s="1" t="n">
        <v>56.8</v>
      </c>
      <c r="B252" s="1" t="n">
        <v>15.5</v>
      </c>
      <c r="C252" s="1" t="n">
        <v>33.7</v>
      </c>
      <c r="D252" s="1" t="n">
        <v>32.8</v>
      </c>
      <c r="E252" s="1" t="n">
        <v>82.4</v>
      </c>
      <c r="F252" s="27" t="n">
        <v>181531.451170703</v>
      </c>
      <c r="G252" s="27" t="n">
        <v>229595</v>
      </c>
      <c r="H252" s="1" t="n">
        <v>48063.5488292967</v>
      </c>
      <c r="K252" s="22"/>
      <c r="M252" s="23"/>
      <c r="W252" s="0"/>
    </row>
    <row r="253" customFormat="false" ht="12.8" hidden="false" customHeight="false" outlineLevel="0" collapsed="false">
      <c r="A253" s="1" t="n">
        <v>56.3</v>
      </c>
      <c r="B253" s="1" t="n">
        <v>20.8</v>
      </c>
      <c r="C253" s="1" t="n">
        <v>35.5</v>
      </c>
      <c r="D253" s="1" t="n">
        <v>37.1</v>
      </c>
      <c r="E253" s="1" t="n">
        <v>79</v>
      </c>
      <c r="F253" s="27" t="n">
        <v>162094.548376405</v>
      </c>
      <c r="G253" s="27" t="n">
        <v>48406</v>
      </c>
      <c r="H253" s="1" t="n">
        <v>-113688.548376405</v>
      </c>
      <c r="K253" s="22"/>
      <c r="M253" s="23"/>
      <c r="W253" s="0"/>
    </row>
    <row r="254" customFormat="false" ht="12.8" hidden="false" customHeight="false" outlineLevel="0" collapsed="false">
      <c r="A254" s="1" t="n">
        <v>57.5</v>
      </c>
      <c r="B254" s="1" t="n">
        <v>17.9</v>
      </c>
      <c r="C254" s="1" t="n">
        <v>35.2</v>
      </c>
      <c r="D254" s="1" t="n">
        <v>32.7</v>
      </c>
      <c r="E254" s="1" t="n">
        <v>79.8</v>
      </c>
      <c r="F254" s="27" t="n">
        <v>167766.376459557</v>
      </c>
      <c r="G254" s="27" t="n">
        <v>44701</v>
      </c>
      <c r="H254" s="1" t="n">
        <v>-123065.376459557</v>
      </c>
      <c r="K254" s="22"/>
      <c r="M254" s="23"/>
      <c r="W254" s="0"/>
    </row>
    <row r="255" customFormat="false" ht="12.8" hidden="false" customHeight="false" outlineLevel="0" collapsed="false">
      <c r="A255" s="1" t="n">
        <v>58</v>
      </c>
      <c r="B255" s="1" t="n">
        <v>23.6</v>
      </c>
      <c r="C255" s="1" t="n">
        <v>33.7</v>
      </c>
      <c r="D255" s="1" t="n">
        <v>31</v>
      </c>
      <c r="E255" s="1" t="n">
        <v>84.6</v>
      </c>
      <c r="F255" s="27" t="n">
        <v>115503.637777059</v>
      </c>
      <c r="G255" s="27" t="n">
        <v>28990</v>
      </c>
      <c r="H255" s="1" t="n">
        <v>-86513.6377770593</v>
      </c>
      <c r="K255" s="22"/>
      <c r="M255" s="23"/>
      <c r="W255" s="0"/>
    </row>
    <row r="256" customFormat="false" ht="12.8" hidden="false" customHeight="false" outlineLevel="0" collapsed="false">
      <c r="A256" s="1" t="n">
        <v>71.5</v>
      </c>
      <c r="B256" s="1" t="n">
        <v>25.6</v>
      </c>
      <c r="C256" s="1" t="n">
        <v>33.5</v>
      </c>
      <c r="D256" s="1" t="n">
        <v>35.8</v>
      </c>
      <c r="E256" s="1" t="n">
        <v>86.3</v>
      </c>
      <c r="F256" s="27" t="n">
        <v>40226.2741244567</v>
      </c>
      <c r="G256" s="27" t="n">
        <v>36075</v>
      </c>
      <c r="H256" s="1" t="n">
        <v>-4151.27412445669</v>
      </c>
      <c r="K256" s="22"/>
      <c r="M256" s="23"/>
      <c r="W256" s="0"/>
    </row>
    <row r="257" customFormat="false" ht="12.8" hidden="false" customHeight="false" outlineLevel="0" collapsed="false">
      <c r="A257" s="1" t="n">
        <v>65</v>
      </c>
      <c r="B257" s="1" t="n">
        <v>35.6</v>
      </c>
      <c r="C257" s="1" t="n">
        <v>32.4</v>
      </c>
      <c r="D257" s="1" t="n">
        <v>38.3</v>
      </c>
      <c r="E257" s="1" t="n">
        <v>81.8</v>
      </c>
      <c r="F257" s="27" t="n">
        <v>-6439.83371972371</v>
      </c>
      <c r="G257" s="27" t="n">
        <v>106146</v>
      </c>
      <c r="H257" s="1" t="n">
        <v>112585.833719724</v>
      </c>
      <c r="K257" s="22"/>
      <c r="M257" s="23"/>
      <c r="W257" s="0"/>
    </row>
    <row r="258" customFormat="false" ht="12.8" hidden="false" customHeight="false" outlineLevel="0" collapsed="false">
      <c r="A258" s="1" t="n">
        <v>59.3</v>
      </c>
      <c r="B258" s="1" t="n">
        <v>21.4</v>
      </c>
      <c r="C258" s="1" t="n">
        <v>33.4</v>
      </c>
      <c r="D258" s="1" t="n">
        <v>36.7</v>
      </c>
      <c r="E258" s="1" t="n">
        <v>81.8</v>
      </c>
      <c r="F258" s="27" t="n">
        <v>130133.243720277</v>
      </c>
      <c r="G258" s="27" t="n">
        <v>154715</v>
      </c>
      <c r="H258" s="1" t="n">
        <v>24581.7562797231</v>
      </c>
      <c r="K258" s="22"/>
      <c r="M258" s="23"/>
      <c r="W258" s="0"/>
    </row>
    <row r="259" customFormat="false" ht="12.8" hidden="false" customHeight="false" outlineLevel="0" collapsed="false">
      <c r="A259" s="1" t="n">
        <v>57.1</v>
      </c>
      <c r="B259" s="1" t="n">
        <v>20.2</v>
      </c>
      <c r="C259" s="1" t="n">
        <v>34.4</v>
      </c>
      <c r="D259" s="1" t="n">
        <v>33.7</v>
      </c>
      <c r="E259" s="1" t="n">
        <v>84.6</v>
      </c>
      <c r="F259" s="27" t="n">
        <v>154525.312383537</v>
      </c>
      <c r="G259" s="27" t="n">
        <v>64632</v>
      </c>
      <c r="H259" s="1" t="n">
        <v>-89893.3123835368</v>
      </c>
      <c r="K259" s="22"/>
      <c r="M259" s="23"/>
      <c r="W259" s="0"/>
    </row>
    <row r="260" customFormat="false" ht="12.8" hidden="false" customHeight="false" outlineLevel="0" collapsed="false">
      <c r="A260" s="1" t="n">
        <v>57</v>
      </c>
      <c r="B260" s="1" t="n">
        <v>27.2</v>
      </c>
      <c r="C260" s="1" t="n">
        <v>35.8</v>
      </c>
      <c r="D260" s="1" t="n">
        <v>31.1</v>
      </c>
      <c r="E260" s="1" t="n">
        <v>77</v>
      </c>
      <c r="F260" s="27" t="n">
        <v>101027.689350679</v>
      </c>
      <c r="G260" s="27" t="n">
        <v>40930</v>
      </c>
      <c r="H260" s="1" t="n">
        <v>-60097.6893506785</v>
      </c>
      <c r="K260" s="22"/>
      <c r="M260" s="23"/>
      <c r="W260" s="0"/>
    </row>
    <row r="261" customFormat="false" ht="12.8" hidden="false" customHeight="false" outlineLevel="0" collapsed="false">
      <c r="A261" s="1" t="n">
        <v>55</v>
      </c>
      <c r="B261" s="1" t="n">
        <v>34.1</v>
      </c>
      <c r="C261" s="1" t="n">
        <v>33.5</v>
      </c>
      <c r="D261" s="1" t="n">
        <v>32.5</v>
      </c>
      <c r="E261" s="1" t="n">
        <v>80.6</v>
      </c>
      <c r="F261" s="27" t="n">
        <v>51916.4839323519</v>
      </c>
      <c r="G261" s="27" t="n">
        <v>57163</v>
      </c>
      <c r="H261" s="1" t="n">
        <v>5246.51606764813</v>
      </c>
      <c r="K261" s="22"/>
      <c r="M261" s="23"/>
      <c r="W261" s="0"/>
    </row>
    <row r="262" customFormat="false" ht="12.8" hidden="false" customHeight="false" outlineLevel="0" collapsed="false">
      <c r="A262" s="1" t="n">
        <v>63</v>
      </c>
      <c r="B262" s="1" t="n">
        <v>19.2</v>
      </c>
      <c r="C262" s="1" t="n">
        <v>33.2</v>
      </c>
      <c r="D262" s="1" t="n">
        <v>33.7</v>
      </c>
      <c r="E262" s="1" t="n">
        <v>81</v>
      </c>
      <c r="F262" s="27" t="n">
        <v>119324.791954736</v>
      </c>
      <c r="G262" s="27" t="n">
        <v>74178</v>
      </c>
      <c r="H262" s="1" t="n">
        <v>-45146.791954736</v>
      </c>
      <c r="K262" s="22"/>
      <c r="M262" s="23"/>
      <c r="W262" s="0"/>
    </row>
    <row r="263" customFormat="false" ht="12.8" hidden="false" customHeight="false" outlineLevel="0" collapsed="false">
      <c r="A263" s="1" t="n">
        <v>68</v>
      </c>
      <c r="B263" s="1" t="n">
        <v>17.1</v>
      </c>
      <c r="C263" s="1" t="n">
        <v>31</v>
      </c>
      <c r="D263" s="1" t="n">
        <v>29.9</v>
      </c>
      <c r="E263" s="1" t="n">
        <v>79.1</v>
      </c>
      <c r="F263" s="27" t="n">
        <v>84858.8233902977</v>
      </c>
      <c r="G263" s="27" t="n">
        <v>36615</v>
      </c>
      <c r="H263" s="1" t="n">
        <v>-48243.8233902977</v>
      </c>
      <c r="K263" s="22"/>
      <c r="M263" s="23"/>
      <c r="W263" s="0"/>
    </row>
    <row r="264" customFormat="false" ht="12.8" hidden="false" customHeight="false" outlineLevel="0" collapsed="false">
      <c r="A264" s="1" t="n">
        <v>57.9</v>
      </c>
      <c r="B264" s="1" t="n">
        <v>21.5</v>
      </c>
      <c r="C264" s="1" t="n">
        <v>34.1</v>
      </c>
      <c r="D264" s="1" t="n">
        <v>33.3</v>
      </c>
      <c r="E264" s="1" t="n">
        <v>83.9</v>
      </c>
      <c r="F264" s="27" t="n">
        <v>137440.489170705</v>
      </c>
      <c r="G264" s="27" t="n">
        <v>296881</v>
      </c>
      <c r="H264" s="1" t="n">
        <v>159440.510829295</v>
      </c>
      <c r="K264" s="22"/>
      <c r="M264" s="23"/>
      <c r="W264" s="0"/>
    </row>
    <row r="265" customFormat="false" ht="12.8" hidden="false" customHeight="false" outlineLevel="0" collapsed="false">
      <c r="A265" s="1" t="n">
        <v>58.9</v>
      </c>
      <c r="B265" s="1" t="n">
        <v>24.8</v>
      </c>
      <c r="C265" s="1" t="n">
        <v>34.5</v>
      </c>
      <c r="D265" s="1" t="n">
        <v>34.8</v>
      </c>
      <c r="E265" s="1" t="n">
        <v>85.1</v>
      </c>
      <c r="F265" s="27" t="n">
        <v>114985.514322237</v>
      </c>
      <c r="G265" s="27" t="n">
        <v>48269</v>
      </c>
      <c r="H265" s="1" t="n">
        <v>-66716.5143222365</v>
      </c>
      <c r="K265" s="22"/>
      <c r="M265" s="23"/>
      <c r="W265" s="0"/>
    </row>
    <row r="266" customFormat="false" ht="12.8" hidden="false" customHeight="false" outlineLevel="0" collapsed="false">
      <c r="A266" s="1" t="n">
        <v>59.3</v>
      </c>
      <c r="B266" s="1" t="n">
        <v>25.6</v>
      </c>
      <c r="C266" s="1" t="n">
        <v>34.5</v>
      </c>
      <c r="D266" s="1" t="n">
        <v>33.8</v>
      </c>
      <c r="E266" s="1" t="n">
        <v>84.7</v>
      </c>
      <c r="F266" s="27" t="n">
        <v>104868.943370281</v>
      </c>
      <c r="G266" s="27" t="n">
        <v>69750</v>
      </c>
      <c r="H266" s="1" t="n">
        <v>-35118.9433702814</v>
      </c>
      <c r="K266" s="22"/>
      <c r="M266" s="23"/>
      <c r="W266" s="0"/>
    </row>
    <row r="267" customFormat="false" ht="12.8" hidden="false" customHeight="false" outlineLevel="0" collapsed="false">
      <c r="A267" s="1" t="n">
        <v>64.1</v>
      </c>
      <c r="B267" s="1" t="n">
        <v>38.3</v>
      </c>
      <c r="C267" s="1" t="n">
        <v>34</v>
      </c>
      <c r="D267" s="1" t="n">
        <v>38.9</v>
      </c>
      <c r="E267" s="1" t="n">
        <v>85.1</v>
      </c>
      <c r="F267" s="27" t="n">
        <v>-5976.7330193728</v>
      </c>
      <c r="G267" s="27" t="n">
        <v>97262</v>
      </c>
      <c r="H267" s="1" t="n">
        <v>103238.733019373</v>
      </c>
      <c r="K267" s="22"/>
      <c r="M267" s="23"/>
      <c r="W267" s="0"/>
    </row>
    <row r="268" customFormat="false" ht="12.8" hidden="false" customHeight="false" outlineLevel="0" collapsed="false">
      <c r="A268" s="1" t="n">
        <v>66.6</v>
      </c>
      <c r="B268" s="1" t="n">
        <v>30.8</v>
      </c>
      <c r="C268" s="1" t="n">
        <v>34.3</v>
      </c>
      <c r="D268" s="1" t="n">
        <v>37.5</v>
      </c>
      <c r="E268" s="1" t="n">
        <v>82.8</v>
      </c>
      <c r="F268" s="27" t="n">
        <v>32667.9320574448</v>
      </c>
      <c r="G268" s="27" t="n">
        <v>63689</v>
      </c>
      <c r="H268" s="1" t="n">
        <v>31021.0679425552</v>
      </c>
      <c r="K268" s="22"/>
      <c r="M268" s="23"/>
      <c r="W268" s="0"/>
    </row>
    <row r="269" customFormat="false" ht="12.8" hidden="false" customHeight="false" outlineLevel="0" collapsed="false">
      <c r="A269" s="1" t="n">
        <v>60.1</v>
      </c>
      <c r="B269" s="1" t="n">
        <v>20.7</v>
      </c>
      <c r="C269" s="1" t="n">
        <v>34.5</v>
      </c>
      <c r="D269" s="1" t="n">
        <v>34.1</v>
      </c>
      <c r="E269" s="1" t="n">
        <v>85.9</v>
      </c>
      <c r="F269" s="27" t="n">
        <v>138130.952809733</v>
      </c>
      <c r="G269" s="27" t="n">
        <v>59585</v>
      </c>
      <c r="H269" s="1" t="n">
        <v>-78545.9528097331</v>
      </c>
      <c r="K269" s="22"/>
      <c r="M269" s="23"/>
      <c r="W269" s="0"/>
    </row>
    <row r="270" customFormat="false" ht="12.8" hidden="false" customHeight="false" outlineLevel="0" collapsed="false">
      <c r="A270" s="1" t="n">
        <v>51.6</v>
      </c>
      <c r="B270" s="1" t="n">
        <v>21.5</v>
      </c>
      <c r="C270" s="1" t="n">
        <v>34.1</v>
      </c>
      <c r="D270" s="1" t="n">
        <v>39</v>
      </c>
      <c r="E270" s="1" t="n">
        <v>87.5</v>
      </c>
      <c r="F270" s="27" t="n">
        <v>184162.462061652</v>
      </c>
      <c r="G270" s="27" t="n">
        <v>95379</v>
      </c>
      <c r="H270" s="1" t="n">
        <v>-88783.4620616523</v>
      </c>
      <c r="K270" s="22"/>
      <c r="M270" s="23"/>
      <c r="W270" s="0"/>
    </row>
    <row r="271" customFormat="false" ht="12.8" hidden="false" customHeight="false" outlineLevel="0" collapsed="false">
      <c r="A271" s="1" t="n">
        <v>60.2</v>
      </c>
      <c r="B271" s="1" t="n">
        <v>28.8</v>
      </c>
      <c r="C271" s="1" t="n">
        <v>33.9</v>
      </c>
      <c r="D271" s="1" t="n">
        <v>33.9</v>
      </c>
      <c r="E271" s="1" t="n">
        <v>90.1</v>
      </c>
      <c r="F271" s="27" t="n">
        <v>78714.4149338855</v>
      </c>
      <c r="G271" s="27" t="n">
        <v>83000</v>
      </c>
      <c r="H271" s="1" t="n">
        <v>4285.58506611447</v>
      </c>
      <c r="K271" s="22"/>
      <c r="M271" s="23"/>
      <c r="W271" s="0"/>
    </row>
    <row r="272" customFormat="false" ht="12.8" hidden="false" customHeight="false" outlineLevel="0" collapsed="false">
      <c r="F272" s="27"/>
      <c r="G272" s="27"/>
      <c r="K272" s="22"/>
      <c r="M272" s="23"/>
      <c r="W272" s="0"/>
    </row>
    <row r="273" customFormat="false" ht="12.8" hidden="false" customHeight="false" outlineLevel="0" collapsed="false">
      <c r="K273" s="22"/>
      <c r="M273" s="23"/>
      <c r="W273" s="0"/>
    </row>
    <row r="274" customFormat="false" ht="12.8" hidden="false" customHeight="false" outlineLevel="0" collapsed="false">
      <c r="K274" s="22"/>
      <c r="M274" s="23"/>
      <c r="W274" s="0"/>
    </row>
    <row r="275" customFormat="false" ht="12.8" hidden="false" customHeight="false" outlineLevel="0" collapsed="false">
      <c r="K275" s="22"/>
      <c r="M275" s="23"/>
      <c r="W275" s="0"/>
    </row>
    <row r="276" customFormat="false" ht="12.8" hidden="false" customHeight="false" outlineLevel="0" collapsed="false">
      <c r="K276" s="22"/>
      <c r="M276" s="23"/>
      <c r="W276" s="0"/>
    </row>
    <row r="277" customFormat="false" ht="12.8" hidden="false" customHeight="false" outlineLevel="0" collapsed="false">
      <c r="K277" s="22"/>
      <c r="M277" s="23"/>
      <c r="W277" s="0"/>
    </row>
    <row r="278" customFormat="false" ht="12.8" hidden="false" customHeight="false" outlineLevel="0" collapsed="false">
      <c r="K278" s="22"/>
      <c r="M278" s="23"/>
      <c r="W278" s="0"/>
    </row>
    <row r="279" customFormat="false" ht="12.8" hidden="false" customHeight="false" outlineLevel="0" collapsed="false">
      <c r="K279" s="22"/>
      <c r="M279" s="23"/>
      <c r="W279" s="0"/>
    </row>
    <row r="280" customFormat="false" ht="12.8" hidden="false" customHeight="false" outlineLevel="0" collapsed="false">
      <c r="K280" s="22"/>
      <c r="M280" s="23"/>
      <c r="W280" s="0"/>
    </row>
    <row r="281" customFormat="false" ht="12.8" hidden="false" customHeight="false" outlineLevel="0" collapsed="false">
      <c r="K281" s="22"/>
      <c r="M281" s="23"/>
      <c r="W281" s="0"/>
    </row>
    <row r="282" customFormat="false" ht="12.8" hidden="false" customHeight="false" outlineLevel="0" collapsed="false">
      <c r="K282" s="22"/>
      <c r="M282" s="23"/>
      <c r="W282" s="0"/>
    </row>
    <row r="283" customFormat="false" ht="12.8" hidden="false" customHeight="false" outlineLevel="0" collapsed="false">
      <c r="K283" s="22"/>
      <c r="M283" s="23"/>
      <c r="W283" s="0"/>
    </row>
    <row r="284" customFormat="false" ht="12.8" hidden="false" customHeight="false" outlineLevel="0" collapsed="false">
      <c r="K284" s="22"/>
      <c r="M284" s="23"/>
      <c r="W284" s="0"/>
    </row>
    <row r="285" customFormat="false" ht="12.8" hidden="false" customHeight="false" outlineLevel="0" collapsed="false">
      <c r="K285" s="22"/>
      <c r="M285" s="23"/>
    </row>
    <row r="286" customFormat="false" ht="12.8" hidden="false" customHeight="false" outlineLevel="0" collapsed="false">
      <c r="K286" s="22"/>
      <c r="M286" s="23"/>
    </row>
    <row r="287" customFormat="false" ht="12.8" hidden="false" customHeight="false" outlineLevel="0" collapsed="false">
      <c r="K287" s="22"/>
      <c r="M287" s="23"/>
    </row>
    <row r="288" customFormat="false" ht="12.8" hidden="false" customHeight="false" outlineLevel="0" collapsed="false">
      <c r="K288" s="22"/>
      <c r="M288" s="23"/>
    </row>
    <row r="289" customFormat="false" ht="12.8" hidden="false" customHeight="false" outlineLevel="0" collapsed="false">
      <c r="K289" s="22"/>
      <c r="M289" s="23"/>
    </row>
    <row r="290" customFormat="false" ht="12.8" hidden="false" customHeight="false" outlineLevel="0" collapsed="false">
      <c r="K290" s="22"/>
      <c r="M290" s="23"/>
    </row>
    <row r="291" customFormat="false" ht="12.8" hidden="false" customHeight="false" outlineLevel="0" collapsed="false">
      <c r="K291" s="22"/>
      <c r="M291" s="23"/>
    </row>
    <row r="292" customFormat="false" ht="12.8" hidden="false" customHeight="false" outlineLevel="0" collapsed="false">
      <c r="K292" s="22"/>
      <c r="M292" s="23"/>
    </row>
    <row r="293" customFormat="false" ht="12.8" hidden="false" customHeight="false" outlineLevel="0" collapsed="false">
      <c r="K293" s="22"/>
      <c r="M293" s="23"/>
    </row>
    <row r="294" customFormat="false" ht="12.8" hidden="false" customHeight="false" outlineLevel="0" collapsed="false">
      <c r="K294" s="22"/>
      <c r="M294" s="23"/>
    </row>
    <row r="295" customFormat="false" ht="12.8" hidden="false" customHeight="false" outlineLevel="0" collapsed="false">
      <c r="K295" s="22"/>
      <c r="M295" s="23"/>
    </row>
    <row r="296" customFormat="false" ht="12.8" hidden="false" customHeight="false" outlineLevel="0" collapsed="false">
      <c r="K296" s="22"/>
      <c r="M296" s="23"/>
    </row>
    <row r="297" customFormat="false" ht="12.8" hidden="false" customHeight="false" outlineLevel="0" collapsed="false">
      <c r="K297" s="22"/>
      <c r="M297" s="23"/>
    </row>
    <row r="298" customFormat="false" ht="12.8" hidden="false" customHeight="false" outlineLevel="0" collapsed="false">
      <c r="K298" s="22"/>
      <c r="M298" s="23"/>
    </row>
    <row r="299" customFormat="false" ht="12.8" hidden="false" customHeight="false" outlineLevel="0" collapsed="false">
      <c r="K299" s="22"/>
      <c r="M299" s="23"/>
    </row>
    <row r="300" customFormat="false" ht="12.8" hidden="false" customHeight="false" outlineLevel="0" collapsed="false">
      <c r="K300" s="22"/>
      <c r="M300" s="23"/>
    </row>
    <row r="301" customFormat="false" ht="12.8" hidden="false" customHeight="false" outlineLevel="0" collapsed="false">
      <c r="K301" s="22"/>
      <c r="M301" s="23"/>
    </row>
    <row r="302" customFormat="false" ht="12.8" hidden="false" customHeight="false" outlineLevel="0" collapsed="false">
      <c r="K302" s="22"/>
      <c r="M302" s="23"/>
    </row>
    <row r="303" customFormat="false" ht="12.8" hidden="false" customHeight="false" outlineLevel="0" collapsed="false">
      <c r="K303" s="22"/>
      <c r="M303" s="23"/>
    </row>
    <row r="304" customFormat="false" ht="12.8" hidden="false" customHeight="false" outlineLevel="0" collapsed="false">
      <c r="K304" s="22"/>
      <c r="M304" s="23"/>
    </row>
    <row r="305" customFormat="false" ht="12.8" hidden="false" customHeight="false" outlineLevel="0" collapsed="false">
      <c r="K305" s="22"/>
      <c r="M305" s="23"/>
    </row>
    <row r="306" customFormat="false" ht="12.8" hidden="false" customHeight="false" outlineLevel="0" collapsed="false">
      <c r="K306" s="22"/>
      <c r="M306" s="23"/>
    </row>
    <row r="307" customFormat="false" ht="12.8" hidden="false" customHeight="false" outlineLevel="0" collapsed="false">
      <c r="K307" s="22"/>
      <c r="M307" s="23"/>
    </row>
    <row r="308" customFormat="false" ht="12.8" hidden="false" customHeight="false" outlineLevel="0" collapsed="false">
      <c r="K308" s="22"/>
      <c r="M308" s="23"/>
    </row>
    <row r="309" customFormat="false" ht="12.8" hidden="false" customHeight="false" outlineLevel="0" collapsed="false">
      <c r="K309" s="22"/>
      <c r="M309" s="23"/>
    </row>
    <row r="310" customFormat="false" ht="12.8" hidden="false" customHeight="false" outlineLevel="0" collapsed="false">
      <c r="K310" s="22"/>
      <c r="M310" s="23"/>
    </row>
    <row r="311" customFormat="false" ht="12.8" hidden="false" customHeight="false" outlineLevel="0" collapsed="false">
      <c r="K311" s="22"/>
      <c r="M311" s="23"/>
    </row>
    <row r="312" customFormat="false" ht="12.8" hidden="false" customHeight="false" outlineLevel="0" collapsed="false">
      <c r="K312" s="22"/>
      <c r="M312" s="23"/>
    </row>
    <row r="313" customFormat="false" ht="12.8" hidden="false" customHeight="false" outlineLevel="0" collapsed="false">
      <c r="K313" s="22"/>
      <c r="M313" s="23"/>
    </row>
    <row r="314" customFormat="false" ht="12.8" hidden="false" customHeight="false" outlineLevel="0" collapsed="false">
      <c r="K314" s="22"/>
      <c r="M314" s="23"/>
    </row>
    <row r="315" customFormat="false" ht="12.8" hidden="false" customHeight="false" outlineLevel="0" collapsed="false">
      <c r="K315" s="22"/>
      <c r="M315" s="23"/>
    </row>
    <row r="316" customFormat="false" ht="12.8" hidden="false" customHeight="false" outlineLevel="0" collapsed="false">
      <c r="K316" s="22"/>
      <c r="M316" s="23"/>
    </row>
    <row r="317" customFormat="false" ht="12.8" hidden="false" customHeight="false" outlineLevel="0" collapsed="false">
      <c r="K317" s="22"/>
      <c r="M317" s="23"/>
    </row>
    <row r="318" customFormat="false" ht="12.8" hidden="false" customHeight="false" outlineLevel="0" collapsed="false">
      <c r="K318" s="22"/>
      <c r="M318" s="23"/>
    </row>
    <row r="319" customFormat="false" ht="12.8" hidden="false" customHeight="false" outlineLevel="0" collapsed="false">
      <c r="K319" s="22"/>
      <c r="M319" s="23"/>
    </row>
    <row r="320" customFormat="false" ht="12.8" hidden="false" customHeight="false" outlineLevel="0" collapsed="false">
      <c r="K320" s="22"/>
      <c r="M320" s="23"/>
    </row>
    <row r="321" customFormat="false" ht="12.8" hidden="false" customHeight="false" outlineLevel="0" collapsed="false">
      <c r="K321" s="22"/>
      <c r="M321" s="23"/>
    </row>
    <row r="322" customFormat="false" ht="12.8" hidden="false" customHeight="false" outlineLevel="0" collapsed="false">
      <c r="K322" s="22"/>
      <c r="M322" s="23"/>
    </row>
    <row r="323" customFormat="false" ht="12.8" hidden="false" customHeight="false" outlineLevel="0" collapsed="false">
      <c r="K323" s="22"/>
      <c r="M323" s="23"/>
    </row>
  </sheetData>
  <mergeCells count="1">
    <mergeCell ref="P1:Q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6"/>
    <col collapsed="false" customWidth="true" hidden="false" outlineLevel="0" max="7" min="2" style="1" width="17.52"/>
    <col collapsed="false" customWidth="true" hidden="false" outlineLevel="0" max="13" min="8" style="1" width="12.94"/>
    <col collapsed="false" customWidth="true" hidden="false" outlineLevel="0" max="15" min="14" style="1" width="8.62"/>
    <col collapsed="false" customWidth="true" hidden="false" outlineLevel="0" max="17" min="16" style="1" width="8.76"/>
    <col collapsed="false" customWidth="true" hidden="false" outlineLevel="0" max="22" min="18" style="1" width="9.87"/>
    <col collapsed="false" customWidth="false" hidden="false" outlineLevel="0" max="23" min="23" style="24" width="11.53"/>
  </cols>
  <sheetData>
    <row r="1" customFormat="false" ht="15.65" hidden="false" customHeight="false" outlineLevel="0" collapsed="false">
      <c r="P1" s="9" t="s">
        <v>33</v>
      </c>
      <c r="Q1" s="9"/>
      <c r="R1" s="9" t="n">
        <v>2</v>
      </c>
      <c r="S1" s="9" t="n">
        <v>2</v>
      </c>
      <c r="T1" s="9" t="n">
        <v>2</v>
      </c>
      <c r="U1" s="9" t="n">
        <v>2</v>
      </c>
      <c r="V1" s="9" t="n">
        <v>2</v>
      </c>
      <c r="W1" s="9" t="n">
        <v>2</v>
      </c>
    </row>
    <row r="2" customFormat="false" ht="41.75" hidden="false" customHeight="true" outlineLevel="0" collapsed="false"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 t="s">
        <v>40</v>
      </c>
      <c r="W2" s="25" t="s">
        <v>121</v>
      </c>
    </row>
    <row r="3" customFormat="false" ht="12.8" hidden="false" customHeight="false" outlineLevel="0" collapsed="false">
      <c r="A3" s="1" t="s">
        <v>41</v>
      </c>
      <c r="P3" s="12" t="n">
        <v>3</v>
      </c>
      <c r="Q3" s="13" t="s">
        <v>42</v>
      </c>
      <c r="R3" s="14" t="n">
        <v>48</v>
      </c>
      <c r="S3" s="14" t="n">
        <v>9.9</v>
      </c>
      <c r="T3" s="14" t="n">
        <v>32.5</v>
      </c>
      <c r="U3" s="14" t="n">
        <v>10.6</v>
      </c>
      <c r="V3" s="14" t="n">
        <v>79.6</v>
      </c>
      <c r="W3" s="13" t="n">
        <v>6.26</v>
      </c>
    </row>
    <row r="4" customFormat="false" ht="12.8" hidden="false" customHeight="false" outlineLevel="0" collapsed="false">
      <c r="A4" s="1" t="s">
        <v>43</v>
      </c>
      <c r="B4" s="1" t="s">
        <v>44</v>
      </c>
      <c r="P4" s="12" t="n">
        <v>3</v>
      </c>
      <c r="Q4" s="13" t="s">
        <v>45</v>
      </c>
      <c r="R4" s="14" t="n">
        <v>55.1</v>
      </c>
      <c r="S4" s="14" t="n">
        <v>17.8</v>
      </c>
      <c r="T4" s="14" t="n">
        <v>32.3</v>
      </c>
      <c r="U4" s="14" t="n">
        <v>10.6</v>
      </c>
      <c r="V4" s="14" t="n">
        <v>80.3</v>
      </c>
      <c r="W4" s="13" t="n">
        <v>6.37</v>
      </c>
    </row>
    <row r="5" customFormat="false" ht="12.8" hidden="false" customHeight="false" outlineLevel="0" collapsed="false">
      <c r="P5" s="12" t="n">
        <v>3</v>
      </c>
      <c r="Q5" s="13" t="s">
        <v>46</v>
      </c>
      <c r="R5" s="14" t="n">
        <v>57.9</v>
      </c>
      <c r="S5" s="14" t="n">
        <v>14.6</v>
      </c>
      <c r="T5" s="14" t="n">
        <v>32.3</v>
      </c>
      <c r="U5" s="14" t="n">
        <v>11.8</v>
      </c>
      <c r="V5" s="14" t="n">
        <v>83.2</v>
      </c>
      <c r="W5" s="13" t="n">
        <v>6.01</v>
      </c>
    </row>
    <row r="6" customFormat="false" ht="12.8" hidden="false" customHeight="false" outlineLevel="0" collapsed="false">
      <c r="A6" s="1" t="s">
        <v>47</v>
      </c>
      <c r="F6" s="15"/>
      <c r="P6" s="12" t="n">
        <v>3</v>
      </c>
      <c r="Q6" s="13" t="s">
        <v>48</v>
      </c>
      <c r="R6" s="14" t="n">
        <v>60</v>
      </c>
      <c r="S6" s="14" t="n">
        <v>27.4</v>
      </c>
      <c r="T6" s="14" t="n">
        <v>32.7</v>
      </c>
      <c r="U6" s="14" t="n">
        <v>9.9</v>
      </c>
      <c r="V6" s="14" t="n">
        <v>81.1</v>
      </c>
      <c r="W6" s="13" t="n">
        <v>5.91</v>
      </c>
    </row>
    <row r="7" customFormat="false" ht="12.8" hidden="false" customHeight="false" outlineLevel="0" collapsed="false">
      <c r="A7" s="21" t="n">
        <f aca="false" t="array" ref="A7:F11">LINEST($W$3:$W$237 , $R$3:$V$237 , 1 , 1)</f>
        <v>-0.000897424629998827</v>
      </c>
      <c r="B7" s="21" t="n">
        <v>-0.00381285922261632</v>
      </c>
      <c r="C7" s="21" t="n">
        <v>0.0399742998534514</v>
      </c>
      <c r="D7" s="21" t="n">
        <v>0.0416026391518378</v>
      </c>
      <c r="E7" s="21" t="n">
        <v>-0.0102141987580847</v>
      </c>
      <c r="F7" s="21" t="n">
        <v>4.27956611438988</v>
      </c>
      <c r="G7" s="21"/>
      <c r="H7" s="21"/>
      <c r="I7" s="21"/>
      <c r="J7" s="21"/>
      <c r="K7" s="21"/>
      <c r="P7" s="12" t="n">
        <v>3</v>
      </c>
      <c r="Q7" s="13" t="s">
        <v>49</v>
      </c>
      <c r="R7" s="14" t="n">
        <v>53.8</v>
      </c>
      <c r="S7" s="14" t="n">
        <v>28.7</v>
      </c>
      <c r="T7" s="14" t="n">
        <v>32.3</v>
      </c>
      <c r="U7" s="14" t="n">
        <v>9.2</v>
      </c>
      <c r="V7" s="14" t="n">
        <v>79.3</v>
      </c>
      <c r="W7" s="13" t="n">
        <v>6.99</v>
      </c>
    </row>
    <row r="8" customFormat="false" ht="12.8" hidden="false" customHeight="false" outlineLevel="0" collapsed="false">
      <c r="A8" s="21" t="n">
        <v>0.00207903671801487</v>
      </c>
      <c r="B8" s="21" t="n">
        <v>0.00327376540688361</v>
      </c>
      <c r="C8" s="21" t="n">
        <v>0.0337401765108096</v>
      </c>
      <c r="D8" s="21" t="n">
        <v>0.00638548404380836</v>
      </c>
      <c r="E8" s="21" t="n">
        <v>0.00656271068190669</v>
      </c>
      <c r="F8" s="21" t="n">
        <v>1.18098382941369</v>
      </c>
      <c r="G8" s="21"/>
      <c r="H8" s="21"/>
      <c r="I8" s="21"/>
      <c r="J8" s="21"/>
      <c r="K8" s="21"/>
      <c r="P8" s="12" t="n">
        <v>3</v>
      </c>
      <c r="Q8" s="13" t="s">
        <v>50</v>
      </c>
      <c r="R8" s="14" t="n">
        <v>73.8</v>
      </c>
      <c r="S8" s="14" t="n">
        <v>24</v>
      </c>
      <c r="T8" s="14" t="n">
        <v>33.6</v>
      </c>
      <c r="U8" s="14" t="n">
        <v>11.5</v>
      </c>
      <c r="V8" s="14" t="n">
        <v>81.2</v>
      </c>
      <c r="W8" s="13" t="n">
        <v>6.1</v>
      </c>
    </row>
    <row r="9" customFormat="false" ht="12.8" hidden="false" customHeight="false" outlineLevel="0" collapsed="false">
      <c r="A9" s="21" t="n">
        <v>0.191287004714045</v>
      </c>
      <c r="B9" s="21" t="n">
        <v>0.534386285826642</v>
      </c>
      <c r="C9" s="21" t="e">
        <v>#N/A</v>
      </c>
      <c r="D9" s="21" t="e">
        <v>#N/A</v>
      </c>
      <c r="E9" s="21" t="e">
        <v>#N/A</v>
      </c>
      <c r="F9" s="21" t="e">
        <v>#N/A</v>
      </c>
      <c r="G9" s="21"/>
      <c r="H9" s="21"/>
      <c r="I9" s="21"/>
      <c r="J9" s="21"/>
      <c r="K9" s="21"/>
      <c r="P9" s="12" t="n">
        <v>3</v>
      </c>
      <c r="Q9" s="13" t="s">
        <v>51</v>
      </c>
      <c r="R9" s="14" t="n">
        <v>55</v>
      </c>
      <c r="S9" s="14" t="n">
        <v>23.9</v>
      </c>
      <c r="T9" s="14" t="n">
        <v>33.9</v>
      </c>
      <c r="U9" s="14" t="n">
        <v>10.6</v>
      </c>
      <c r="V9" s="14" t="n">
        <v>79.5</v>
      </c>
      <c r="W9" s="13" t="n">
        <v>5.37</v>
      </c>
    </row>
    <row r="10" customFormat="false" ht="12.8" hidden="false" customHeight="false" outlineLevel="0" collapsed="false">
      <c r="A10" s="21" t="n">
        <v>10.8331940589201</v>
      </c>
      <c r="B10" s="21" t="n">
        <v>229</v>
      </c>
      <c r="C10" s="21" t="e">
        <v>#N/A</v>
      </c>
      <c r="D10" s="21" t="e">
        <v>#N/A</v>
      </c>
      <c r="E10" s="21" t="e">
        <v>#N/A</v>
      </c>
      <c r="F10" s="21" t="e">
        <v>#N/A</v>
      </c>
      <c r="G10" s="21"/>
      <c r="H10" s="21"/>
      <c r="I10" s="21"/>
      <c r="J10" s="21"/>
      <c r="K10" s="21"/>
      <c r="P10" s="12" t="n">
        <v>3</v>
      </c>
      <c r="Q10" s="13" t="s">
        <v>52</v>
      </c>
      <c r="R10" s="14" t="n">
        <v>52.8</v>
      </c>
      <c r="S10" s="14" t="n">
        <v>20.2</v>
      </c>
      <c r="T10" s="14" t="n">
        <v>32.4</v>
      </c>
      <c r="U10" s="14" t="n">
        <v>11.4</v>
      </c>
      <c r="V10" s="14" t="n">
        <v>76.6</v>
      </c>
      <c r="W10" s="13" t="n">
        <v>5.05</v>
      </c>
    </row>
    <row r="11" customFormat="false" ht="12.8" hidden="false" customHeight="false" outlineLevel="0" collapsed="false">
      <c r="A11" s="21" t="n">
        <v>15.4681058555773</v>
      </c>
      <c r="B11" s="21" t="n">
        <v>65.395232867827</v>
      </c>
      <c r="C11" s="21" t="e">
        <v>#N/A</v>
      </c>
      <c r="D11" s="21" t="e">
        <v>#N/A</v>
      </c>
      <c r="E11" s="21" t="e">
        <v>#N/A</v>
      </c>
      <c r="F11" s="21" t="e">
        <v>#N/A</v>
      </c>
      <c r="G11" s="21"/>
      <c r="H11" s="21"/>
      <c r="I11" s="21"/>
      <c r="J11" s="21"/>
      <c r="K11" s="21"/>
      <c r="P11" s="12" t="n">
        <v>3</v>
      </c>
      <c r="Q11" s="13" t="s">
        <v>53</v>
      </c>
      <c r="R11" s="14" t="n">
        <v>53.3</v>
      </c>
      <c r="S11" s="14" t="n">
        <v>22.7</v>
      </c>
      <c r="T11" s="14" t="n">
        <v>33.9</v>
      </c>
      <c r="U11" s="14" t="n">
        <v>10</v>
      </c>
      <c r="V11" s="14" t="n">
        <v>76.7</v>
      </c>
      <c r="W11" s="13" t="n">
        <v>5.29</v>
      </c>
    </row>
    <row r="12" customFormat="false" ht="12.8" hidden="false" customHeight="false" outlineLevel="0" collapsed="false">
      <c r="P12" s="12" t="n">
        <v>3</v>
      </c>
      <c r="Q12" s="13" t="s">
        <v>54</v>
      </c>
      <c r="R12" s="14" t="n">
        <v>51.2</v>
      </c>
      <c r="S12" s="14" t="n">
        <v>13.5</v>
      </c>
      <c r="T12" s="14" t="n">
        <v>33</v>
      </c>
      <c r="U12" s="14" t="n">
        <v>10.3</v>
      </c>
      <c r="V12" s="14" t="n">
        <v>77.8</v>
      </c>
      <c r="W12" s="13" t="n">
        <v>5.15</v>
      </c>
    </row>
    <row r="13" customFormat="false" ht="12.8" hidden="false" customHeight="false" outlineLevel="0" collapsed="false">
      <c r="A13" s="1" t="s">
        <v>55</v>
      </c>
      <c r="F13" s="15"/>
      <c r="P13" s="12" t="n">
        <v>3</v>
      </c>
      <c r="Q13" s="13" t="s">
        <v>56</v>
      </c>
      <c r="R13" s="14" t="n">
        <v>47</v>
      </c>
      <c r="S13" s="14" t="n">
        <v>8.4</v>
      </c>
      <c r="T13" s="14" t="n">
        <v>31.7</v>
      </c>
      <c r="U13" s="14" t="n">
        <v>10.5</v>
      </c>
      <c r="V13" s="14" t="n">
        <v>77.6</v>
      </c>
      <c r="W13" s="13" t="n">
        <v>4.91</v>
      </c>
    </row>
    <row r="14" customFormat="false" ht="12.8" hidden="false" customHeight="false" outlineLevel="0" collapsed="false">
      <c r="A14" s="1" t="s">
        <v>57</v>
      </c>
      <c r="B14" s="16" t="n">
        <f aca="false">$A$9</f>
        <v>0.191287004714045</v>
      </c>
      <c r="F14" s="15"/>
      <c r="P14" s="12" t="n">
        <v>3</v>
      </c>
      <c r="Q14" s="13" t="s">
        <v>58</v>
      </c>
      <c r="R14" s="14" t="n">
        <v>43.8</v>
      </c>
      <c r="S14" s="14" t="n">
        <v>12.9</v>
      </c>
      <c r="T14" s="14" t="n">
        <v>32.4</v>
      </c>
      <c r="U14" s="14" t="n">
        <v>10.2</v>
      </c>
      <c r="V14" s="14" t="n">
        <v>78</v>
      </c>
      <c r="W14" s="13" t="n">
        <v>5.02</v>
      </c>
    </row>
    <row r="15" customFormat="false" ht="12.8" hidden="false" customHeight="false" outlineLevel="0" collapsed="false">
      <c r="A15" s="1" t="s">
        <v>59</v>
      </c>
      <c r="B15" s="16" t="n">
        <f aca="false">$B$9</f>
        <v>0.534386285826642</v>
      </c>
      <c r="P15" s="12" t="n">
        <v>3</v>
      </c>
      <c r="Q15" s="13" t="s">
        <v>60</v>
      </c>
      <c r="R15" s="14" t="n">
        <v>50.5</v>
      </c>
      <c r="S15" s="14" t="n">
        <v>7.5</v>
      </c>
      <c r="T15" s="14" t="n">
        <v>32.9</v>
      </c>
      <c r="U15" s="14" t="n">
        <v>9.9</v>
      </c>
      <c r="V15" s="14" t="n">
        <v>76.3</v>
      </c>
      <c r="W15" s="13" t="n">
        <v>4.31</v>
      </c>
    </row>
    <row r="16" customFormat="false" ht="12.8" hidden="false" customHeight="false" outlineLevel="0" collapsed="false">
      <c r="A16" s="1" t="s">
        <v>117</v>
      </c>
      <c r="B16" s="16" t="n">
        <f aca="false">5</f>
        <v>5</v>
      </c>
      <c r="F16" s="15"/>
      <c r="P16" s="12" t="n">
        <v>3</v>
      </c>
      <c r="Q16" s="13" t="s">
        <v>62</v>
      </c>
      <c r="R16" s="14" t="n">
        <v>46.1</v>
      </c>
      <c r="S16" s="14" t="n">
        <v>8.9</v>
      </c>
      <c r="T16" s="14" t="n">
        <v>32.1</v>
      </c>
      <c r="U16" s="14" t="n">
        <v>10.4</v>
      </c>
      <c r="V16" s="14" t="n">
        <v>76.8</v>
      </c>
      <c r="W16" s="13" t="n">
        <v>4.82</v>
      </c>
    </row>
    <row r="17" customFormat="false" ht="12.8" hidden="false" customHeight="false" outlineLevel="0" collapsed="false">
      <c r="A17" s="1" t="s">
        <v>63</v>
      </c>
      <c r="B17" s="16" t="n">
        <f aca="false">235</f>
        <v>235</v>
      </c>
      <c r="P17" s="12" t="n">
        <v>3</v>
      </c>
      <c r="Q17" s="13" t="s">
        <v>64</v>
      </c>
      <c r="R17" s="14" t="n">
        <v>66.4</v>
      </c>
      <c r="S17" s="14" t="n">
        <v>17.7</v>
      </c>
      <c r="T17" s="14" t="n">
        <v>33.4</v>
      </c>
      <c r="U17" s="14" t="n">
        <v>10.6</v>
      </c>
      <c r="V17" s="14" t="n">
        <v>79.3</v>
      </c>
      <c r="W17" s="13" t="n">
        <v>5.28</v>
      </c>
    </row>
    <row r="18" customFormat="false" ht="12.8" hidden="false" customHeight="false" outlineLevel="0" collapsed="false">
      <c r="A18" s="1" t="s">
        <v>65</v>
      </c>
      <c r="B18" s="16" t="n">
        <f aca="false">1 - (1 - $A$9)*($B$17 - 1)/($B$17 - $B$16 - 1)</f>
        <v>0.173629515734003</v>
      </c>
      <c r="F18" s="15"/>
      <c r="P18" s="12" t="n">
        <v>3</v>
      </c>
      <c r="Q18" s="13" t="s">
        <v>66</v>
      </c>
      <c r="R18" s="14" t="n">
        <v>66.3</v>
      </c>
      <c r="S18" s="14" t="n">
        <v>29.3</v>
      </c>
      <c r="T18" s="14" t="n">
        <v>31.4</v>
      </c>
      <c r="U18" s="14" t="n">
        <v>14.4</v>
      </c>
      <c r="V18" s="14" t="n">
        <v>78.8</v>
      </c>
      <c r="W18" s="13" t="n">
        <v>4.88</v>
      </c>
    </row>
    <row r="19" customFormat="false" ht="12.8" hidden="false" customHeight="false" outlineLevel="0" collapsed="false">
      <c r="P19" s="12" t="n">
        <v>3</v>
      </c>
      <c r="Q19" s="13" t="s">
        <v>67</v>
      </c>
      <c r="R19" s="14" t="n">
        <v>63.7</v>
      </c>
      <c r="S19" s="14" t="n">
        <v>21.1</v>
      </c>
      <c r="T19" s="14" t="n">
        <v>31.5</v>
      </c>
      <c r="U19" s="14" t="n">
        <v>12.1</v>
      </c>
      <c r="V19" s="14" t="n">
        <v>77.8</v>
      </c>
      <c r="W19" s="13" t="n">
        <v>5.27</v>
      </c>
    </row>
    <row r="20" customFormat="false" ht="12.8" hidden="false" customHeight="false" outlineLevel="0" collapsed="false">
      <c r="A20" s="1" t="s">
        <v>118</v>
      </c>
      <c r="P20" s="12" t="n">
        <v>3</v>
      </c>
      <c r="Q20" s="13" t="s">
        <v>69</v>
      </c>
      <c r="R20" s="14" t="n">
        <v>61.2</v>
      </c>
      <c r="S20" s="14" t="n">
        <v>19.6</v>
      </c>
      <c r="T20" s="14" t="n">
        <v>33.7</v>
      </c>
      <c r="U20" s="14" t="n">
        <v>17.3</v>
      </c>
      <c r="V20" s="14" t="n">
        <v>77.5</v>
      </c>
      <c r="W20" s="13" t="n">
        <v>5.4</v>
      </c>
    </row>
    <row r="21" customFormat="false" ht="12.8" hidden="false" customHeight="false" outlineLevel="0" collapsed="false">
      <c r="B21" s="1" t="s">
        <v>70</v>
      </c>
      <c r="C21" s="1" t="s">
        <v>71</v>
      </c>
      <c r="D21" s="1" t="s">
        <v>72</v>
      </c>
      <c r="E21" s="1" t="s">
        <v>73</v>
      </c>
      <c r="F21" s="1" t="s">
        <v>74</v>
      </c>
      <c r="J21" s="15"/>
      <c r="K21" s="15"/>
      <c r="P21" s="12" t="n">
        <v>3</v>
      </c>
      <c r="Q21" s="13" t="s">
        <v>75</v>
      </c>
      <c r="R21" s="14" t="n">
        <v>65.1</v>
      </c>
      <c r="S21" s="14" t="n">
        <v>18.9</v>
      </c>
      <c r="T21" s="14" t="n">
        <v>31.7</v>
      </c>
      <c r="U21" s="14" t="n">
        <v>9.2</v>
      </c>
      <c r="V21" s="14" t="n">
        <v>74.8</v>
      </c>
      <c r="W21" s="13" t="n">
        <v>5.37</v>
      </c>
    </row>
    <row r="22" customFormat="false" ht="12.8" hidden="false" customHeight="false" outlineLevel="0" collapsed="false">
      <c r="A22" s="1" t="s">
        <v>41</v>
      </c>
      <c r="B22" s="16" t="n">
        <f aca="false">$B$16</f>
        <v>5</v>
      </c>
      <c r="C22" s="16" t="n">
        <f aca="false">$A$11</f>
        <v>15.4681058555773</v>
      </c>
      <c r="D22" s="16" t="n">
        <f aca="false">$A$11 / $B$22</f>
        <v>3.09362117111545</v>
      </c>
      <c r="E22" s="17" t="n">
        <f aca="false">$A$10</f>
        <v>10.8331940589201</v>
      </c>
      <c r="F22" s="16" t="n">
        <f aca="false">FDIST($A$10 , $B$22 , $B$10)</f>
        <v>2.29218096198851E-009</v>
      </c>
      <c r="I22" s="0"/>
      <c r="P22" s="12" t="n">
        <v>3</v>
      </c>
      <c r="Q22" s="13" t="s">
        <v>76</v>
      </c>
      <c r="R22" s="14" t="n">
        <v>58.7</v>
      </c>
      <c r="S22" s="14" t="n">
        <v>22.5</v>
      </c>
      <c r="T22" s="14" t="n">
        <v>33.1</v>
      </c>
      <c r="U22" s="14" t="n">
        <v>9.9</v>
      </c>
      <c r="V22" s="14" t="n">
        <v>79.1</v>
      </c>
      <c r="W22" s="13" t="n">
        <v>5.26</v>
      </c>
    </row>
    <row r="23" customFormat="false" ht="12.8" hidden="false" customHeight="false" outlineLevel="0" collapsed="false">
      <c r="A23" s="1" t="s">
        <v>77</v>
      </c>
      <c r="B23" s="16" t="n">
        <f aca="false">$B$10</f>
        <v>229</v>
      </c>
      <c r="C23" s="16" t="n">
        <f aca="false">$B$11</f>
        <v>65.395232867827</v>
      </c>
      <c r="D23" s="16" t="n">
        <f aca="false">$B$11 / $B$10</f>
        <v>0.285568702479594</v>
      </c>
      <c r="E23" s="16"/>
      <c r="F23" s="16"/>
      <c r="P23" s="12" t="n">
        <v>3</v>
      </c>
      <c r="Q23" s="13" t="s">
        <v>78</v>
      </c>
      <c r="R23" s="14" t="n">
        <v>57</v>
      </c>
      <c r="S23" s="14" t="n">
        <v>27.4</v>
      </c>
      <c r="T23" s="14" t="n">
        <v>33.6</v>
      </c>
      <c r="U23" s="14" t="n">
        <v>9.6</v>
      </c>
      <c r="V23" s="14" t="n">
        <v>75.5</v>
      </c>
      <c r="W23" s="13" t="n">
        <v>5.21</v>
      </c>
    </row>
    <row r="24" customFormat="false" ht="12.8" hidden="false" customHeight="false" outlineLevel="0" collapsed="false">
      <c r="A24" s="1" t="s">
        <v>79</v>
      </c>
      <c r="B24" s="16" t="n">
        <f aca="false">$B$22 + $B$10</f>
        <v>234</v>
      </c>
      <c r="C24" s="16" t="n">
        <f aca="false">$A$11 + $B$11</f>
        <v>80.8633387234043</v>
      </c>
      <c r="D24" s="16"/>
      <c r="E24" s="16"/>
      <c r="F24" s="16"/>
      <c r="P24" s="12" t="n">
        <v>3</v>
      </c>
      <c r="Q24" s="13" t="s">
        <v>80</v>
      </c>
      <c r="R24" s="14" t="n">
        <v>55.1</v>
      </c>
      <c r="S24" s="14" t="n">
        <v>14.7</v>
      </c>
      <c r="T24" s="14" t="n">
        <v>33.7</v>
      </c>
      <c r="U24" s="14" t="n">
        <v>10.3</v>
      </c>
      <c r="V24" s="14" t="n">
        <v>78.2</v>
      </c>
      <c r="W24" s="13" t="n">
        <v>4.96</v>
      </c>
    </row>
    <row r="25" customFormat="false" ht="12.8" hidden="false" customHeight="false" outlineLevel="0" collapsed="false">
      <c r="P25" s="12" t="n">
        <v>3</v>
      </c>
      <c r="Q25" s="13" t="s">
        <v>81</v>
      </c>
      <c r="R25" s="14" t="n">
        <v>50.3</v>
      </c>
      <c r="S25" s="14" t="n">
        <v>11.8</v>
      </c>
      <c r="T25" s="14" t="n">
        <v>33.3</v>
      </c>
      <c r="U25" s="14" t="n">
        <v>10.2</v>
      </c>
      <c r="V25" s="14" t="n">
        <v>76.2</v>
      </c>
      <c r="W25" s="13" t="n">
        <v>4.71</v>
      </c>
    </row>
    <row r="26" customFormat="false" ht="12.8" hidden="false" customHeight="false" outlineLevel="0" collapsed="false">
      <c r="A26" s="1" t="s">
        <v>82</v>
      </c>
      <c r="B26" s="1" t="n">
        <v>0.95</v>
      </c>
      <c r="P26" s="12" t="n">
        <v>3</v>
      </c>
      <c r="Q26" s="13" t="s">
        <v>83</v>
      </c>
      <c r="R26" s="14" t="n">
        <v>58.1</v>
      </c>
      <c r="S26" s="14" t="n">
        <v>15.2</v>
      </c>
      <c r="T26" s="14" t="n">
        <v>32.8</v>
      </c>
      <c r="U26" s="14" t="n">
        <v>12.7</v>
      </c>
      <c r="V26" s="14" t="n">
        <v>76.4</v>
      </c>
      <c r="W26" s="13" t="n">
        <v>5.08</v>
      </c>
    </row>
    <row r="27" customFormat="false" ht="12.8" hidden="false" customHeight="false" outlineLevel="0" collapsed="false">
      <c r="P27" s="12" t="n">
        <v>3</v>
      </c>
      <c r="Q27" s="13" t="s">
        <v>84</v>
      </c>
      <c r="R27" s="14" t="n">
        <v>57.8</v>
      </c>
      <c r="S27" s="14" t="n">
        <v>23.5</v>
      </c>
      <c r="T27" s="14" t="n">
        <v>35.5</v>
      </c>
      <c r="U27" s="14" t="n">
        <v>10.7</v>
      </c>
      <c r="V27" s="14" t="n">
        <v>78.3</v>
      </c>
      <c r="W27" s="13" t="n">
        <v>5.2</v>
      </c>
    </row>
    <row r="28" customFormat="false" ht="12.8" hidden="false" customHeight="false" outlineLevel="0" collapsed="false">
      <c r="B28" s="1" t="s">
        <v>85</v>
      </c>
      <c r="C28" s="1" t="s">
        <v>59</v>
      </c>
      <c r="D28" s="1" t="s">
        <v>119</v>
      </c>
      <c r="E28" s="1" t="s">
        <v>120</v>
      </c>
      <c r="F28" s="1" t="str">
        <f aca="false">_xlfn.CONCAT("Lower " , INT($B$26 * 100) , "%")</f>
        <v>Lower 95%</v>
      </c>
      <c r="G28" s="1" t="str">
        <f aca="false">_xlfn.CONCAT("Upper " , INT($B$26 * 100) , "%")</f>
        <v>Upper 95%</v>
      </c>
      <c r="I28" s="15"/>
      <c r="J28" s="15"/>
      <c r="P28" s="12" t="n">
        <v>3</v>
      </c>
      <c r="Q28" s="13" t="s">
        <v>88</v>
      </c>
      <c r="R28" s="14" t="n">
        <v>55.6</v>
      </c>
      <c r="S28" s="14" t="n">
        <v>15.6</v>
      </c>
      <c r="T28" s="14" t="n">
        <v>34.3</v>
      </c>
      <c r="U28" s="14" t="n">
        <v>10.7</v>
      </c>
      <c r="V28" s="14" t="n">
        <v>74</v>
      </c>
      <c r="W28" s="13" t="n">
        <v>5.18</v>
      </c>
    </row>
    <row r="29" customFormat="false" ht="12.8" hidden="false" customHeight="false" outlineLevel="0" collapsed="false">
      <c r="A29" s="1" t="str">
        <f aca="false">"切片"</f>
        <v>切片</v>
      </c>
      <c r="B29" s="16" t="n">
        <f aca="false" t="array" ref="B29:B34">INDEX($A$7:$F$7, 1 , ROW($B$34)+1 - ROW())</f>
        <v>4.27956611438988</v>
      </c>
      <c r="C29" s="16" t="n">
        <f aca="false" t="array" ref="C29:C34">INDEX($A$8:$F$8, 1 , ROW($C$34)+1 - ROW())</f>
        <v>1.18098382941369</v>
      </c>
      <c r="D29" s="16" t="n">
        <f aca="false" t="array" ref="D29:D34">$B$29:$B$34 / $C$29:$C$34</f>
        <v>3.62372964625139</v>
      </c>
      <c r="E29" s="16" t="n">
        <f aca="false" t="array" ref="E29:E34">TDIST(ABS($D$29:$D$34) , $B$10 , 2 )</f>
        <v>0.00035772552907009</v>
      </c>
      <c r="F29" s="16" t="n">
        <f aca="false" t="array" ref="F29:F34">$B$29:$B$34 - $C$29:$C$34 * TINV(1 - $B$26 , $B$10)</f>
        <v>1.9525824049376</v>
      </c>
      <c r="G29" s="16" t="n">
        <f aca="false" t="array" ref="G29:G34">$B$29:$B$34 + $C$29:$C$34 * TINV(1 - $B$26 , $B$10)</f>
        <v>6.60654982384215</v>
      </c>
      <c r="P29" s="12" t="n">
        <v>3</v>
      </c>
      <c r="Q29" s="13" t="s">
        <v>89</v>
      </c>
      <c r="R29" s="14" t="n">
        <v>45.2</v>
      </c>
      <c r="S29" s="14" t="n">
        <v>12.5</v>
      </c>
      <c r="T29" s="14" t="n">
        <v>33.5</v>
      </c>
      <c r="U29" s="14" t="n">
        <v>10.9</v>
      </c>
      <c r="V29" s="14" t="n">
        <v>74.3</v>
      </c>
      <c r="W29" s="13" t="n">
        <v>5.18</v>
      </c>
    </row>
    <row r="30" customFormat="false" ht="12.8" hidden="false" customHeight="false" outlineLevel="0" collapsed="false">
      <c r="A30" s="1" t="str">
        <f aca="false">"X1"</f>
        <v>X1</v>
      </c>
      <c r="B30" s="16" t="n">
        <v>-0.0102141987580847</v>
      </c>
      <c r="C30" s="16" t="n">
        <v>0.00656271068190669</v>
      </c>
      <c r="D30" s="16" t="n">
        <v>-1.55639936806069</v>
      </c>
      <c r="E30" s="16" t="n">
        <v>0.120994067017461</v>
      </c>
      <c r="F30" s="16" t="n">
        <v>-0.0231452148027556</v>
      </c>
      <c r="G30" s="16" t="n">
        <v>0.00271681728658616</v>
      </c>
      <c r="P30" s="12" t="n">
        <v>3</v>
      </c>
      <c r="Q30" s="13" t="s">
        <v>90</v>
      </c>
      <c r="R30" s="14" t="n">
        <v>50.9</v>
      </c>
      <c r="S30" s="14" t="n">
        <v>14.3</v>
      </c>
      <c r="T30" s="14" t="n">
        <v>33.2</v>
      </c>
      <c r="U30" s="14" t="n">
        <v>10.9</v>
      </c>
      <c r="V30" s="14" t="n">
        <v>76.9</v>
      </c>
      <c r="W30" s="13" t="n">
        <v>5.4</v>
      </c>
    </row>
    <row r="31" customFormat="false" ht="12.8" hidden="false" customHeight="false" outlineLevel="0" collapsed="false">
      <c r="A31" s="1" t="str">
        <f aca="false">"X2"</f>
        <v>X2</v>
      </c>
      <c r="B31" s="16" t="n">
        <v>0.0416026391518378</v>
      </c>
      <c r="C31" s="16" t="n">
        <v>0.00638548404380836</v>
      </c>
      <c r="D31" s="16" t="n">
        <v>6.51518958726042</v>
      </c>
      <c r="E31" s="16" t="n">
        <v>4.55982183053472E-010</v>
      </c>
      <c r="F31" s="16" t="n">
        <v>0.0290208264488762</v>
      </c>
      <c r="G31" s="16" t="n">
        <v>0.0541844518547995</v>
      </c>
      <c r="P31" s="12" t="n">
        <v>3</v>
      </c>
      <c r="Q31" s="13" t="s">
        <v>91</v>
      </c>
      <c r="R31" s="14" t="n">
        <v>49.6</v>
      </c>
      <c r="S31" s="14" t="n">
        <v>23.5</v>
      </c>
      <c r="T31" s="14" t="n">
        <v>35.4</v>
      </c>
      <c r="U31" s="14" t="n">
        <v>10.8</v>
      </c>
      <c r="V31" s="14" t="n">
        <v>71.7</v>
      </c>
      <c r="W31" s="13" t="n">
        <v>5.79</v>
      </c>
    </row>
    <row r="32" customFormat="false" ht="12.8" hidden="false" customHeight="false" outlineLevel="0" collapsed="false">
      <c r="A32" s="1" t="str">
        <f aca="false">"X3"</f>
        <v>X3</v>
      </c>
      <c r="B32" s="16" t="n">
        <v>0.0399742998534514</v>
      </c>
      <c r="C32" s="16" t="n">
        <v>0.0337401765108096</v>
      </c>
      <c r="D32" s="16" t="n">
        <v>1.1847685456134</v>
      </c>
      <c r="E32" s="16" t="n">
        <v>0.23733708752714</v>
      </c>
      <c r="F32" s="16" t="n">
        <v>-0.0265065774788627</v>
      </c>
      <c r="G32" s="16" t="n">
        <v>0.106455177185766</v>
      </c>
      <c r="P32" s="12" t="n">
        <v>3</v>
      </c>
      <c r="Q32" s="13" t="s">
        <v>92</v>
      </c>
      <c r="R32" s="14" t="n">
        <v>49.4</v>
      </c>
      <c r="S32" s="14" t="n">
        <v>19.6</v>
      </c>
      <c r="T32" s="14" t="n">
        <v>34</v>
      </c>
      <c r="U32" s="14" t="n">
        <v>12.5</v>
      </c>
      <c r="V32" s="14" t="n">
        <v>72.7</v>
      </c>
      <c r="W32" s="13" t="n">
        <v>5.96</v>
      </c>
    </row>
    <row r="33" customFormat="false" ht="12.8" hidden="false" customHeight="false" outlineLevel="0" collapsed="false">
      <c r="A33" s="1" t="str">
        <f aca="false">"X4"</f>
        <v>X4</v>
      </c>
      <c r="B33" s="16" t="n">
        <v>-0.00381285922261632</v>
      </c>
      <c r="C33" s="16" t="n">
        <v>0.00327376540688361</v>
      </c>
      <c r="D33" s="16" t="n">
        <v>-1.16467087549987</v>
      </c>
      <c r="E33" s="16" t="n">
        <v>0.245364087275969</v>
      </c>
      <c r="F33" s="16" t="n">
        <v>-0.0102634122112788</v>
      </c>
      <c r="G33" s="16" t="n">
        <v>0.00263769376604616</v>
      </c>
      <c r="P33" s="12" t="n">
        <v>3</v>
      </c>
      <c r="Q33" s="13" t="s">
        <v>93</v>
      </c>
      <c r="R33" s="14" t="n">
        <v>53.1</v>
      </c>
      <c r="S33" s="14" t="n">
        <v>16.1</v>
      </c>
      <c r="T33" s="14" t="n">
        <v>32.8</v>
      </c>
      <c r="U33" s="14" t="n">
        <v>10.4</v>
      </c>
      <c r="V33" s="14" t="n">
        <v>79.1</v>
      </c>
      <c r="W33" s="13" t="n">
        <v>6.07</v>
      </c>
    </row>
    <row r="34" customFormat="false" ht="12.8" hidden="false" customHeight="false" outlineLevel="0" collapsed="false">
      <c r="A34" s="1" t="str">
        <f aca="false">"X5"</f>
        <v>X5</v>
      </c>
      <c r="B34" s="16" t="n">
        <v>-0.000897424629998827</v>
      </c>
      <c r="C34" s="16" t="n">
        <v>0.00207903671801487</v>
      </c>
      <c r="D34" s="16" t="n">
        <v>-0.431654055083605</v>
      </c>
      <c r="E34" s="16" t="n">
        <v>0.666398977211914</v>
      </c>
      <c r="F34" s="16" t="n">
        <v>-0.0049939113503763</v>
      </c>
      <c r="G34" s="16" t="n">
        <v>0.00319906209037865</v>
      </c>
      <c r="P34" s="12" t="n">
        <v>3</v>
      </c>
      <c r="Q34" s="13" t="s">
        <v>94</v>
      </c>
      <c r="R34" s="14" t="n">
        <v>65.3</v>
      </c>
      <c r="S34" s="14" t="n">
        <v>25.8</v>
      </c>
      <c r="T34" s="14" t="n">
        <v>34.2</v>
      </c>
      <c r="U34" s="14" t="n">
        <v>11.2</v>
      </c>
      <c r="V34" s="14" t="n">
        <v>80.6</v>
      </c>
      <c r="W34" s="13" t="n">
        <v>6.4</v>
      </c>
    </row>
    <row r="35" customFormat="false" ht="12.8" hidden="false" customHeight="false" outlineLevel="0" collapsed="false">
      <c r="B35" s="16"/>
      <c r="C35" s="16"/>
      <c r="D35" s="16"/>
      <c r="E35" s="16"/>
      <c r="F35" s="16"/>
      <c r="G35" s="16"/>
      <c r="P35" s="12" t="n">
        <v>3</v>
      </c>
      <c r="Q35" s="13" t="s">
        <v>95</v>
      </c>
      <c r="R35" s="14" t="n">
        <v>56.8</v>
      </c>
      <c r="S35" s="14" t="n">
        <v>31.6</v>
      </c>
      <c r="T35" s="14" t="n">
        <v>32.4</v>
      </c>
      <c r="U35" s="14" t="n">
        <v>11.7</v>
      </c>
      <c r="V35" s="14" t="n">
        <v>76.2</v>
      </c>
      <c r="W35" s="13" t="n">
        <v>5.61</v>
      </c>
    </row>
    <row r="36" customFormat="false" ht="12.8" hidden="false" customHeight="false" outlineLevel="0" collapsed="false">
      <c r="A36" s="1" t="str">
        <f aca="false">"X1"</f>
        <v>X1</v>
      </c>
      <c r="B36" s="16" t="str">
        <f aca="false">"X2"</f>
        <v>X2</v>
      </c>
      <c r="C36" s="16" t="str">
        <f aca="false">"X3"</f>
        <v>X3</v>
      </c>
      <c r="D36" s="16" t="str">
        <f aca="false">"X4"</f>
        <v>X4</v>
      </c>
      <c r="E36" s="16" t="str">
        <f aca="false">"X5"</f>
        <v>X5</v>
      </c>
      <c r="F36" s="16" t="s">
        <v>96</v>
      </c>
      <c r="G36" s="16" t="str">
        <f aca="false">"Y"</f>
        <v>Y</v>
      </c>
      <c r="H36" s="1" t="s">
        <v>77</v>
      </c>
      <c r="P36" s="12" t="n">
        <v>3</v>
      </c>
      <c r="Q36" s="13" t="s">
        <v>97</v>
      </c>
      <c r="R36" s="14" t="n">
        <v>54.7</v>
      </c>
      <c r="S36" s="14" t="n">
        <v>19.7</v>
      </c>
      <c r="T36" s="14" t="n">
        <v>32.9</v>
      </c>
      <c r="U36" s="14" t="n">
        <v>10.9</v>
      </c>
      <c r="V36" s="14" t="n">
        <v>75.7</v>
      </c>
      <c r="W36" s="13" t="n">
        <v>5.41</v>
      </c>
    </row>
    <row r="37" customFormat="false" ht="12.8" hidden="false" customHeight="false" outlineLevel="0" collapsed="false">
      <c r="A37" s="1" t="n">
        <f aca="false" t="array" ref="A37:E271">$R$3:$V$237</f>
        <v>48</v>
      </c>
      <c r="B37" s="16" t="n">
        <v>9.9</v>
      </c>
      <c r="C37" s="16" t="n">
        <v>32.5</v>
      </c>
      <c r="D37" s="16" t="n">
        <v>10.6</v>
      </c>
      <c r="E37" s="16" t="n">
        <v>79.6</v>
      </c>
      <c r="F37" s="27" t="n">
        <f aca="false" t="array" ref="F37:F271">MMULT($A$37:$E$271 , $B$30:$B$34) + $B$29</f>
        <v>5.38846413853453</v>
      </c>
      <c r="G37" s="27" t="n">
        <f aca="false" t="array" ref="G37:G271">$W$3:$W$237</f>
        <v>6.26</v>
      </c>
      <c r="H37" s="1" t="n">
        <f aca="false" t="array" ref="H37:H271">$G$37:$G$271 - $F$37:$F$271</f>
        <v>0.871535861465466</v>
      </c>
      <c r="L37" s="15"/>
      <c r="P37" s="12" t="n">
        <v>3</v>
      </c>
      <c r="Q37" s="13" t="s">
        <v>98</v>
      </c>
      <c r="R37" s="14" t="n">
        <v>51.2</v>
      </c>
      <c r="S37" s="14" t="n">
        <v>18.8</v>
      </c>
      <c r="T37" s="14" t="n">
        <v>33.1</v>
      </c>
      <c r="U37" s="14" t="n">
        <v>10.4</v>
      </c>
      <c r="V37" s="14" t="n">
        <v>78.2</v>
      </c>
      <c r="W37" s="13" t="n">
        <v>5.78</v>
      </c>
    </row>
    <row r="38" customFormat="false" ht="12.8" hidden="false" customHeight="false" outlineLevel="0" collapsed="false">
      <c r="A38" s="1" t="n">
        <v>55.1</v>
      </c>
      <c r="B38" s="16" t="n">
        <v>17.8</v>
      </c>
      <c r="C38" s="16" t="n">
        <v>32.3</v>
      </c>
      <c r="D38" s="16" t="n">
        <v>10.6</v>
      </c>
      <c r="E38" s="16" t="n">
        <v>80.3</v>
      </c>
      <c r="F38" s="27" t="n">
        <v>5.63598111943996</v>
      </c>
      <c r="G38" s="27" t="n">
        <v>6.37</v>
      </c>
      <c r="H38" s="1" t="n">
        <v>0.734018880560039</v>
      </c>
      <c r="P38" s="12" t="n">
        <v>3</v>
      </c>
      <c r="Q38" s="13" t="s">
        <v>99</v>
      </c>
      <c r="R38" s="14" t="n">
        <v>54.7</v>
      </c>
      <c r="S38" s="14" t="n">
        <v>24.2</v>
      </c>
      <c r="T38" s="14" t="n">
        <v>34</v>
      </c>
      <c r="U38" s="14" t="n">
        <v>10.4</v>
      </c>
      <c r="V38" s="14" t="n">
        <v>68</v>
      </c>
      <c r="W38" s="13" t="n">
        <v>6.17</v>
      </c>
    </row>
    <row r="39" customFormat="false" ht="12.8" hidden="false" customHeight="false" outlineLevel="0" collapsed="false">
      <c r="A39" s="1" t="n">
        <v>57.9</v>
      </c>
      <c r="B39" s="16" t="n">
        <v>14.6</v>
      </c>
      <c r="C39" s="16" t="n">
        <v>32.3</v>
      </c>
      <c r="D39" s="16" t="n">
        <v>11.8</v>
      </c>
      <c r="E39" s="16" t="n">
        <v>83.2</v>
      </c>
      <c r="F39" s="27" t="n">
        <v>5.46707495513731</v>
      </c>
      <c r="G39" s="27" t="n">
        <v>6.01</v>
      </c>
      <c r="H39" s="1" t="n">
        <v>0.542925044862693</v>
      </c>
      <c r="P39" s="12" t="n">
        <v>3</v>
      </c>
      <c r="Q39" s="13" t="s">
        <v>100</v>
      </c>
      <c r="R39" s="14" t="n">
        <v>52.3</v>
      </c>
      <c r="S39" s="14" t="n">
        <v>36.1</v>
      </c>
      <c r="T39" s="14" t="n">
        <v>32.5</v>
      </c>
      <c r="U39" s="14" t="n">
        <v>11.6</v>
      </c>
      <c r="V39" s="14" t="n">
        <v>73.8</v>
      </c>
      <c r="W39" s="13" t="n">
        <v>6</v>
      </c>
    </row>
    <row r="40" customFormat="false" ht="12.8" hidden="false" customHeight="false" outlineLevel="0" collapsed="false">
      <c r="A40" s="1" t="n">
        <v>60</v>
      </c>
      <c r="B40" s="1" t="n">
        <v>27.4</v>
      </c>
      <c r="C40" s="1" t="n">
        <v>32.7</v>
      </c>
      <c r="D40" s="1" t="n">
        <v>9.9</v>
      </c>
      <c r="E40" s="1" t="n">
        <v>81.1</v>
      </c>
      <c r="F40" s="27" t="n">
        <v>6.0032576630762</v>
      </c>
      <c r="G40" s="27" t="n">
        <v>5.91</v>
      </c>
      <c r="H40" s="1" t="n">
        <v>-0.0932576630762032</v>
      </c>
      <c r="P40" s="12" t="n">
        <v>3</v>
      </c>
      <c r="Q40" s="13" t="s">
        <v>101</v>
      </c>
      <c r="R40" s="14" t="n">
        <v>58.3</v>
      </c>
      <c r="S40" s="14" t="n">
        <v>22.1</v>
      </c>
      <c r="T40" s="14" t="n">
        <v>32.2</v>
      </c>
      <c r="U40" s="14" t="n">
        <v>10.6</v>
      </c>
      <c r="V40" s="14" t="n">
        <v>74.1</v>
      </c>
      <c r="W40" s="13" t="n">
        <v>5.89</v>
      </c>
    </row>
    <row r="41" customFormat="false" ht="12.8" hidden="false" customHeight="false" outlineLevel="0" collapsed="false">
      <c r="A41" s="1" t="n">
        <v>53.8</v>
      </c>
      <c r="B41" s="1" t="n">
        <v>28.7</v>
      </c>
      <c r="C41" s="1" t="n">
        <v>32.3</v>
      </c>
      <c r="D41" s="1" t="n">
        <v>9.2</v>
      </c>
      <c r="E41" s="1" t="n">
        <v>79.3</v>
      </c>
      <c r="F41" s="27" t="n">
        <v>6.10896377212217</v>
      </c>
      <c r="G41" s="27" t="n">
        <v>6.99</v>
      </c>
      <c r="H41" s="1" t="n">
        <v>0.881036227877834</v>
      </c>
      <c r="P41" s="12" t="n">
        <v>3</v>
      </c>
      <c r="Q41" s="13" t="s">
        <v>102</v>
      </c>
      <c r="R41" s="14" t="n">
        <v>61.2</v>
      </c>
      <c r="S41" s="14" t="n">
        <v>17.7</v>
      </c>
      <c r="T41" s="14" t="n">
        <v>30.6</v>
      </c>
      <c r="U41" s="14" t="n">
        <v>9.4</v>
      </c>
      <c r="V41" s="14" t="n">
        <v>71.7</v>
      </c>
      <c r="W41" s="13" t="n">
        <v>6.11</v>
      </c>
    </row>
    <row r="42" customFormat="false" ht="12.8" hidden="false" customHeight="false" outlineLevel="0" collapsed="false">
      <c r="A42" s="1" t="n">
        <v>73.8</v>
      </c>
      <c r="B42" s="1" t="n">
        <v>24</v>
      </c>
      <c r="C42" s="1" t="n">
        <v>33.6</v>
      </c>
      <c r="D42" s="1" t="n">
        <v>11.5</v>
      </c>
      <c r="E42" s="1" t="n">
        <v>81.2</v>
      </c>
      <c r="F42" s="27" t="n">
        <v>5.75063929974731</v>
      </c>
      <c r="G42" s="27" t="n">
        <v>6.1</v>
      </c>
      <c r="H42" s="1" t="n">
        <v>0.349360700252695</v>
      </c>
      <c r="K42" s="22"/>
      <c r="M42" s="23"/>
      <c r="P42" s="12" t="n">
        <v>3</v>
      </c>
      <c r="Q42" s="13" t="s">
        <v>103</v>
      </c>
      <c r="R42" s="14" t="n">
        <v>51.5</v>
      </c>
      <c r="S42" s="14" t="n">
        <v>17.3</v>
      </c>
      <c r="T42" s="14" t="n">
        <v>33</v>
      </c>
      <c r="U42" s="14" t="n">
        <v>13.5</v>
      </c>
      <c r="V42" s="14" t="n">
        <v>78.6</v>
      </c>
      <c r="W42" s="13" t="n">
        <v>5.79</v>
      </c>
    </row>
    <row r="43" customFormat="false" ht="12.8" hidden="false" customHeight="false" outlineLevel="0" collapsed="false">
      <c r="A43" s="1" t="n">
        <v>55</v>
      </c>
      <c r="B43" s="1" t="n">
        <v>23.9</v>
      </c>
      <c r="C43" s="1" t="n">
        <v>33.9</v>
      </c>
      <c r="D43" s="1" t="n">
        <v>10.6</v>
      </c>
      <c r="E43" s="1" t="n">
        <v>79.5</v>
      </c>
      <c r="F43" s="27" t="n">
        <v>5.9554554576115</v>
      </c>
      <c r="G43" s="27" t="n">
        <v>5.37</v>
      </c>
      <c r="H43" s="1" t="n">
        <v>-0.585455457611502</v>
      </c>
      <c r="K43" s="22"/>
      <c r="M43" s="23"/>
      <c r="P43" s="12" t="n">
        <v>3</v>
      </c>
      <c r="Q43" s="13" t="s">
        <v>104</v>
      </c>
      <c r="R43" s="14" t="n">
        <v>53.4</v>
      </c>
      <c r="S43" s="14" t="n">
        <v>19.9</v>
      </c>
      <c r="T43" s="14" t="n">
        <v>35.3</v>
      </c>
      <c r="U43" s="14" t="n">
        <v>13.2</v>
      </c>
      <c r="V43" s="14" t="n">
        <v>80.4</v>
      </c>
      <c r="W43" s="13" t="n">
        <v>7.13</v>
      </c>
    </row>
    <row r="44" customFormat="false" ht="12.8" hidden="false" customHeight="false" outlineLevel="0" collapsed="false">
      <c r="A44" s="1" t="n">
        <v>52.8</v>
      </c>
      <c r="B44" s="1" t="n">
        <v>20.2</v>
      </c>
      <c r="C44" s="1" t="n">
        <v>32.4</v>
      </c>
      <c r="D44" s="1" t="n">
        <v>11.4</v>
      </c>
      <c r="E44" s="1" t="n">
        <v>76.6</v>
      </c>
      <c r="F44" s="27" t="n">
        <v>5.76358772428622</v>
      </c>
      <c r="G44" s="27" t="n">
        <v>5.05</v>
      </c>
      <c r="H44" s="1" t="n">
        <v>-0.713587724286215</v>
      </c>
      <c r="K44" s="22"/>
      <c r="M44" s="23"/>
      <c r="P44" s="12" t="n">
        <v>3</v>
      </c>
      <c r="Q44" s="13" t="s">
        <v>105</v>
      </c>
      <c r="R44" s="14" t="n">
        <v>55.3</v>
      </c>
      <c r="S44" s="14" t="n">
        <v>22.5</v>
      </c>
      <c r="T44" s="14" t="n">
        <v>33.3</v>
      </c>
      <c r="U44" s="14" t="n">
        <v>10.7</v>
      </c>
      <c r="V44" s="14" t="n">
        <v>79.7</v>
      </c>
      <c r="W44" s="13" t="n">
        <v>6.62</v>
      </c>
    </row>
    <row r="45" customFormat="false" ht="12.8" hidden="false" customHeight="false" outlineLevel="0" collapsed="false">
      <c r="A45" s="1" t="n">
        <v>53.3</v>
      </c>
      <c r="B45" s="1" t="n">
        <v>22.7</v>
      </c>
      <c r="C45" s="1" t="n">
        <v>33.9</v>
      </c>
      <c r="D45" s="1" t="n">
        <v>10</v>
      </c>
      <c r="E45" s="1" t="n">
        <v>76.7</v>
      </c>
      <c r="F45" s="27" t="n">
        <v>5.92769693301561</v>
      </c>
      <c r="G45" s="27" t="n">
        <v>5.29</v>
      </c>
      <c r="H45" s="1" t="n">
        <v>-0.637696933015607</v>
      </c>
      <c r="K45" s="22"/>
      <c r="M45" s="23"/>
      <c r="P45" s="12" t="n">
        <v>3</v>
      </c>
      <c r="Q45" s="13" t="s">
        <v>106</v>
      </c>
      <c r="R45" s="14" t="n">
        <v>58.5</v>
      </c>
      <c r="S45" s="14" t="n">
        <v>30.1</v>
      </c>
      <c r="T45" s="14" t="n">
        <v>33.2</v>
      </c>
      <c r="U45" s="14" t="n">
        <v>11.1</v>
      </c>
      <c r="V45" s="14" t="n">
        <v>79.6</v>
      </c>
      <c r="W45" s="13" t="n">
        <v>6.39</v>
      </c>
    </row>
    <row r="46" customFormat="false" ht="12.8" hidden="false" customHeight="false" outlineLevel="0" collapsed="false">
      <c r="A46" s="1" t="n">
        <v>51.2</v>
      </c>
      <c r="B46" s="1" t="n">
        <v>13.5</v>
      </c>
      <c r="C46" s="1" t="n">
        <v>33</v>
      </c>
      <c r="D46" s="1" t="n">
        <v>10.3</v>
      </c>
      <c r="E46" s="1" t="n">
        <v>77.8</v>
      </c>
      <c r="F46" s="27" t="n">
        <v>5.52829457548279</v>
      </c>
      <c r="G46" s="27" t="n">
        <v>5.15</v>
      </c>
      <c r="H46" s="1" t="n">
        <v>-0.378294575482787</v>
      </c>
      <c r="K46" s="22"/>
      <c r="M46" s="23"/>
      <c r="P46" s="12" t="n">
        <v>3</v>
      </c>
      <c r="Q46" s="13" t="s">
        <v>107</v>
      </c>
      <c r="R46" s="14" t="n">
        <v>63.8</v>
      </c>
      <c r="S46" s="14" t="n">
        <v>26.5</v>
      </c>
      <c r="T46" s="14" t="n">
        <v>33.7</v>
      </c>
      <c r="U46" s="14" t="n">
        <v>8.5</v>
      </c>
      <c r="V46" s="14" t="n">
        <v>76.9</v>
      </c>
      <c r="W46" s="13" t="n">
        <v>6.49</v>
      </c>
    </row>
    <row r="47" customFormat="false" ht="12.8" hidden="false" customHeight="false" outlineLevel="0" collapsed="false">
      <c r="A47" s="1" t="n">
        <v>47</v>
      </c>
      <c r="B47" s="1" t="n">
        <v>8.4</v>
      </c>
      <c r="C47" s="1" t="n">
        <v>31.7</v>
      </c>
      <c r="D47" s="1" t="n">
        <v>10.5</v>
      </c>
      <c r="E47" s="1" t="n">
        <v>77.6</v>
      </c>
      <c r="F47" s="27" t="n">
        <v>5.30647107386436</v>
      </c>
      <c r="G47" s="27" t="n">
        <v>4.91</v>
      </c>
      <c r="H47" s="1" t="n">
        <v>-0.39647107386436</v>
      </c>
      <c r="K47" s="22"/>
      <c r="M47" s="23"/>
      <c r="P47" s="12" t="n">
        <v>3</v>
      </c>
      <c r="Q47" s="13" t="s">
        <v>108</v>
      </c>
      <c r="R47" s="14" t="n">
        <v>51.9</v>
      </c>
      <c r="S47" s="14" t="n">
        <v>21.7</v>
      </c>
      <c r="T47" s="14" t="n">
        <v>34.2</v>
      </c>
      <c r="U47" s="14" t="n">
        <v>11.3</v>
      </c>
      <c r="V47" s="14" t="n">
        <v>80.5</v>
      </c>
      <c r="W47" s="13" t="n">
        <v>6.17</v>
      </c>
    </row>
    <row r="48" customFormat="false" ht="12.8" hidden="false" customHeight="false" outlineLevel="0" collapsed="false">
      <c r="A48" s="1" t="n">
        <v>43.8</v>
      </c>
      <c r="B48" s="1" t="n">
        <v>12.9</v>
      </c>
      <c r="C48" s="1" t="n">
        <v>32.4</v>
      </c>
      <c r="D48" s="1" t="n">
        <v>10.2</v>
      </c>
      <c r="E48" s="1" t="n">
        <v>78</v>
      </c>
      <c r="F48" s="27" t="n">
        <v>5.5551352838857</v>
      </c>
      <c r="G48" s="27" t="n">
        <v>5.02</v>
      </c>
      <c r="H48" s="1" t="n">
        <v>-0.535135283885703</v>
      </c>
      <c r="K48" s="22"/>
      <c r="M48" s="23"/>
      <c r="P48" s="12" t="n">
        <v>3</v>
      </c>
      <c r="Q48" s="13" t="s">
        <v>109</v>
      </c>
      <c r="R48" s="14" t="n">
        <v>50.5</v>
      </c>
      <c r="S48" s="14" t="n">
        <v>16.9</v>
      </c>
      <c r="T48" s="14" t="n">
        <v>33.1</v>
      </c>
      <c r="U48" s="14" t="n">
        <v>10.5</v>
      </c>
      <c r="V48" s="14" t="n">
        <v>83</v>
      </c>
      <c r="W48" s="13" t="n">
        <v>6.62</v>
      </c>
    </row>
    <row r="49" customFormat="false" ht="12.8" hidden="false" customHeight="false" outlineLevel="0" collapsed="false">
      <c r="A49" s="1" t="n">
        <v>50.5</v>
      </c>
      <c r="B49" s="1" t="n">
        <v>7.5</v>
      </c>
      <c r="C49" s="1" t="n">
        <v>32.9</v>
      </c>
      <c r="D49" s="1" t="n">
        <v>9.9</v>
      </c>
      <c r="E49" s="1" t="n">
        <v>76.3</v>
      </c>
      <c r="F49" s="27" t="n">
        <v>5.28470253035112</v>
      </c>
      <c r="G49" s="27" t="n">
        <v>4.31</v>
      </c>
      <c r="H49" s="1" t="n">
        <v>-0.974702530351119</v>
      </c>
      <c r="K49" s="22"/>
      <c r="M49" s="23"/>
      <c r="P49" s="12" t="n">
        <v>3</v>
      </c>
      <c r="Q49" s="13" t="s">
        <v>110</v>
      </c>
      <c r="R49" s="14" t="n">
        <v>55.8</v>
      </c>
      <c r="S49" s="14" t="n">
        <v>30.8</v>
      </c>
      <c r="T49" s="14" t="n">
        <v>33.2</v>
      </c>
      <c r="U49" s="14" t="n">
        <v>10.3</v>
      </c>
      <c r="V49" s="14" t="n">
        <v>87.6</v>
      </c>
      <c r="W49" s="13" t="n">
        <v>6.6</v>
      </c>
    </row>
    <row r="50" customFormat="false" ht="12.8" hidden="false" customHeight="false" outlineLevel="0" collapsed="false">
      <c r="A50" s="1" t="n">
        <v>46.1</v>
      </c>
      <c r="B50" s="1" t="n">
        <v>8.9</v>
      </c>
      <c r="C50" s="1" t="n">
        <v>32.1</v>
      </c>
      <c r="D50" s="1" t="n">
        <v>10.4</v>
      </c>
      <c r="E50" s="1" t="n">
        <v>76.8</v>
      </c>
      <c r="F50" s="27" t="n">
        <v>5.3535541178902</v>
      </c>
      <c r="G50" s="27" t="n">
        <v>4.82</v>
      </c>
      <c r="H50" s="1" t="n">
        <v>-0.533554117890196</v>
      </c>
      <c r="K50" s="22"/>
      <c r="M50" s="23"/>
      <c r="P50" s="12" t="n">
        <v>4</v>
      </c>
      <c r="Q50" s="13" t="s">
        <v>42</v>
      </c>
      <c r="R50" s="13" t="n">
        <v>45</v>
      </c>
      <c r="S50" s="13" t="n">
        <v>9.8</v>
      </c>
      <c r="T50" s="13" t="n">
        <v>31.7</v>
      </c>
      <c r="U50" s="13" t="n">
        <v>9.2</v>
      </c>
      <c r="V50" s="13" t="n">
        <v>81.5</v>
      </c>
      <c r="W50" s="13" t="n">
        <v>6.28</v>
      </c>
    </row>
    <row r="51" customFormat="false" ht="12.8" hidden="false" customHeight="false" outlineLevel="0" collapsed="false">
      <c r="A51" s="1" t="n">
        <v>66.4</v>
      </c>
      <c r="B51" s="1" t="n">
        <v>17.7</v>
      </c>
      <c r="C51" s="1" t="n">
        <v>33.4</v>
      </c>
      <c r="D51" s="1" t="n">
        <v>10.6</v>
      </c>
      <c r="E51" s="1" t="n">
        <v>79.3</v>
      </c>
      <c r="F51" s="27" t="n">
        <v>5.56126956402722</v>
      </c>
      <c r="G51" s="27" t="n">
        <v>5.28</v>
      </c>
      <c r="H51" s="1" t="n">
        <v>-0.281269564027215</v>
      </c>
      <c r="K51" s="22"/>
      <c r="M51" s="23"/>
      <c r="P51" s="18" t="n">
        <v>4</v>
      </c>
      <c r="Q51" s="13" t="s">
        <v>45</v>
      </c>
      <c r="R51" s="13" t="n">
        <v>55.8</v>
      </c>
      <c r="S51" s="13" t="n">
        <v>17.6</v>
      </c>
      <c r="T51" s="13" t="n">
        <v>31.4</v>
      </c>
      <c r="U51" s="13" t="n">
        <v>9.2</v>
      </c>
      <c r="V51" s="13" t="n">
        <v>82.1</v>
      </c>
      <c r="W51" s="13" t="n">
        <v>6.33</v>
      </c>
    </row>
    <row r="52" customFormat="false" ht="12.8" hidden="false" customHeight="false" outlineLevel="0" collapsed="false">
      <c r="A52" s="1" t="n">
        <v>66.3</v>
      </c>
      <c r="B52" s="1" t="n">
        <v>29.3</v>
      </c>
      <c r="C52" s="1" t="n">
        <v>31.4</v>
      </c>
      <c r="D52" s="1" t="n">
        <v>14.4</v>
      </c>
      <c r="E52" s="1" t="n">
        <v>78.8</v>
      </c>
      <c r="F52" s="27" t="n">
        <v>5.9508928456265</v>
      </c>
      <c r="G52" s="27" t="n">
        <v>4.88</v>
      </c>
      <c r="H52" s="1" t="n">
        <v>-1.0708928456265</v>
      </c>
      <c r="K52" s="22"/>
      <c r="M52" s="23"/>
      <c r="P52" s="12" t="n">
        <v>4</v>
      </c>
      <c r="Q52" s="13" t="s">
        <v>46</v>
      </c>
      <c r="R52" s="13" t="n">
        <v>55.7</v>
      </c>
      <c r="S52" s="13" t="n">
        <v>14.5</v>
      </c>
      <c r="T52" s="13" t="n">
        <v>31.4</v>
      </c>
      <c r="U52" s="13" t="n">
        <v>9</v>
      </c>
      <c r="V52" s="13" t="n">
        <v>85</v>
      </c>
      <c r="W52" s="13" t="n">
        <v>6</v>
      </c>
    </row>
    <row r="53" customFormat="false" ht="12.8" hidden="false" customHeight="false" outlineLevel="0" collapsed="false">
      <c r="A53" s="1" t="n">
        <v>63.7</v>
      </c>
      <c r="B53" s="1" t="n">
        <v>21.1</v>
      </c>
      <c r="C53" s="1" t="n">
        <v>31.5</v>
      </c>
      <c r="D53" s="1" t="n">
        <v>12.1</v>
      </c>
      <c r="E53" s="1" t="n">
        <v>77.8</v>
      </c>
      <c r="F53" s="27" t="n">
        <v>5.64997255217981</v>
      </c>
      <c r="G53" s="27" t="n">
        <v>5.27</v>
      </c>
      <c r="H53" s="1" t="n">
        <v>-0.37997255217981</v>
      </c>
      <c r="K53" s="22"/>
      <c r="M53" s="23"/>
      <c r="P53" s="18" t="n">
        <v>4</v>
      </c>
      <c r="Q53" s="13" t="s">
        <v>48</v>
      </c>
      <c r="R53" s="13" t="n">
        <v>58.5</v>
      </c>
      <c r="S53" s="13" t="n">
        <v>22.9</v>
      </c>
      <c r="T53" s="13" t="n">
        <v>31.6</v>
      </c>
      <c r="U53" s="13" t="n">
        <v>11.6</v>
      </c>
      <c r="V53" s="13" t="n">
        <v>83.1</v>
      </c>
      <c r="W53" s="13" t="n">
        <v>5.91</v>
      </c>
    </row>
    <row r="54" customFormat="false" ht="12.8" hidden="false" customHeight="false" outlineLevel="0" collapsed="false">
      <c r="A54" s="1" t="n">
        <v>61.2</v>
      </c>
      <c r="B54" s="1" t="n">
        <v>19.6</v>
      </c>
      <c r="C54" s="1" t="n">
        <v>33.7</v>
      </c>
      <c r="D54" s="1" t="n">
        <v>17.3</v>
      </c>
      <c r="E54" s="1" t="n">
        <v>77.5</v>
      </c>
      <c r="F54" s="27" t="n">
        <v>5.68148990945625</v>
      </c>
      <c r="G54" s="27" t="n">
        <v>5.4</v>
      </c>
      <c r="H54" s="1" t="n">
        <v>-0.281489909456252</v>
      </c>
      <c r="K54" s="22"/>
      <c r="M54" s="23"/>
      <c r="P54" s="12" t="n">
        <v>4</v>
      </c>
      <c r="Q54" s="13" t="s">
        <v>49</v>
      </c>
      <c r="R54" s="13" t="n">
        <v>55.9</v>
      </c>
      <c r="S54" s="13" t="n">
        <v>24.4</v>
      </c>
      <c r="T54" s="13" t="n">
        <v>33.2</v>
      </c>
      <c r="U54" s="13" t="n">
        <v>9</v>
      </c>
      <c r="V54" s="13" t="n">
        <v>81.7</v>
      </c>
      <c r="W54" s="13" t="n">
        <v>6.8</v>
      </c>
    </row>
    <row r="55" customFormat="false" ht="12.8" hidden="false" customHeight="false" outlineLevel="0" collapsed="false">
      <c r="A55" s="1" t="n">
        <v>65.1</v>
      </c>
      <c r="B55" s="1" t="n">
        <v>18.9</v>
      </c>
      <c r="C55" s="1" t="n">
        <v>31.7</v>
      </c>
      <c r="D55" s="1" t="n">
        <v>9.2</v>
      </c>
      <c r="E55" s="1" t="n">
        <v>74.8</v>
      </c>
      <c r="F55" s="27" t="n">
        <v>5.56589129339072</v>
      </c>
      <c r="G55" s="27" t="n">
        <v>5.37</v>
      </c>
      <c r="H55" s="1" t="n">
        <v>-0.195891293390722</v>
      </c>
      <c r="K55" s="22"/>
      <c r="M55" s="23"/>
      <c r="P55" s="18" t="n">
        <v>4</v>
      </c>
      <c r="Q55" s="13" t="s">
        <v>50</v>
      </c>
      <c r="R55" s="13" t="n">
        <v>73</v>
      </c>
      <c r="S55" s="13" t="n">
        <v>22.7</v>
      </c>
      <c r="T55" s="13" t="n">
        <v>33.3</v>
      </c>
      <c r="U55" s="13" t="n">
        <v>10.8</v>
      </c>
      <c r="V55" s="13" t="n">
        <v>83.3</v>
      </c>
      <c r="W55" s="13" t="n">
        <v>6.15</v>
      </c>
    </row>
    <row r="56" customFormat="false" ht="12.8" hidden="false" customHeight="false" outlineLevel="0" collapsed="false">
      <c r="A56" s="1" t="n">
        <v>58.7</v>
      </c>
      <c r="B56" s="1" t="n">
        <v>22.5</v>
      </c>
      <c r="C56" s="1" t="n">
        <v>33.1</v>
      </c>
      <c r="D56" s="1" t="n">
        <v>9.9</v>
      </c>
      <c r="E56" s="1" t="n">
        <v>79.1</v>
      </c>
      <c r="F56" s="27" t="n">
        <v>5.83046775881909</v>
      </c>
      <c r="G56" s="27" t="n">
        <v>5.26</v>
      </c>
      <c r="H56" s="1" t="n">
        <v>-0.570467758819086</v>
      </c>
      <c r="K56" s="22"/>
      <c r="M56" s="23"/>
      <c r="P56" s="12" t="n">
        <v>4</v>
      </c>
      <c r="Q56" s="13" t="s">
        <v>51</v>
      </c>
      <c r="R56" s="13" t="n">
        <v>53.1</v>
      </c>
      <c r="S56" s="13" t="n">
        <v>24.9</v>
      </c>
      <c r="T56" s="13" t="n">
        <v>33.5</v>
      </c>
      <c r="U56" s="13" t="n">
        <v>10.3</v>
      </c>
      <c r="V56" s="13" t="n">
        <v>81.8</v>
      </c>
      <c r="W56" s="13" t="n">
        <v>5.42</v>
      </c>
    </row>
    <row r="57" customFormat="false" ht="12.8" hidden="false" customHeight="false" outlineLevel="0" collapsed="false">
      <c r="A57" s="1" t="n">
        <v>57</v>
      </c>
      <c r="B57" s="1" t="n">
        <v>27.4</v>
      </c>
      <c r="C57" s="1" t="n">
        <v>33.6</v>
      </c>
      <c r="D57" s="1" t="n">
        <v>9.6</v>
      </c>
      <c r="E57" s="1" t="n">
        <v>75.5</v>
      </c>
      <c r="F57" s="27" t="n">
        <v>6.07604656491334</v>
      </c>
      <c r="G57" s="27" t="n">
        <v>5.21</v>
      </c>
      <c r="H57" s="1" t="n">
        <v>-0.866046564913342</v>
      </c>
      <c r="K57" s="22"/>
      <c r="M57" s="23"/>
      <c r="P57" s="18" t="n">
        <v>4</v>
      </c>
      <c r="Q57" s="13" t="s">
        <v>52</v>
      </c>
      <c r="R57" s="13" t="n">
        <v>52.3</v>
      </c>
      <c r="S57" s="13" t="n">
        <v>13.9</v>
      </c>
      <c r="T57" s="13" t="n">
        <v>31.7</v>
      </c>
      <c r="U57" s="13" t="n">
        <v>12</v>
      </c>
      <c r="V57" s="13" t="n">
        <v>78.8</v>
      </c>
      <c r="W57" s="13" t="n">
        <v>5.12</v>
      </c>
    </row>
    <row r="58" customFormat="false" ht="12.8" hidden="false" customHeight="false" outlineLevel="0" collapsed="false">
      <c r="A58" s="1" t="n">
        <v>55.1</v>
      </c>
      <c r="B58" s="1" t="n">
        <v>14.7</v>
      </c>
      <c r="C58" s="1" t="n">
        <v>33.7</v>
      </c>
      <c r="D58" s="1" t="n">
        <v>10.3</v>
      </c>
      <c r="E58" s="1" t="n">
        <v>78.2</v>
      </c>
      <c r="F58" s="27" t="n">
        <v>5.56600540735388</v>
      </c>
      <c r="G58" s="27" t="n">
        <v>4.96</v>
      </c>
      <c r="H58" s="1" t="n">
        <v>-0.606005407353879</v>
      </c>
      <c r="K58" s="22"/>
      <c r="M58" s="23"/>
      <c r="P58" s="12" t="n">
        <v>4</v>
      </c>
      <c r="Q58" s="13" t="s">
        <v>53</v>
      </c>
      <c r="R58" s="13" t="n">
        <v>53.4</v>
      </c>
      <c r="S58" s="13" t="n">
        <v>23.5</v>
      </c>
      <c r="T58" s="13" t="n">
        <v>32.4</v>
      </c>
      <c r="U58" s="13" t="n">
        <v>10.5</v>
      </c>
      <c r="V58" s="13" t="n">
        <v>79.5</v>
      </c>
      <c r="W58" s="13" t="n">
        <v>5.4</v>
      </c>
    </row>
    <row r="59" customFormat="false" ht="12.8" hidden="false" customHeight="false" outlineLevel="0" collapsed="false">
      <c r="A59" s="1" t="n">
        <v>50.3</v>
      </c>
      <c r="B59" s="1" t="n">
        <v>11.8</v>
      </c>
      <c r="C59" s="1" t="n">
        <v>33.3</v>
      </c>
      <c r="D59" s="1" t="n">
        <v>10.2</v>
      </c>
      <c r="E59" s="1" t="n">
        <v>76.2</v>
      </c>
      <c r="F59" s="27" t="n">
        <v>5.48057232309323</v>
      </c>
      <c r="G59" s="27" t="n">
        <v>4.71</v>
      </c>
      <c r="H59" s="1" t="n">
        <v>-0.770572323093234</v>
      </c>
      <c r="K59" s="22"/>
      <c r="M59" s="23"/>
      <c r="P59" s="18" t="n">
        <v>4</v>
      </c>
      <c r="Q59" s="13" t="s">
        <v>54</v>
      </c>
      <c r="R59" s="13" t="n">
        <v>51.2</v>
      </c>
      <c r="S59" s="13" t="n">
        <v>10.6</v>
      </c>
      <c r="T59" s="13" t="n">
        <v>31.7</v>
      </c>
      <c r="U59" s="13" t="n">
        <v>9.3</v>
      </c>
      <c r="V59" s="13" t="n">
        <v>80.3</v>
      </c>
      <c r="W59" s="13" t="n">
        <v>5.21</v>
      </c>
    </row>
    <row r="60" customFormat="false" ht="12.8" hidden="false" customHeight="false" outlineLevel="0" collapsed="false">
      <c r="A60" s="1" t="n">
        <v>58.1</v>
      </c>
      <c r="B60" s="1" t="n">
        <v>15.2</v>
      </c>
      <c r="C60" s="1" t="n">
        <v>32.8</v>
      </c>
      <c r="D60" s="1" t="n">
        <v>12.7</v>
      </c>
      <c r="E60" s="1" t="n">
        <v>76.4</v>
      </c>
      <c r="F60" s="27" t="n">
        <v>5.51265176298716</v>
      </c>
      <c r="G60" s="27" t="n">
        <v>5.08</v>
      </c>
      <c r="H60" s="1" t="n">
        <v>-0.432651762987156</v>
      </c>
      <c r="K60" s="22"/>
      <c r="M60" s="23"/>
      <c r="P60" s="12" t="n">
        <v>4</v>
      </c>
      <c r="Q60" s="13" t="s">
        <v>56</v>
      </c>
      <c r="R60" s="13" t="n">
        <v>43</v>
      </c>
      <c r="S60" s="13" t="n">
        <v>6.6</v>
      </c>
      <c r="T60" s="13" t="n">
        <v>31.8</v>
      </c>
      <c r="U60" s="13" t="n">
        <v>8.7</v>
      </c>
      <c r="V60" s="13" t="n">
        <v>79.8</v>
      </c>
      <c r="W60" s="13" t="n">
        <v>5.03</v>
      </c>
    </row>
    <row r="61" customFormat="false" ht="12.8" hidden="false" customHeight="false" outlineLevel="0" collapsed="false">
      <c r="A61" s="1" t="n">
        <v>57.8</v>
      </c>
      <c r="B61" s="1" t="n">
        <v>23.5</v>
      </c>
      <c r="C61" s="1" t="n">
        <v>35.5</v>
      </c>
      <c r="D61" s="1" t="n">
        <v>10.7</v>
      </c>
      <c r="E61" s="1" t="n">
        <v>78.3</v>
      </c>
      <c r="F61" s="27" t="n">
        <v>5.97486914882739</v>
      </c>
      <c r="G61" s="27" t="n">
        <v>5.2</v>
      </c>
      <c r="H61" s="1" t="n">
        <v>-0.774869148827389</v>
      </c>
      <c r="K61" s="22"/>
      <c r="M61" s="23"/>
      <c r="P61" s="18" t="n">
        <v>4</v>
      </c>
      <c r="Q61" s="13" t="s">
        <v>58</v>
      </c>
      <c r="R61" s="13" t="n">
        <v>40</v>
      </c>
      <c r="S61" s="13" t="n">
        <v>12.6</v>
      </c>
      <c r="T61" s="13" t="n">
        <v>31.4</v>
      </c>
      <c r="U61" s="13" t="n">
        <v>9.7</v>
      </c>
      <c r="V61" s="13" t="n">
        <v>80.1</v>
      </c>
      <c r="W61" s="13" t="n">
        <v>5.16</v>
      </c>
    </row>
    <row r="62" customFormat="false" ht="12.8" hidden="false" customHeight="false" outlineLevel="0" collapsed="false">
      <c r="A62" s="1" t="n">
        <v>55.6</v>
      </c>
      <c r="B62" s="1" t="n">
        <v>15.6</v>
      </c>
      <c r="C62" s="1" t="n">
        <v>34.3</v>
      </c>
      <c r="D62" s="1" t="n">
        <v>10.7</v>
      </c>
      <c r="E62" s="1" t="n">
        <v>74</v>
      </c>
      <c r="F62" s="27" t="n">
        <v>5.62456930288051</v>
      </c>
      <c r="G62" s="27" t="n">
        <v>5.18</v>
      </c>
      <c r="H62" s="1" t="n">
        <v>-0.44456930288051</v>
      </c>
      <c r="K62" s="22"/>
      <c r="M62" s="23"/>
      <c r="P62" s="12" t="n">
        <v>4</v>
      </c>
      <c r="Q62" s="13" t="s">
        <v>60</v>
      </c>
      <c r="R62" s="13" t="n">
        <v>47.2</v>
      </c>
      <c r="S62" s="13" t="n">
        <v>7.7</v>
      </c>
      <c r="T62" s="13" t="n">
        <v>32.4</v>
      </c>
      <c r="U62" s="13" t="n">
        <v>9.2</v>
      </c>
      <c r="V62" s="13" t="n">
        <v>78.4</v>
      </c>
      <c r="W62" s="13" t="n">
        <v>4.47</v>
      </c>
    </row>
    <row r="63" customFormat="false" ht="12.8" hidden="false" customHeight="false" outlineLevel="0" collapsed="false">
      <c r="A63" s="1" t="n">
        <v>45.2</v>
      </c>
      <c r="B63" s="1" t="n">
        <v>12.5</v>
      </c>
      <c r="C63" s="1" t="n">
        <v>33.5</v>
      </c>
      <c r="D63" s="1" t="n">
        <v>10.9</v>
      </c>
      <c r="E63" s="1" t="n">
        <v>74.3</v>
      </c>
      <c r="F63" s="27" t="n">
        <v>5.56881754947761</v>
      </c>
      <c r="G63" s="27" t="n">
        <v>5.18</v>
      </c>
      <c r="H63" s="1" t="n">
        <v>-0.38881754947761</v>
      </c>
      <c r="K63" s="22"/>
      <c r="M63" s="23"/>
      <c r="P63" s="18" t="n">
        <v>4</v>
      </c>
      <c r="Q63" s="13" t="s">
        <v>62</v>
      </c>
      <c r="R63" s="13" t="n">
        <v>41.7</v>
      </c>
      <c r="S63" s="13" t="n">
        <v>8.9</v>
      </c>
      <c r="T63" s="13" t="n">
        <v>31.7</v>
      </c>
      <c r="U63" s="13" t="n">
        <v>10.2</v>
      </c>
      <c r="V63" s="13" t="n">
        <v>79</v>
      </c>
      <c r="W63" s="13" t="n">
        <v>5</v>
      </c>
    </row>
    <row r="64" customFormat="false" ht="12.8" hidden="false" customHeight="false" outlineLevel="0" collapsed="false">
      <c r="A64" s="1" t="n">
        <v>50.9</v>
      </c>
      <c r="B64" s="1" t="n">
        <v>14.3</v>
      </c>
      <c r="C64" s="1" t="n">
        <v>33.2</v>
      </c>
      <c r="D64" s="1" t="n">
        <v>10.9</v>
      </c>
      <c r="E64" s="1" t="n">
        <v>76.9</v>
      </c>
      <c r="F64" s="27" t="n">
        <v>5.5711557730358</v>
      </c>
      <c r="G64" s="27" t="n">
        <v>5.4</v>
      </c>
      <c r="H64" s="1" t="n">
        <v>-0.171155773035802</v>
      </c>
      <c r="K64" s="22"/>
      <c r="M64" s="23"/>
      <c r="P64" s="12" t="n">
        <v>4</v>
      </c>
      <c r="Q64" s="13" t="s">
        <v>64</v>
      </c>
      <c r="R64" s="13" t="n">
        <v>65.2</v>
      </c>
      <c r="S64" s="13" t="n">
        <v>17.5</v>
      </c>
      <c r="T64" s="13" t="n">
        <v>33.1</v>
      </c>
      <c r="U64" s="13" t="n">
        <v>11.1</v>
      </c>
      <c r="V64" s="13" t="n">
        <v>81.5</v>
      </c>
      <c r="W64" s="13" t="n">
        <v>5.24</v>
      </c>
    </row>
    <row r="65" customFormat="false" ht="12.8" hidden="false" customHeight="false" outlineLevel="0" collapsed="false">
      <c r="A65" s="1" t="n">
        <v>49.6</v>
      </c>
      <c r="B65" s="1" t="n">
        <v>23.5</v>
      </c>
      <c r="C65" s="1" t="n">
        <v>35.4</v>
      </c>
      <c r="D65" s="1" t="n">
        <v>10.8</v>
      </c>
      <c r="E65" s="1" t="n">
        <v>71.7</v>
      </c>
      <c r="F65" s="27" t="n">
        <v>6.06016986529407</v>
      </c>
      <c r="G65" s="27" t="n">
        <v>5.79</v>
      </c>
      <c r="H65" s="1" t="n">
        <v>-0.270169865294069</v>
      </c>
      <c r="K65" s="22"/>
      <c r="M65" s="23"/>
      <c r="P65" s="18" t="n">
        <v>4</v>
      </c>
      <c r="Q65" s="13" t="s">
        <v>66</v>
      </c>
      <c r="R65" s="13" t="n">
        <v>67.2</v>
      </c>
      <c r="S65" s="13" t="n">
        <v>27.6</v>
      </c>
      <c r="T65" s="13" t="n">
        <v>31.6</v>
      </c>
      <c r="U65" s="13" t="n">
        <v>15.9</v>
      </c>
      <c r="V65" s="13" t="n">
        <v>80.8</v>
      </c>
      <c r="W65" s="13" t="n">
        <v>4.94</v>
      </c>
    </row>
    <row r="66" customFormat="false" ht="12.8" hidden="false" customHeight="false" outlineLevel="0" collapsed="false">
      <c r="A66" s="1" t="n">
        <v>49.4</v>
      </c>
      <c r="B66" s="1" t="n">
        <v>19.6</v>
      </c>
      <c r="C66" s="1" t="n">
        <v>34</v>
      </c>
      <c r="D66" s="1" t="n">
        <v>12.5</v>
      </c>
      <c r="E66" s="1" t="n">
        <v>72.7</v>
      </c>
      <c r="F66" s="27" t="n">
        <v>5.83661910725024</v>
      </c>
      <c r="G66" s="27" t="n">
        <v>5.96</v>
      </c>
      <c r="H66" s="1" t="n">
        <v>0.12338089274976</v>
      </c>
      <c r="K66" s="22"/>
      <c r="M66" s="23"/>
      <c r="P66" s="12" t="n">
        <v>4</v>
      </c>
      <c r="Q66" s="13" t="s">
        <v>67</v>
      </c>
      <c r="R66" s="13" t="n">
        <v>61.1</v>
      </c>
      <c r="S66" s="13" t="n">
        <v>15.4</v>
      </c>
      <c r="T66" s="13" t="n">
        <v>31</v>
      </c>
      <c r="U66" s="13" t="n">
        <v>13.1</v>
      </c>
      <c r="V66" s="13" t="n">
        <v>79.5</v>
      </c>
      <c r="W66" s="13" t="n">
        <v>5.26</v>
      </c>
    </row>
    <row r="67" customFormat="false" ht="12.8" hidden="false" customHeight="false" outlineLevel="0" collapsed="false">
      <c r="A67" s="1" t="n">
        <v>53.1</v>
      </c>
      <c r="B67" s="1" t="n">
        <v>16.1</v>
      </c>
      <c r="C67" s="1" t="n">
        <v>32.8</v>
      </c>
      <c r="D67" s="1" t="n">
        <v>10.4</v>
      </c>
      <c r="E67" s="1" t="n">
        <v>79.1</v>
      </c>
      <c r="F67" s="27" t="n">
        <v>5.60751166172526</v>
      </c>
      <c r="G67" s="27" t="n">
        <v>6.07</v>
      </c>
      <c r="H67" s="1" t="n">
        <v>0.462488338274746</v>
      </c>
      <c r="K67" s="22"/>
      <c r="M67" s="23"/>
      <c r="P67" s="18" t="n">
        <v>4</v>
      </c>
      <c r="Q67" s="13" t="s">
        <v>69</v>
      </c>
      <c r="R67" s="13" t="n">
        <v>58.3</v>
      </c>
      <c r="S67" s="13" t="n">
        <v>17</v>
      </c>
      <c r="T67" s="13" t="n">
        <v>32.7</v>
      </c>
      <c r="U67" s="13" t="n">
        <v>13.9</v>
      </c>
      <c r="V67" s="13" t="n">
        <v>79.1</v>
      </c>
      <c r="W67" s="13" t="n">
        <v>5.47</v>
      </c>
    </row>
    <row r="68" customFormat="false" ht="12.8" hidden="false" customHeight="false" outlineLevel="0" collapsed="false">
      <c r="A68" s="1" t="n">
        <v>65.3</v>
      </c>
      <c r="B68" s="1" t="n">
        <v>25.8</v>
      </c>
      <c r="C68" s="1" t="n">
        <v>34.2</v>
      </c>
      <c r="D68" s="1" t="n">
        <v>11.2</v>
      </c>
      <c r="E68" s="1" t="n">
        <v>80.6</v>
      </c>
      <c r="F68" s="27" t="n">
        <v>5.93801163212119</v>
      </c>
      <c r="G68" s="27" t="n">
        <v>6.4</v>
      </c>
      <c r="H68" s="1" t="n">
        <v>0.461988367878812</v>
      </c>
      <c r="K68" s="22"/>
      <c r="M68" s="23"/>
      <c r="P68" s="12" t="n">
        <v>4</v>
      </c>
      <c r="Q68" s="13" t="s">
        <v>75</v>
      </c>
      <c r="R68" s="13" t="n">
        <v>62.9</v>
      </c>
      <c r="S68" s="13" t="n">
        <v>16.2</v>
      </c>
      <c r="T68" s="13" t="n">
        <v>31.6</v>
      </c>
      <c r="U68" s="13" t="n">
        <v>10.6</v>
      </c>
      <c r="V68" s="13" t="n">
        <v>78.9</v>
      </c>
      <c r="W68" s="13" t="n">
        <v>5.43</v>
      </c>
    </row>
    <row r="69" customFormat="false" ht="12.8" hidden="false" customHeight="false" outlineLevel="0" collapsed="false">
      <c r="A69" s="1" t="n">
        <v>56.8</v>
      </c>
      <c r="B69" s="1" t="n">
        <v>31.6</v>
      </c>
      <c r="C69" s="1" t="n">
        <v>32.4</v>
      </c>
      <c r="D69" s="1" t="n">
        <v>11.7</v>
      </c>
      <c r="E69" s="1" t="n">
        <v>76.2</v>
      </c>
      <c r="F69" s="27" t="n">
        <v>6.19621612767004</v>
      </c>
      <c r="G69" s="27" t="n">
        <v>5.61</v>
      </c>
      <c r="H69" s="1" t="n">
        <v>-0.586216127670042</v>
      </c>
      <c r="K69" s="22"/>
      <c r="M69" s="23"/>
      <c r="P69" s="18" t="n">
        <v>4</v>
      </c>
      <c r="Q69" s="13" t="s">
        <v>76</v>
      </c>
      <c r="R69" s="13" t="n">
        <v>58.8</v>
      </c>
      <c r="S69" s="13" t="n">
        <v>18.7</v>
      </c>
      <c r="T69" s="13" t="n">
        <v>32.3</v>
      </c>
      <c r="U69" s="13" t="n">
        <v>9.9</v>
      </c>
      <c r="V69" s="13" t="n">
        <v>81.2</v>
      </c>
      <c r="W69" s="13" t="n">
        <v>5.24</v>
      </c>
    </row>
    <row r="70" customFormat="false" ht="12.8" hidden="false" customHeight="false" outlineLevel="0" collapsed="false">
      <c r="A70" s="1" t="n">
        <v>54.7</v>
      </c>
      <c r="B70" s="1" t="n">
        <v>19.7</v>
      </c>
      <c r="C70" s="1" t="n">
        <v>32.9</v>
      </c>
      <c r="D70" s="1" t="n">
        <v>10.9</v>
      </c>
      <c r="E70" s="1" t="n">
        <v>75.7</v>
      </c>
      <c r="F70" s="27" t="n">
        <v>5.74608068877497</v>
      </c>
      <c r="G70" s="27" t="n">
        <v>5.41</v>
      </c>
      <c r="H70" s="1" t="n">
        <v>-0.336080688774968</v>
      </c>
      <c r="K70" s="22"/>
      <c r="M70" s="23"/>
      <c r="P70" s="12" t="n">
        <v>4</v>
      </c>
      <c r="Q70" s="13" t="s">
        <v>78</v>
      </c>
      <c r="R70" s="13" t="n">
        <v>56.6</v>
      </c>
      <c r="S70" s="13" t="n">
        <v>21.8</v>
      </c>
      <c r="T70" s="13" t="n">
        <v>33.2</v>
      </c>
      <c r="U70" s="13" t="n">
        <v>8.9</v>
      </c>
      <c r="V70" s="13" t="n">
        <v>77.9</v>
      </c>
      <c r="W70" s="13" t="n">
        <v>5.31</v>
      </c>
    </row>
    <row r="71" customFormat="false" ht="12.8" hidden="false" customHeight="false" outlineLevel="0" collapsed="false">
      <c r="A71" s="1" t="n">
        <v>51.2</v>
      </c>
      <c r="B71" s="1" t="n">
        <v>18.8</v>
      </c>
      <c r="C71" s="1" t="n">
        <v>33.1</v>
      </c>
      <c r="D71" s="1" t="n">
        <v>10.4</v>
      </c>
      <c r="E71" s="1" t="n">
        <v>78.2</v>
      </c>
      <c r="F71" s="27" t="n">
        <v>5.75204573719861</v>
      </c>
      <c r="G71" s="27" t="n">
        <v>5.78</v>
      </c>
      <c r="H71" s="1" t="n">
        <v>0.027954262801388</v>
      </c>
      <c r="K71" s="22"/>
      <c r="M71" s="23"/>
      <c r="P71" s="18" t="n">
        <v>4</v>
      </c>
      <c r="Q71" s="13" t="s">
        <v>80</v>
      </c>
      <c r="R71" s="13" t="n">
        <v>54.6</v>
      </c>
      <c r="S71" s="13" t="n">
        <v>15.6</v>
      </c>
      <c r="T71" s="13" t="n">
        <v>33.5</v>
      </c>
      <c r="U71" s="13" t="n">
        <v>10.5</v>
      </c>
      <c r="V71" s="13" t="n">
        <v>80.4</v>
      </c>
      <c r="W71" s="13" t="n">
        <v>5.03</v>
      </c>
    </row>
    <row r="72" customFormat="false" ht="12.8" hidden="false" customHeight="false" outlineLevel="0" collapsed="false">
      <c r="A72" s="1" t="n">
        <v>54.7</v>
      </c>
      <c r="B72" s="1" t="n">
        <v>24.2</v>
      </c>
      <c r="C72" s="1" t="n">
        <v>34</v>
      </c>
      <c r="D72" s="1" t="n">
        <v>10.4</v>
      </c>
      <c r="E72" s="1" t="n">
        <v>68</v>
      </c>
      <c r="F72" s="27" t="n">
        <v>5.98608089405933</v>
      </c>
      <c r="G72" s="27" t="n">
        <v>6.17</v>
      </c>
      <c r="H72" s="1" t="n">
        <v>0.183919105940666</v>
      </c>
      <c r="K72" s="22"/>
      <c r="M72" s="23"/>
      <c r="P72" s="12" t="n">
        <v>4</v>
      </c>
      <c r="Q72" s="13" t="s">
        <v>81</v>
      </c>
      <c r="R72" s="13" t="n">
        <v>49.7</v>
      </c>
      <c r="S72" s="13" t="n">
        <v>11.2</v>
      </c>
      <c r="T72" s="13" t="n">
        <v>31.8</v>
      </c>
      <c r="U72" s="13" t="n">
        <v>9.8</v>
      </c>
      <c r="V72" s="13" t="n">
        <v>78.3</v>
      </c>
      <c r="W72" s="13" t="n">
        <v>4.84</v>
      </c>
    </row>
    <row r="73" customFormat="false" ht="12.8" hidden="false" customHeight="false" outlineLevel="0" collapsed="false">
      <c r="A73" s="1" t="n">
        <v>52.3</v>
      </c>
      <c r="B73" s="1" t="n">
        <v>36.1</v>
      </c>
      <c r="C73" s="1" t="n">
        <v>32.5</v>
      </c>
      <c r="D73" s="1" t="n">
        <v>11.6</v>
      </c>
      <c r="E73" s="1" t="n">
        <v>73.8</v>
      </c>
      <c r="F73" s="27" t="n">
        <v>6.4359244332843</v>
      </c>
      <c r="G73" s="27" t="n">
        <v>6</v>
      </c>
      <c r="H73" s="1" t="n">
        <v>-0.435924433284297</v>
      </c>
      <c r="K73" s="22"/>
      <c r="M73" s="23"/>
      <c r="P73" s="18" t="n">
        <v>4</v>
      </c>
      <c r="Q73" s="13" t="s">
        <v>83</v>
      </c>
      <c r="R73" s="13" t="n">
        <v>57.7</v>
      </c>
      <c r="S73" s="13" t="n">
        <v>14.4</v>
      </c>
      <c r="T73" s="13" t="n">
        <v>32.4</v>
      </c>
      <c r="U73" s="13" t="n">
        <v>9.6</v>
      </c>
      <c r="V73" s="13" t="n">
        <v>78.3</v>
      </c>
      <c r="W73" s="13" t="n">
        <v>5.15</v>
      </c>
    </row>
    <row r="74" customFormat="false" ht="12.8" hidden="false" customHeight="false" outlineLevel="0" collapsed="false">
      <c r="A74" s="1" t="n">
        <v>58.3</v>
      </c>
      <c r="B74" s="1" t="n">
        <v>22.1</v>
      </c>
      <c r="C74" s="1" t="n">
        <v>32.2</v>
      </c>
      <c r="D74" s="1" t="n">
        <v>10.6</v>
      </c>
      <c r="E74" s="1" t="n">
        <v>74.1</v>
      </c>
      <c r="F74" s="27" t="n">
        <v>5.78375363448764</v>
      </c>
      <c r="G74" s="27" t="n">
        <v>5.89</v>
      </c>
      <c r="H74" s="1" t="n">
        <v>0.106246365512359</v>
      </c>
      <c r="K74" s="22"/>
      <c r="M74" s="23"/>
      <c r="P74" s="12" t="n">
        <v>4</v>
      </c>
      <c r="Q74" s="13" t="s">
        <v>84</v>
      </c>
      <c r="R74" s="13" t="n">
        <v>57</v>
      </c>
      <c r="S74" s="13" t="n">
        <v>19.8</v>
      </c>
      <c r="T74" s="13" t="n">
        <v>33.9</v>
      </c>
      <c r="U74" s="13" t="n">
        <v>10.9</v>
      </c>
      <c r="V74" s="13" t="n">
        <v>80.3</v>
      </c>
      <c r="W74" s="13" t="n">
        <v>5.22</v>
      </c>
    </row>
    <row r="75" customFormat="false" ht="12.8" hidden="false" customHeight="false" outlineLevel="0" collapsed="false">
      <c r="A75" s="1" t="n">
        <v>61.2</v>
      </c>
      <c r="B75" s="1" t="n">
        <v>17.7</v>
      </c>
      <c r="C75" s="1" t="n">
        <v>30.6</v>
      </c>
      <c r="D75" s="1" t="n">
        <v>9.4</v>
      </c>
      <c r="E75" s="1" t="n">
        <v>71.7</v>
      </c>
      <c r="F75" s="27" t="n">
        <v>5.51385121623472</v>
      </c>
      <c r="G75" s="27" t="n">
        <v>6.11</v>
      </c>
      <c r="H75" s="1" t="n">
        <v>0.596148783765277</v>
      </c>
      <c r="K75" s="22"/>
      <c r="M75" s="23"/>
      <c r="P75" s="18" t="n">
        <v>4</v>
      </c>
      <c r="Q75" s="13" t="s">
        <v>88</v>
      </c>
      <c r="R75" s="13" t="n">
        <v>55.9</v>
      </c>
      <c r="S75" s="13" t="n">
        <v>11.3</v>
      </c>
      <c r="T75" s="13" t="n">
        <v>33.7</v>
      </c>
      <c r="U75" s="13" t="n">
        <v>8.9</v>
      </c>
      <c r="V75" s="13" t="n">
        <v>76.1</v>
      </c>
      <c r="W75" s="13" t="n">
        <v>5.36</v>
      </c>
    </row>
    <row r="76" customFormat="false" ht="12.8" hidden="false" customHeight="false" outlineLevel="0" collapsed="false">
      <c r="A76" s="1" t="n">
        <v>51.5</v>
      </c>
      <c r="B76" s="1" t="n">
        <v>17.3</v>
      </c>
      <c r="C76" s="1" t="n">
        <v>33</v>
      </c>
      <c r="D76" s="1" t="n">
        <v>13.5</v>
      </c>
      <c r="E76" s="1" t="n">
        <v>78.6</v>
      </c>
      <c r="F76" s="27" t="n">
        <v>5.67040125541598</v>
      </c>
      <c r="G76" s="27" t="n">
        <v>5.79</v>
      </c>
      <c r="H76" s="1" t="n">
        <v>0.119598744584025</v>
      </c>
      <c r="K76" s="22"/>
      <c r="M76" s="23"/>
      <c r="P76" s="12" t="n">
        <v>4</v>
      </c>
      <c r="Q76" s="13" t="s">
        <v>89</v>
      </c>
      <c r="R76" s="13" t="n">
        <v>42.8</v>
      </c>
      <c r="S76" s="13" t="n">
        <v>11.7</v>
      </c>
      <c r="T76" s="13" t="n">
        <v>32.9</v>
      </c>
      <c r="U76" s="13" t="n">
        <v>10.2</v>
      </c>
      <c r="V76" s="13" t="n">
        <v>76.4</v>
      </c>
      <c r="W76" s="13" t="n">
        <v>5.33</v>
      </c>
    </row>
    <row r="77" customFormat="false" ht="12.8" hidden="false" customHeight="false" outlineLevel="0" collapsed="false">
      <c r="A77" s="1" t="n">
        <v>53.4</v>
      </c>
      <c r="B77" s="1" t="n">
        <v>19.9</v>
      </c>
      <c r="C77" s="1" t="n">
        <v>35.3</v>
      </c>
      <c r="D77" s="1" t="n">
        <v>13.2</v>
      </c>
      <c r="E77" s="1" t="n">
        <v>80.4</v>
      </c>
      <c r="F77" s="27" t="n">
        <v>5.85063052266612</v>
      </c>
      <c r="G77" s="27" t="n">
        <v>7.13</v>
      </c>
      <c r="H77" s="1" t="n">
        <v>1.27936947733388</v>
      </c>
      <c r="K77" s="22"/>
      <c r="M77" s="23"/>
      <c r="P77" s="18" t="n">
        <v>4</v>
      </c>
      <c r="Q77" s="13" t="s">
        <v>90</v>
      </c>
      <c r="R77" s="13" t="n">
        <v>49.1</v>
      </c>
      <c r="S77" s="13" t="n">
        <v>11.5</v>
      </c>
      <c r="T77" s="13" t="n">
        <v>32.6</v>
      </c>
      <c r="U77" s="13" t="n">
        <v>10.6</v>
      </c>
      <c r="V77" s="13" t="n">
        <v>78.9</v>
      </c>
      <c r="W77" s="13" t="n">
        <v>5.53</v>
      </c>
    </row>
    <row r="78" customFormat="false" ht="12.8" hidden="false" customHeight="false" outlineLevel="0" collapsed="false">
      <c r="A78" s="1" t="n">
        <v>55.3</v>
      </c>
      <c r="B78" s="1" t="n">
        <v>22.5</v>
      </c>
      <c r="C78" s="1" t="n">
        <v>33.3</v>
      </c>
      <c r="D78" s="1" t="n">
        <v>10.7</v>
      </c>
      <c r="E78" s="1" t="n">
        <v>79.7</v>
      </c>
      <c r="F78" s="27" t="n">
        <v>5.86960215241117</v>
      </c>
      <c r="G78" s="27" t="n">
        <v>6.62</v>
      </c>
      <c r="H78" s="1" t="n">
        <v>0.750397847588829</v>
      </c>
      <c r="K78" s="22"/>
      <c r="M78" s="23"/>
      <c r="P78" s="12" t="n">
        <v>4</v>
      </c>
      <c r="Q78" s="13" t="s">
        <v>91</v>
      </c>
      <c r="R78" s="13" t="n">
        <v>50.1</v>
      </c>
      <c r="S78" s="13" t="n">
        <v>17.8</v>
      </c>
      <c r="T78" s="13" t="n">
        <v>35.1</v>
      </c>
      <c r="U78" s="13" t="n">
        <v>11.2</v>
      </c>
      <c r="V78" s="13" t="n">
        <v>74</v>
      </c>
      <c r="W78" s="13" t="n">
        <v>5.96</v>
      </c>
    </row>
    <row r="79" customFormat="false" ht="12.8" hidden="false" customHeight="false" outlineLevel="0" collapsed="false">
      <c r="A79" s="1" t="n">
        <v>58.5</v>
      </c>
      <c r="B79" s="1" t="n">
        <v>30.1</v>
      </c>
      <c r="C79" s="1" t="n">
        <v>33.2</v>
      </c>
      <c r="D79" s="1" t="n">
        <v>11.1</v>
      </c>
      <c r="E79" s="1" t="n">
        <v>79.6</v>
      </c>
      <c r="F79" s="27" t="n">
        <v>6.14766394272788</v>
      </c>
      <c r="G79" s="27" t="n">
        <v>6.39</v>
      </c>
      <c r="H79" s="1" t="n">
        <v>0.242336057272123</v>
      </c>
      <c r="K79" s="22"/>
      <c r="M79" s="23"/>
      <c r="P79" s="18" t="n">
        <v>4</v>
      </c>
      <c r="Q79" s="13" t="s">
        <v>92</v>
      </c>
      <c r="R79" s="13" t="n">
        <v>49.8</v>
      </c>
      <c r="S79" s="13" t="n">
        <v>13.7</v>
      </c>
      <c r="T79" s="13" t="n">
        <v>34.8</v>
      </c>
      <c r="U79" s="13" t="n">
        <v>11.4</v>
      </c>
      <c r="V79" s="13" t="n">
        <v>74.8</v>
      </c>
      <c r="W79" s="13" t="n">
        <v>5.95</v>
      </c>
    </row>
    <row r="80" customFormat="false" ht="12.8" hidden="false" customHeight="false" outlineLevel="0" collapsed="false">
      <c r="A80" s="1" t="n">
        <v>63.8</v>
      </c>
      <c r="B80" s="1" t="n">
        <v>26.5</v>
      </c>
      <c r="C80" s="1" t="n">
        <v>33.7</v>
      </c>
      <c r="D80" s="1" t="n">
        <v>8.5</v>
      </c>
      <c r="E80" s="1" t="n">
        <v>76.9</v>
      </c>
      <c r="F80" s="27" t="n">
        <v>5.97608281876994</v>
      </c>
      <c r="G80" s="27" t="n">
        <v>6.49</v>
      </c>
      <c r="H80" s="1" t="n">
        <v>0.513917181230064</v>
      </c>
      <c r="K80" s="22"/>
      <c r="M80" s="23"/>
      <c r="P80" s="12" t="n">
        <v>4</v>
      </c>
      <c r="Q80" s="13" t="s">
        <v>93</v>
      </c>
      <c r="R80" s="13" t="n">
        <v>50</v>
      </c>
      <c r="S80" s="13" t="n">
        <v>15.8</v>
      </c>
      <c r="T80" s="13" t="n">
        <v>32.6</v>
      </c>
      <c r="U80" s="13" t="n">
        <v>9.4</v>
      </c>
      <c r="V80" s="13" t="n">
        <v>81.2</v>
      </c>
      <c r="W80" s="13" t="n">
        <v>6.09</v>
      </c>
    </row>
    <row r="81" customFormat="false" ht="12.8" hidden="false" customHeight="false" outlineLevel="0" collapsed="false">
      <c r="A81" s="1" t="n">
        <v>51.9</v>
      </c>
      <c r="B81" s="1" t="n">
        <v>21.7</v>
      </c>
      <c r="C81" s="1" t="n">
        <v>34.2</v>
      </c>
      <c r="D81" s="1" t="n">
        <v>11.3</v>
      </c>
      <c r="E81" s="1" t="n">
        <v>80.5</v>
      </c>
      <c r="F81" s="27" t="n">
        <v>5.90401953149773</v>
      </c>
      <c r="G81" s="27" t="n">
        <v>6.17</v>
      </c>
      <c r="H81" s="1" t="n">
        <v>0.265980468502273</v>
      </c>
      <c r="K81" s="22"/>
      <c r="M81" s="23"/>
      <c r="P81" s="18" t="n">
        <v>4</v>
      </c>
      <c r="Q81" s="13" t="s">
        <v>94</v>
      </c>
      <c r="R81" s="13" t="n">
        <v>64.8</v>
      </c>
      <c r="S81" s="13" t="n">
        <v>23.2</v>
      </c>
      <c r="T81" s="13" t="n">
        <v>32.8</v>
      </c>
      <c r="U81" s="13" t="n">
        <v>8.6</v>
      </c>
      <c r="V81" s="13" t="n">
        <v>82.7</v>
      </c>
      <c r="W81" s="13" t="n">
        <v>6.4</v>
      </c>
    </row>
    <row r="82" customFormat="false" ht="12.8" hidden="false" customHeight="false" outlineLevel="0" collapsed="false">
      <c r="A82" s="1" t="n">
        <v>50.5</v>
      </c>
      <c r="B82" s="1" t="n">
        <v>16.9</v>
      </c>
      <c r="C82" s="1" t="n">
        <v>33.1</v>
      </c>
      <c r="D82" s="1" t="n">
        <v>10.5</v>
      </c>
      <c r="E82" s="1" t="n">
        <v>83</v>
      </c>
      <c r="F82" s="27" t="n">
        <v>5.67546173779452</v>
      </c>
      <c r="G82" s="27" t="n">
        <v>6.62</v>
      </c>
      <c r="H82" s="1" t="n">
        <v>0.944538262205477</v>
      </c>
      <c r="K82" s="22"/>
      <c r="M82" s="23"/>
      <c r="P82" s="12" t="n">
        <v>4</v>
      </c>
      <c r="Q82" s="13" t="s">
        <v>95</v>
      </c>
      <c r="R82" s="13" t="n">
        <v>56</v>
      </c>
      <c r="S82" s="13" t="n">
        <v>28.8</v>
      </c>
      <c r="T82" s="13" t="n">
        <v>31.6</v>
      </c>
      <c r="U82" s="13" t="n">
        <v>8</v>
      </c>
      <c r="V82" s="13" t="n">
        <v>78.2</v>
      </c>
      <c r="W82" s="13" t="n">
        <v>5.61</v>
      </c>
    </row>
    <row r="83" customFormat="false" ht="12.8" hidden="false" customHeight="false" outlineLevel="0" collapsed="false">
      <c r="A83" s="1" t="n">
        <v>55.8</v>
      </c>
      <c r="B83" s="1" t="n">
        <v>30.8</v>
      </c>
      <c r="C83" s="1" t="n">
        <v>33.2</v>
      </c>
      <c r="D83" s="1" t="n">
        <v>10.3</v>
      </c>
      <c r="E83" s="1" t="n">
        <v>87.6</v>
      </c>
      <c r="F83" s="27" t="n">
        <v>6.20023501711909</v>
      </c>
      <c r="G83" s="27" t="n">
        <v>6.6</v>
      </c>
      <c r="H83" s="1" t="n">
        <v>0.399764982880906</v>
      </c>
      <c r="K83" s="22"/>
      <c r="M83" s="23"/>
      <c r="P83" s="18" t="n">
        <v>4</v>
      </c>
      <c r="Q83" s="13" t="s">
        <v>97</v>
      </c>
      <c r="R83" s="13" t="n">
        <v>53.3</v>
      </c>
      <c r="S83" s="13" t="n">
        <v>15.4</v>
      </c>
      <c r="T83" s="13" t="n">
        <v>31.8</v>
      </c>
      <c r="U83" s="13" t="n">
        <v>8.6</v>
      </c>
      <c r="V83" s="13" t="n">
        <v>77.9</v>
      </c>
      <c r="W83" s="13" t="n">
        <v>5.43</v>
      </c>
    </row>
    <row r="84" customFormat="false" ht="12.8" hidden="false" customHeight="false" outlineLevel="0" collapsed="false">
      <c r="A84" s="1" t="n">
        <v>45</v>
      </c>
      <c r="B84" s="1" t="n">
        <v>9.8</v>
      </c>
      <c r="C84" s="1" t="n">
        <v>31.7</v>
      </c>
      <c r="D84" s="1" t="n">
        <v>9.2</v>
      </c>
      <c r="E84" s="1" t="n">
        <v>81.5</v>
      </c>
      <c r="F84" s="27" t="n">
        <v>5.38659992712551</v>
      </c>
      <c r="G84" s="27" t="n">
        <v>6.28</v>
      </c>
      <c r="H84" s="1" t="n">
        <v>0.893400072874492</v>
      </c>
      <c r="K84" s="22"/>
      <c r="M84" s="23"/>
      <c r="P84" s="12" t="n">
        <v>4</v>
      </c>
      <c r="Q84" s="13" t="s">
        <v>98</v>
      </c>
      <c r="R84" s="13" t="n">
        <v>53.4</v>
      </c>
      <c r="S84" s="13" t="n">
        <v>17</v>
      </c>
      <c r="T84" s="13" t="n">
        <v>33</v>
      </c>
      <c r="U84" s="13" t="n">
        <v>8.4</v>
      </c>
      <c r="V84" s="13" t="n">
        <v>81</v>
      </c>
      <c r="W84" s="13" t="n">
        <v>5.73</v>
      </c>
    </row>
    <row r="85" customFormat="false" ht="12.8" hidden="false" customHeight="false" outlineLevel="0" collapsed="false">
      <c r="A85" s="1" t="n">
        <v>55.8</v>
      </c>
      <c r="B85" s="1" t="n">
        <v>17.6</v>
      </c>
      <c r="C85" s="1" t="n">
        <v>31.4</v>
      </c>
      <c r="D85" s="1" t="n">
        <v>9.2</v>
      </c>
      <c r="E85" s="1" t="n">
        <v>82.1</v>
      </c>
      <c r="F85" s="27" t="n">
        <v>5.58825642118849</v>
      </c>
      <c r="G85" s="27" t="n">
        <v>6.33</v>
      </c>
      <c r="H85" s="1" t="n">
        <v>0.741743578811507</v>
      </c>
      <c r="K85" s="22"/>
      <c r="M85" s="23"/>
      <c r="P85" s="18" t="n">
        <v>4</v>
      </c>
      <c r="Q85" s="13" t="s">
        <v>99</v>
      </c>
      <c r="R85" s="13" t="n">
        <v>55.2</v>
      </c>
      <c r="S85" s="13" t="n">
        <v>20.3</v>
      </c>
      <c r="T85" s="13" t="n">
        <v>34.7</v>
      </c>
      <c r="U85" s="13" t="n">
        <v>10</v>
      </c>
      <c r="V85" s="13" t="n">
        <v>72.1</v>
      </c>
      <c r="W85" s="13" t="n">
        <v>6.11</v>
      </c>
    </row>
    <row r="86" customFormat="false" ht="12.8" hidden="false" customHeight="false" outlineLevel="0" collapsed="false">
      <c r="A86" s="1" t="n">
        <v>55.7</v>
      </c>
      <c r="B86" s="1" t="n">
        <v>14.5</v>
      </c>
      <c r="C86" s="1" t="n">
        <v>31.4</v>
      </c>
      <c r="D86" s="1" t="n">
        <v>9</v>
      </c>
      <c r="E86" s="1" t="n">
        <v>85</v>
      </c>
      <c r="F86" s="27" t="n">
        <v>5.45846970011113</v>
      </c>
      <c r="G86" s="27" t="n">
        <v>6</v>
      </c>
      <c r="H86" s="1" t="n">
        <v>0.541530299888869</v>
      </c>
      <c r="K86" s="22"/>
      <c r="M86" s="23"/>
      <c r="P86" s="12" t="n">
        <v>4</v>
      </c>
      <c r="Q86" s="13" t="s">
        <v>100</v>
      </c>
      <c r="R86" s="13" t="n">
        <v>51.3</v>
      </c>
      <c r="S86" s="13" t="n">
        <v>29.1</v>
      </c>
      <c r="T86" s="13" t="n">
        <v>32.5</v>
      </c>
      <c r="U86" s="13" t="n">
        <v>8.8</v>
      </c>
      <c r="V86" s="13" t="n">
        <v>76.5</v>
      </c>
      <c r="W86" s="13" t="n">
        <v>6.05</v>
      </c>
    </row>
    <row r="87" customFormat="false" ht="12.8" hidden="false" customHeight="false" outlineLevel="0" collapsed="false">
      <c r="A87" s="1" t="n">
        <v>58.5</v>
      </c>
      <c r="B87" s="1" t="n">
        <v>22.9</v>
      </c>
      <c r="C87" s="1" t="n">
        <v>31.6</v>
      </c>
      <c r="D87" s="1" t="n">
        <v>11.6</v>
      </c>
      <c r="E87" s="1" t="n">
        <v>83.1</v>
      </c>
      <c r="F87" s="27" t="n">
        <v>5.77911864525282</v>
      </c>
      <c r="G87" s="27" t="n">
        <v>5.91</v>
      </c>
      <c r="H87" s="1" t="n">
        <v>0.130881354747183</v>
      </c>
      <c r="K87" s="22"/>
      <c r="M87" s="23"/>
      <c r="P87" s="18" t="n">
        <v>4</v>
      </c>
      <c r="Q87" s="13" t="s">
        <v>101</v>
      </c>
      <c r="R87" s="13" t="n">
        <v>56.7</v>
      </c>
      <c r="S87" s="13" t="n">
        <v>16.1</v>
      </c>
      <c r="T87" s="13" t="n">
        <v>32.2</v>
      </c>
      <c r="U87" s="13" t="n">
        <v>8.2</v>
      </c>
      <c r="V87" s="13" t="n">
        <v>76.4</v>
      </c>
      <c r="W87" s="13" t="n">
        <v>5.87</v>
      </c>
    </row>
    <row r="88" customFormat="false" ht="12.8" hidden="false" customHeight="false" outlineLevel="0" collapsed="false">
      <c r="A88" s="1" t="n">
        <v>55.9</v>
      </c>
      <c r="B88" s="1" t="n">
        <v>24.4</v>
      </c>
      <c r="C88" s="1" t="n">
        <v>33.2</v>
      </c>
      <c r="D88" s="1" t="n">
        <v>9</v>
      </c>
      <c r="E88" s="1" t="n">
        <v>81.7</v>
      </c>
      <c r="F88" s="27" t="n">
        <v>5.94320822897792</v>
      </c>
      <c r="G88" s="27" t="n">
        <v>6.8</v>
      </c>
      <c r="H88" s="1" t="n">
        <v>0.856791771022082</v>
      </c>
      <c r="K88" s="22"/>
      <c r="M88" s="23"/>
      <c r="P88" s="12" t="n">
        <v>4</v>
      </c>
      <c r="Q88" s="13" t="s">
        <v>102</v>
      </c>
      <c r="R88" s="13" t="n">
        <v>60.8</v>
      </c>
      <c r="S88" s="13" t="n">
        <v>14.2</v>
      </c>
      <c r="T88" s="13" t="n">
        <v>29.3</v>
      </c>
      <c r="U88" s="13" t="n">
        <v>9.2</v>
      </c>
      <c r="V88" s="13" t="n">
        <v>74.9</v>
      </c>
      <c r="W88" s="13" t="n">
        <v>6.05</v>
      </c>
    </row>
    <row r="89" customFormat="false" ht="12.8" hidden="false" customHeight="false" outlineLevel="0" collapsed="false">
      <c r="A89" s="1" t="n">
        <v>73</v>
      </c>
      <c r="B89" s="1" t="n">
        <v>22.7</v>
      </c>
      <c r="C89" s="1" t="n">
        <v>33.3</v>
      </c>
      <c r="D89" s="1" t="n">
        <v>10.8</v>
      </c>
      <c r="E89" s="1" t="n">
        <v>83.3</v>
      </c>
      <c r="F89" s="27" t="n">
        <v>5.69351934763318</v>
      </c>
      <c r="G89" s="27" t="n">
        <v>6.15</v>
      </c>
      <c r="H89" s="1" t="n">
        <v>0.456480652366818</v>
      </c>
      <c r="K89" s="22"/>
      <c r="M89" s="23"/>
      <c r="P89" s="18" t="n">
        <v>4</v>
      </c>
      <c r="Q89" s="13" t="s">
        <v>103</v>
      </c>
      <c r="R89" s="13" t="n">
        <v>50.1</v>
      </c>
      <c r="S89" s="13" t="n">
        <v>14.3</v>
      </c>
      <c r="T89" s="13" t="n">
        <v>32.9</v>
      </c>
      <c r="U89" s="13" t="n">
        <v>12</v>
      </c>
      <c r="V89" s="13" t="n">
        <v>80.5</v>
      </c>
      <c r="W89" s="13" t="n">
        <v>5.91</v>
      </c>
    </row>
    <row r="90" customFormat="false" ht="12.8" hidden="false" customHeight="false" outlineLevel="0" collapsed="false">
      <c r="A90" s="1" t="n">
        <v>53.1</v>
      </c>
      <c r="B90" s="1" t="n">
        <v>24.9</v>
      </c>
      <c r="C90" s="1" t="n">
        <v>33.5</v>
      </c>
      <c r="D90" s="1" t="n">
        <v>10.3</v>
      </c>
      <c r="E90" s="1" t="n">
        <v>81.8</v>
      </c>
      <c r="F90" s="27" t="n">
        <v>5.99955513558011</v>
      </c>
      <c r="G90" s="27" t="n">
        <v>5.42</v>
      </c>
      <c r="H90" s="1" t="n">
        <v>-0.579555135580108</v>
      </c>
      <c r="K90" s="22"/>
      <c r="M90" s="23"/>
      <c r="P90" s="12" t="n">
        <v>4</v>
      </c>
      <c r="Q90" s="13" t="s">
        <v>104</v>
      </c>
      <c r="R90" s="13" t="n">
        <v>49.3</v>
      </c>
      <c r="S90" s="13" t="n">
        <v>17.9</v>
      </c>
      <c r="T90" s="13" t="n">
        <v>33.4</v>
      </c>
      <c r="U90" s="13" t="n">
        <v>9</v>
      </c>
      <c r="V90" s="13" t="n">
        <v>82</v>
      </c>
      <c r="W90" s="13" t="n">
        <v>6.92</v>
      </c>
    </row>
    <row r="91" customFormat="false" ht="12.8" hidden="false" customHeight="false" outlineLevel="0" collapsed="false">
      <c r="A91" s="1" t="n">
        <v>52.3</v>
      </c>
      <c r="B91" s="1" t="n">
        <v>13.9</v>
      </c>
      <c r="C91" s="1" t="n">
        <v>31.7</v>
      </c>
      <c r="D91" s="1" t="n">
        <v>12</v>
      </c>
      <c r="E91" s="1" t="n">
        <v>78.8</v>
      </c>
      <c r="F91" s="27" t="n">
        <v>5.4743541373917</v>
      </c>
      <c r="G91" s="27" t="n">
        <v>5.12</v>
      </c>
      <c r="H91" s="1" t="n">
        <v>-0.354354137391696</v>
      </c>
      <c r="K91" s="22"/>
      <c r="M91" s="23"/>
      <c r="P91" s="18" t="n">
        <v>4</v>
      </c>
      <c r="Q91" s="13" t="s">
        <v>105</v>
      </c>
      <c r="R91" s="13" t="n">
        <v>54</v>
      </c>
      <c r="S91" s="13" t="n">
        <v>21</v>
      </c>
      <c r="T91" s="13" t="n">
        <v>33.1</v>
      </c>
      <c r="U91" s="13" t="n">
        <v>9.1</v>
      </c>
      <c r="V91" s="13" t="n">
        <v>81.6</v>
      </c>
      <c r="W91" s="13" t="n">
        <v>6.6</v>
      </c>
    </row>
    <row r="92" customFormat="false" ht="12.8" hidden="false" customHeight="false" outlineLevel="0" collapsed="false">
      <c r="A92" s="1" t="n">
        <v>53.4</v>
      </c>
      <c r="B92" s="1" t="n">
        <v>23.5</v>
      </c>
      <c r="C92" s="1" t="n">
        <v>32.4</v>
      </c>
      <c r="D92" s="1" t="n">
        <v>10.5</v>
      </c>
      <c r="E92" s="1" t="n">
        <v>79.5</v>
      </c>
      <c r="F92" s="27" t="n">
        <v>5.89557695610579</v>
      </c>
      <c r="G92" s="27" t="n">
        <v>5.4</v>
      </c>
      <c r="H92" s="1" t="n">
        <v>-0.495576956105786</v>
      </c>
      <c r="K92" s="22"/>
      <c r="M92" s="23"/>
      <c r="P92" s="12" t="n">
        <v>4</v>
      </c>
      <c r="Q92" s="13" t="s">
        <v>106</v>
      </c>
      <c r="R92" s="13" t="n">
        <v>57.9</v>
      </c>
      <c r="S92" s="13" t="n">
        <v>29.1</v>
      </c>
      <c r="T92" s="13" t="n">
        <v>32.8</v>
      </c>
      <c r="U92" s="13" t="n">
        <v>11.2</v>
      </c>
      <c r="V92" s="13" t="n">
        <v>81.7</v>
      </c>
      <c r="W92" s="13" t="n">
        <v>6.4</v>
      </c>
    </row>
    <row r="93" customFormat="false" ht="12.8" hidden="false" customHeight="false" outlineLevel="0" collapsed="false">
      <c r="A93" s="1" t="n">
        <v>51.2</v>
      </c>
      <c r="B93" s="1" t="n">
        <v>10.6</v>
      </c>
      <c r="C93" s="1" t="n">
        <v>31.7</v>
      </c>
      <c r="D93" s="1" t="n">
        <v>9.3</v>
      </c>
      <c r="E93" s="1" t="n">
        <v>80.3</v>
      </c>
      <c r="F93" s="27" t="n">
        <v>5.35724962978059</v>
      </c>
      <c r="G93" s="27" t="n">
        <v>5.21</v>
      </c>
      <c r="H93" s="1" t="n">
        <v>-0.14724962978059</v>
      </c>
      <c r="K93" s="22"/>
      <c r="M93" s="23"/>
      <c r="P93" s="18" t="n">
        <v>4</v>
      </c>
      <c r="Q93" s="13" t="s">
        <v>107</v>
      </c>
      <c r="R93" s="13" t="n">
        <v>61</v>
      </c>
      <c r="S93" s="13" t="n">
        <v>24.3</v>
      </c>
      <c r="T93" s="13" t="n">
        <v>33.1</v>
      </c>
      <c r="U93" s="13" t="n">
        <v>8.9</v>
      </c>
      <c r="V93" s="13" t="n">
        <v>79.3</v>
      </c>
      <c r="W93" s="13" t="n">
        <v>6.43</v>
      </c>
    </row>
    <row r="94" customFormat="false" ht="12.8" hidden="false" customHeight="false" outlineLevel="0" collapsed="false">
      <c r="A94" s="1" t="n">
        <v>43</v>
      </c>
      <c r="B94" s="1" t="n">
        <v>6.6</v>
      </c>
      <c r="C94" s="1" t="n">
        <v>31.8</v>
      </c>
      <c r="D94" s="1" t="n">
        <v>8.7</v>
      </c>
      <c r="E94" s="1" t="n">
        <v>79.8</v>
      </c>
      <c r="F94" s="27" t="n">
        <v>5.28132936082345</v>
      </c>
      <c r="G94" s="27" t="n">
        <v>5.03</v>
      </c>
      <c r="H94" s="1" t="n">
        <v>-0.251329360823448</v>
      </c>
      <c r="K94" s="22"/>
      <c r="M94" s="23"/>
      <c r="P94" s="12" t="n">
        <v>4</v>
      </c>
      <c r="Q94" s="13" t="s">
        <v>108</v>
      </c>
      <c r="R94" s="13" t="n">
        <v>52.2</v>
      </c>
      <c r="S94" s="13" t="n">
        <v>14.6</v>
      </c>
      <c r="T94" s="13" t="n">
        <v>34.3</v>
      </c>
      <c r="U94" s="13" t="n">
        <v>8.9</v>
      </c>
      <c r="V94" s="13" t="n">
        <v>82.3</v>
      </c>
      <c r="W94" s="13" t="n">
        <v>6.05</v>
      </c>
    </row>
    <row r="95" customFormat="false" ht="12.8" hidden="false" customHeight="false" outlineLevel="0" collapsed="false">
      <c r="A95" s="1" t="n">
        <v>40</v>
      </c>
      <c r="B95" s="1" t="n">
        <v>12.6</v>
      </c>
      <c r="C95" s="1" t="n">
        <v>31.4</v>
      </c>
      <c r="D95" s="1" t="n">
        <v>9.7</v>
      </c>
      <c r="E95" s="1" t="n">
        <v>80.1</v>
      </c>
      <c r="F95" s="27" t="n">
        <v>5.54151598545573</v>
      </c>
      <c r="G95" s="27" t="n">
        <v>5.16</v>
      </c>
      <c r="H95" s="1" t="n">
        <v>-0.381515985455732</v>
      </c>
      <c r="K95" s="22"/>
      <c r="M95" s="23"/>
      <c r="P95" s="18" t="n">
        <v>4</v>
      </c>
      <c r="Q95" s="13" t="s">
        <v>109</v>
      </c>
      <c r="R95" s="13" t="n">
        <v>49.2</v>
      </c>
      <c r="S95" s="13" t="n">
        <v>12.9</v>
      </c>
      <c r="T95" s="13" t="n">
        <v>32.2</v>
      </c>
      <c r="U95" s="13" t="n">
        <v>9.6</v>
      </c>
      <c r="V95" s="13" t="n">
        <v>84.7</v>
      </c>
      <c r="W95" s="13" t="n">
        <v>6.59</v>
      </c>
    </row>
    <row r="96" customFormat="false" ht="12.8" hidden="false" customHeight="false" outlineLevel="0" collapsed="false">
      <c r="A96" s="1" t="n">
        <v>47.2</v>
      </c>
      <c r="B96" s="1" t="n">
        <v>7.7</v>
      </c>
      <c r="C96" s="1" t="n">
        <v>32.4</v>
      </c>
      <c r="D96" s="1" t="n">
        <v>9.2</v>
      </c>
      <c r="E96" s="1" t="n">
        <v>78.4</v>
      </c>
      <c r="F96" s="27" t="n">
        <v>5.30752717388928</v>
      </c>
      <c r="G96" s="27" t="n">
        <v>4.47</v>
      </c>
      <c r="H96" s="1" t="n">
        <v>-0.837527173889275</v>
      </c>
      <c r="K96" s="22"/>
      <c r="M96" s="23"/>
      <c r="P96" s="12" t="n">
        <v>4</v>
      </c>
      <c r="Q96" s="13" t="s">
        <v>110</v>
      </c>
      <c r="R96" s="13" t="n">
        <v>55.8</v>
      </c>
      <c r="S96" s="13" t="n">
        <v>25.9</v>
      </c>
      <c r="T96" s="13" t="n">
        <v>33.1</v>
      </c>
      <c r="U96" s="13" t="n">
        <v>9.6</v>
      </c>
      <c r="V96" s="13" t="n">
        <v>88.6</v>
      </c>
      <c r="W96" s="13" t="n">
        <v>6.64</v>
      </c>
    </row>
    <row r="97" customFormat="false" ht="12.8" hidden="false" customHeight="false" outlineLevel="0" collapsed="false">
      <c r="A97" s="1" t="n">
        <v>41.7</v>
      </c>
      <c r="B97" s="1" t="n">
        <v>8.9</v>
      </c>
      <c r="C97" s="1" t="n">
        <v>31.7</v>
      </c>
      <c r="D97" s="1" t="n">
        <v>10.2</v>
      </c>
      <c r="E97" s="1" t="n">
        <v>79</v>
      </c>
      <c r="F97" s="27" t="n">
        <v>5.38129511014291</v>
      </c>
      <c r="G97" s="27" t="n">
        <v>5</v>
      </c>
      <c r="H97" s="1" t="n">
        <v>-0.381295110142914</v>
      </c>
      <c r="K97" s="22"/>
      <c r="M97" s="23"/>
      <c r="P97" s="12" t="n">
        <v>5</v>
      </c>
      <c r="Q97" s="13" t="s">
        <v>42</v>
      </c>
      <c r="R97" s="13" t="n">
        <v>47.3</v>
      </c>
      <c r="S97" s="13" t="n">
        <v>11.6</v>
      </c>
      <c r="T97" s="13" t="n">
        <v>34.5</v>
      </c>
      <c r="U97" s="13" t="n">
        <v>9.7</v>
      </c>
      <c r="V97" s="13" t="n">
        <v>82.3</v>
      </c>
      <c r="W97" s="13" t="n">
        <v>6.26</v>
      </c>
    </row>
    <row r="98" customFormat="false" ht="12.8" hidden="false" customHeight="false" outlineLevel="0" collapsed="false">
      <c r="A98" s="1" t="n">
        <v>65.2</v>
      </c>
      <c r="B98" s="1" t="n">
        <v>17.5</v>
      </c>
      <c r="C98" s="1" t="n">
        <v>33.1</v>
      </c>
      <c r="D98" s="1" t="n">
        <v>11.1</v>
      </c>
      <c r="E98" s="1" t="n">
        <v>81.5</v>
      </c>
      <c r="F98" s="27" t="n">
        <v>5.54933302095321</v>
      </c>
      <c r="G98" s="27" t="n">
        <v>5.24</v>
      </c>
      <c r="H98" s="1" t="n">
        <v>-0.309333020953209</v>
      </c>
      <c r="K98" s="22"/>
      <c r="M98" s="23"/>
      <c r="P98" s="12" t="n">
        <v>5</v>
      </c>
      <c r="Q98" s="13" t="s">
        <v>45</v>
      </c>
      <c r="R98" s="13" t="n">
        <v>58.1</v>
      </c>
      <c r="S98" s="13" t="n">
        <v>19.2</v>
      </c>
      <c r="T98" s="13" t="n">
        <v>34.3</v>
      </c>
      <c r="U98" s="13" t="n">
        <v>9.3</v>
      </c>
      <c r="V98" s="13" t="n">
        <v>82.5</v>
      </c>
      <c r="W98" s="13" t="n">
        <v>6.26</v>
      </c>
    </row>
    <row r="99" customFormat="false" ht="12.8" hidden="false" customHeight="false" outlineLevel="0" collapsed="false">
      <c r="A99" s="1" t="n">
        <v>67.2</v>
      </c>
      <c r="B99" s="1" t="n">
        <v>27.6</v>
      </c>
      <c r="C99" s="1" t="n">
        <v>31.6</v>
      </c>
      <c r="D99" s="1" t="n">
        <v>15.9</v>
      </c>
      <c r="E99" s="1" t="n">
        <v>80.8</v>
      </c>
      <c r="F99" s="27" t="n">
        <v>5.87145630206287</v>
      </c>
      <c r="G99" s="27" t="n">
        <v>4.94</v>
      </c>
      <c r="H99" s="1" t="n">
        <v>-0.931456302062865</v>
      </c>
      <c r="K99" s="22"/>
      <c r="M99" s="23"/>
      <c r="P99" s="12" t="n">
        <v>5</v>
      </c>
      <c r="Q99" s="13" t="s">
        <v>46</v>
      </c>
      <c r="R99" s="13" t="n">
        <v>61.1</v>
      </c>
      <c r="S99" s="13" t="n">
        <v>17</v>
      </c>
      <c r="T99" s="13" t="n">
        <v>33.3</v>
      </c>
      <c r="U99" s="13" t="n">
        <v>10.6</v>
      </c>
      <c r="V99" s="13" t="n">
        <v>85.3</v>
      </c>
      <c r="W99" s="13" t="n">
        <v>6.04</v>
      </c>
    </row>
    <row r="100" customFormat="false" ht="12.8" hidden="false" customHeight="false" outlineLevel="0" collapsed="false">
      <c r="A100" s="1" t="n">
        <v>61.1</v>
      </c>
      <c r="B100" s="1" t="n">
        <v>15.4</v>
      </c>
      <c r="C100" s="1" t="n">
        <v>31</v>
      </c>
      <c r="D100" s="1" t="n">
        <v>13.1</v>
      </c>
      <c r="E100" s="1" t="n">
        <v>79.5</v>
      </c>
      <c r="F100" s="27" t="n">
        <v>5.41406879476501</v>
      </c>
      <c r="G100" s="27" t="n">
        <v>5.26</v>
      </c>
      <c r="H100" s="1" t="n">
        <v>-0.154068794765014</v>
      </c>
      <c r="K100" s="22"/>
      <c r="M100" s="23"/>
      <c r="P100" s="12" t="n">
        <v>5</v>
      </c>
      <c r="Q100" s="13" t="s">
        <v>48</v>
      </c>
      <c r="R100" s="13" t="n">
        <v>60.6</v>
      </c>
      <c r="S100" s="13" t="n">
        <v>24.3</v>
      </c>
      <c r="T100" s="13" t="n">
        <v>35</v>
      </c>
      <c r="U100" s="13" t="n">
        <v>11.9</v>
      </c>
      <c r="V100" s="13" t="n">
        <v>83.6</v>
      </c>
      <c r="W100" s="13" t="n">
        <v>5.98</v>
      </c>
    </row>
    <row r="101" customFormat="false" ht="12.8" hidden="false" customHeight="false" outlineLevel="0" collapsed="false">
      <c r="A101" s="1" t="n">
        <v>58.3</v>
      </c>
      <c r="B101" s="1" t="n">
        <v>17</v>
      </c>
      <c r="C101" s="1" t="n">
        <v>32.7</v>
      </c>
      <c r="D101" s="1" t="n">
        <v>13.9</v>
      </c>
      <c r="E101" s="1" t="n">
        <v>79.1</v>
      </c>
      <c r="F101" s="27" t="n">
        <v>5.57449776615537</v>
      </c>
      <c r="G101" s="27" t="n">
        <v>5.47</v>
      </c>
      <c r="H101" s="1" t="n">
        <v>-0.104497766155366</v>
      </c>
      <c r="K101" s="22"/>
      <c r="M101" s="23"/>
      <c r="P101" s="12" t="n">
        <v>5</v>
      </c>
      <c r="Q101" s="13" t="s">
        <v>49</v>
      </c>
      <c r="R101" s="13" t="n">
        <v>59.2</v>
      </c>
      <c r="S101" s="13" t="n">
        <v>36.2</v>
      </c>
      <c r="T101" s="13" t="n">
        <v>34.5</v>
      </c>
      <c r="U101" s="13" t="n">
        <v>9</v>
      </c>
      <c r="V101" s="13" t="n">
        <v>82.5</v>
      </c>
      <c r="W101" s="13" t="n">
        <v>6.83</v>
      </c>
    </row>
    <row r="102" customFormat="false" ht="12.8" hidden="false" customHeight="false" outlineLevel="0" collapsed="false">
      <c r="A102" s="1" t="n">
        <v>62.9</v>
      </c>
      <c r="B102" s="1" t="n">
        <v>16.2</v>
      </c>
      <c r="C102" s="1" t="n">
        <v>31.6</v>
      </c>
      <c r="D102" s="1" t="n">
        <v>10.6</v>
      </c>
      <c r="E102" s="1" t="n">
        <v>78.9</v>
      </c>
      <c r="F102" s="27" t="n">
        <v>5.46302053106854</v>
      </c>
      <c r="G102" s="27" t="n">
        <v>5.43</v>
      </c>
      <c r="H102" s="1" t="n">
        <v>-0.0330205310685425</v>
      </c>
      <c r="K102" s="22"/>
      <c r="M102" s="23"/>
      <c r="P102" s="12" t="n">
        <v>5</v>
      </c>
      <c r="Q102" s="13" t="s">
        <v>50</v>
      </c>
      <c r="R102" s="13" t="n">
        <v>75.1</v>
      </c>
      <c r="S102" s="13" t="n">
        <v>27.3</v>
      </c>
      <c r="T102" s="13" t="n">
        <v>34.7</v>
      </c>
      <c r="U102" s="13" t="n">
        <v>10.5</v>
      </c>
      <c r="V102" s="13" t="n">
        <v>84</v>
      </c>
      <c r="W102" s="13" t="n">
        <v>6.2</v>
      </c>
    </row>
    <row r="103" customFormat="false" ht="12.8" hidden="false" customHeight="false" outlineLevel="0" collapsed="false">
      <c r="A103" s="1" t="n">
        <v>58.8</v>
      </c>
      <c r="B103" s="1" t="n">
        <v>18.7</v>
      </c>
      <c r="C103" s="1" t="n">
        <v>32.3</v>
      </c>
      <c r="D103" s="1" t="n">
        <v>9.9</v>
      </c>
      <c r="E103" s="1" t="n">
        <v>81.2</v>
      </c>
      <c r="F103" s="27" t="n">
        <v>5.63749227856054</v>
      </c>
      <c r="G103" s="27" t="n">
        <v>5.24</v>
      </c>
      <c r="H103" s="1" t="n">
        <v>-0.397492278560534</v>
      </c>
      <c r="K103" s="22"/>
      <c r="M103" s="23"/>
      <c r="P103" s="12" t="n">
        <v>5</v>
      </c>
      <c r="Q103" s="13" t="s">
        <v>51</v>
      </c>
      <c r="R103" s="13" t="n">
        <v>57.4</v>
      </c>
      <c r="S103" s="13" t="n">
        <v>26.4</v>
      </c>
      <c r="T103" s="13" t="n">
        <v>35.1</v>
      </c>
      <c r="U103" s="14" t="n">
        <v>48</v>
      </c>
      <c r="V103" s="14" t="n">
        <v>9.9</v>
      </c>
      <c r="W103" s="13" t="n">
        <v>5.49</v>
      </c>
    </row>
    <row r="104" customFormat="false" ht="12.8" hidden="false" customHeight="false" outlineLevel="0" collapsed="false">
      <c r="A104" s="1" t="n">
        <v>56.6</v>
      </c>
      <c r="B104" s="1" t="n">
        <v>21.8</v>
      </c>
      <c r="C104" s="1" t="n">
        <v>33.2</v>
      </c>
      <c r="D104" s="1" t="n">
        <v>8.9</v>
      </c>
      <c r="E104" s="1" t="n">
        <v>77.9</v>
      </c>
      <c r="F104" s="27" t="n">
        <v>5.83168292756874</v>
      </c>
      <c r="G104" s="27" t="n">
        <v>5.31</v>
      </c>
      <c r="H104" s="1" t="n">
        <v>-0.521682927568738</v>
      </c>
      <c r="K104" s="22"/>
      <c r="M104" s="23"/>
      <c r="P104" s="12" t="n">
        <v>5</v>
      </c>
      <c r="Q104" s="13" t="s">
        <v>52</v>
      </c>
      <c r="R104" s="13" t="n">
        <v>55.9</v>
      </c>
      <c r="S104" s="13" t="n">
        <v>14.9</v>
      </c>
      <c r="T104" s="13" t="n">
        <v>33</v>
      </c>
      <c r="U104" s="14" t="n">
        <v>55.1</v>
      </c>
      <c r="V104" s="14" t="n">
        <v>17.8</v>
      </c>
      <c r="W104" s="13" t="n">
        <v>5.13</v>
      </c>
    </row>
    <row r="105" customFormat="false" ht="12.8" hidden="false" customHeight="false" outlineLevel="0" collapsed="false">
      <c r="A105" s="1" t="n">
        <v>54.6</v>
      </c>
      <c r="B105" s="1" t="n">
        <v>15.6</v>
      </c>
      <c r="C105" s="1" t="n">
        <v>33.5</v>
      </c>
      <c r="D105" s="1" t="n">
        <v>10.5</v>
      </c>
      <c r="E105" s="1" t="n">
        <v>80.4</v>
      </c>
      <c r="F105" s="27" t="n">
        <v>5.59782311596836</v>
      </c>
      <c r="G105" s="27" t="n">
        <v>5.03</v>
      </c>
      <c r="H105" s="1" t="n">
        <v>-0.567823115968364</v>
      </c>
      <c r="K105" s="22"/>
      <c r="M105" s="23"/>
      <c r="P105" s="12" t="n">
        <v>5</v>
      </c>
      <c r="Q105" s="13" t="s">
        <v>53</v>
      </c>
      <c r="R105" s="13" t="n">
        <v>58.3</v>
      </c>
      <c r="S105" s="13" t="n">
        <v>23.9</v>
      </c>
      <c r="T105" s="13" t="n">
        <v>34.9</v>
      </c>
      <c r="U105" s="14" t="n">
        <v>57.9</v>
      </c>
      <c r="V105" s="14" t="n">
        <v>14.6</v>
      </c>
      <c r="W105" s="13" t="n">
        <v>5.4</v>
      </c>
    </row>
    <row r="106" customFormat="false" ht="12.8" hidden="false" customHeight="false" outlineLevel="0" collapsed="false">
      <c r="A106" s="1" t="n">
        <v>49.7</v>
      </c>
      <c r="B106" s="1" t="n">
        <v>11.2</v>
      </c>
      <c r="C106" s="1" t="n">
        <v>31.8</v>
      </c>
      <c r="D106" s="1" t="n">
        <v>9.8</v>
      </c>
      <c r="E106" s="1" t="n">
        <v>78.3</v>
      </c>
      <c r="F106" s="27" t="n">
        <v>5.40141836104285</v>
      </c>
      <c r="G106" s="27" t="n">
        <v>4.84</v>
      </c>
      <c r="H106" s="1" t="n">
        <v>-0.561418361042854</v>
      </c>
      <c r="K106" s="22"/>
      <c r="M106" s="23"/>
      <c r="P106" s="12" t="n">
        <v>5</v>
      </c>
      <c r="Q106" s="13" t="s">
        <v>54</v>
      </c>
      <c r="R106" s="13" t="n">
        <v>54.2</v>
      </c>
      <c r="S106" s="13" t="n">
        <v>12.4</v>
      </c>
      <c r="T106" s="13" t="n">
        <v>33.6</v>
      </c>
      <c r="U106" s="14" t="n">
        <v>60</v>
      </c>
      <c r="V106" s="14" t="n">
        <v>27.4</v>
      </c>
      <c r="W106" s="13" t="n">
        <v>5.28</v>
      </c>
    </row>
    <row r="107" customFormat="false" ht="12.8" hidden="false" customHeight="false" outlineLevel="0" collapsed="false">
      <c r="A107" s="1" t="n">
        <v>57.7</v>
      </c>
      <c r="B107" s="1" t="n">
        <v>14.4</v>
      </c>
      <c r="C107" s="1" t="n">
        <v>32.4</v>
      </c>
      <c r="D107" s="1" t="n">
        <v>9.6</v>
      </c>
      <c r="E107" s="1" t="n">
        <v>78.3</v>
      </c>
      <c r="F107" s="27" t="n">
        <v>5.47758036802065</v>
      </c>
      <c r="G107" s="27" t="n">
        <v>5.15</v>
      </c>
      <c r="H107" s="1" t="n">
        <v>-0.327580368020652</v>
      </c>
      <c r="K107" s="22"/>
      <c r="M107" s="23"/>
      <c r="P107" s="12" t="n">
        <v>5</v>
      </c>
      <c r="Q107" s="13" t="s">
        <v>56</v>
      </c>
      <c r="R107" s="13" t="n">
        <v>48</v>
      </c>
      <c r="S107" s="13" t="n">
        <v>9.4</v>
      </c>
      <c r="T107" s="13" t="n">
        <v>34.4</v>
      </c>
      <c r="U107" s="14" t="n">
        <v>53.8</v>
      </c>
      <c r="V107" s="14" t="n">
        <v>28.7</v>
      </c>
      <c r="W107" s="13" t="n">
        <v>5.03</v>
      </c>
    </row>
    <row r="108" customFormat="false" ht="12.8" hidden="false" customHeight="false" outlineLevel="0" collapsed="false">
      <c r="A108" s="1" t="n">
        <v>57</v>
      </c>
      <c r="B108" s="1" t="n">
        <v>19.8</v>
      </c>
      <c r="C108" s="1" t="n">
        <v>33.9</v>
      </c>
      <c r="D108" s="1" t="n">
        <v>10.9</v>
      </c>
      <c r="E108" s="1" t="n">
        <v>80.3</v>
      </c>
      <c r="F108" s="27" t="n">
        <v>5.76259444210201</v>
      </c>
      <c r="G108" s="27" t="n">
        <v>5.22</v>
      </c>
      <c r="H108" s="1" t="n">
        <v>-0.542594442102014</v>
      </c>
      <c r="K108" s="22"/>
      <c r="M108" s="23"/>
      <c r="P108" s="12" t="n">
        <v>5</v>
      </c>
      <c r="Q108" s="13" t="s">
        <v>58</v>
      </c>
      <c r="R108" s="13" t="n">
        <v>44.8</v>
      </c>
      <c r="S108" s="13" t="n">
        <v>14.5</v>
      </c>
      <c r="T108" s="13" t="n">
        <v>34.8</v>
      </c>
      <c r="U108" s="14" t="n">
        <v>73.8</v>
      </c>
      <c r="V108" s="14" t="n">
        <v>24</v>
      </c>
      <c r="W108" s="13" t="n">
        <v>5.12</v>
      </c>
    </row>
    <row r="109" customFormat="false" ht="12.8" hidden="false" customHeight="false" outlineLevel="0" collapsed="false">
      <c r="A109" s="1" t="n">
        <v>55.9</v>
      </c>
      <c r="B109" s="1" t="n">
        <v>11.3</v>
      </c>
      <c r="C109" s="1" t="n">
        <v>33.7</v>
      </c>
      <c r="D109" s="1" t="n">
        <v>8.9</v>
      </c>
      <c r="E109" s="1" t="n">
        <v>76.1</v>
      </c>
      <c r="F109" s="27" t="n">
        <v>5.42360766986582</v>
      </c>
      <c r="G109" s="27" t="n">
        <v>5.36</v>
      </c>
      <c r="H109" s="1" t="n">
        <v>-0.0636076698658226</v>
      </c>
      <c r="K109" s="22"/>
      <c r="M109" s="23"/>
      <c r="P109" s="12" t="n">
        <v>5</v>
      </c>
      <c r="Q109" s="13" t="s">
        <v>60</v>
      </c>
      <c r="R109" s="13" t="n">
        <v>51.5</v>
      </c>
      <c r="S109" s="13" t="n">
        <v>8.9</v>
      </c>
      <c r="T109" s="13" t="n">
        <v>35.5</v>
      </c>
      <c r="U109" s="14" t="n">
        <v>55</v>
      </c>
      <c r="V109" s="14" t="n">
        <v>23.9</v>
      </c>
      <c r="W109" s="13" t="n">
        <v>4.48</v>
      </c>
    </row>
    <row r="110" customFormat="false" ht="12.8" hidden="false" customHeight="false" outlineLevel="0" collapsed="false">
      <c r="A110" s="1" t="n">
        <v>42.8</v>
      </c>
      <c r="B110" s="1" t="n">
        <v>11.7</v>
      </c>
      <c r="C110" s="1" t="n">
        <v>32.9</v>
      </c>
      <c r="D110" s="1" t="n">
        <v>10.2</v>
      </c>
      <c r="E110" s="1" t="n">
        <v>76.4</v>
      </c>
      <c r="F110" s="27" t="n">
        <v>5.53684934499631</v>
      </c>
      <c r="G110" s="27" t="n">
        <v>5.33</v>
      </c>
      <c r="H110" s="1" t="n">
        <v>-0.206849344996305</v>
      </c>
      <c r="K110" s="22"/>
      <c r="M110" s="23"/>
      <c r="P110" s="12" t="n">
        <v>5</v>
      </c>
      <c r="Q110" s="13" t="s">
        <v>62</v>
      </c>
      <c r="R110" s="13" t="n">
        <v>46.5</v>
      </c>
      <c r="S110" s="13" t="n">
        <v>10.5</v>
      </c>
      <c r="T110" s="13" t="n">
        <v>35.1</v>
      </c>
      <c r="U110" s="14" t="n">
        <v>52.8</v>
      </c>
      <c r="V110" s="14" t="n">
        <v>20.2</v>
      </c>
      <c r="W110" s="13" t="n">
        <v>5.02</v>
      </c>
    </row>
    <row r="111" customFormat="false" ht="12.8" hidden="false" customHeight="false" outlineLevel="0" collapsed="false">
      <c r="A111" s="1" t="n">
        <v>49.1</v>
      </c>
      <c r="B111" s="1" t="n">
        <v>11.5</v>
      </c>
      <c r="C111" s="1" t="n">
        <v>32.6</v>
      </c>
      <c r="D111" s="1" t="n">
        <v>10.6</v>
      </c>
      <c r="E111" s="1" t="n">
        <v>78.9</v>
      </c>
      <c r="F111" s="27" t="n">
        <v>5.44841836976993</v>
      </c>
      <c r="G111" s="27" t="n">
        <v>5.53</v>
      </c>
      <c r="H111" s="1" t="n">
        <v>0.0815816302300751</v>
      </c>
      <c r="K111" s="22"/>
      <c r="M111" s="23"/>
      <c r="P111" s="12" t="n">
        <v>5</v>
      </c>
      <c r="Q111" s="13" t="s">
        <v>64</v>
      </c>
      <c r="R111" s="13" t="n">
        <v>67.5</v>
      </c>
      <c r="S111" s="13" t="n">
        <v>21.9</v>
      </c>
      <c r="T111" s="13" t="n">
        <v>34.9</v>
      </c>
      <c r="U111" s="14" t="n">
        <v>53.3</v>
      </c>
      <c r="V111" s="14" t="n">
        <v>22.7</v>
      </c>
      <c r="W111" s="13" t="n">
        <v>5.31</v>
      </c>
    </row>
    <row r="112" customFormat="false" ht="12.8" hidden="false" customHeight="false" outlineLevel="0" collapsed="false">
      <c r="A112" s="1" t="n">
        <v>50.1</v>
      </c>
      <c r="B112" s="1" t="n">
        <v>17.8</v>
      </c>
      <c r="C112" s="1" t="n">
        <v>35.1</v>
      </c>
      <c r="D112" s="1" t="n">
        <v>11.2</v>
      </c>
      <c r="E112" s="1" t="n">
        <v>74</v>
      </c>
      <c r="F112" s="27" t="n">
        <v>5.80234621245547</v>
      </c>
      <c r="G112" s="27" t="n">
        <v>5.96</v>
      </c>
      <c r="H112" s="1" t="n">
        <v>0.157653787544528</v>
      </c>
      <c r="K112" s="22"/>
      <c r="M112" s="23"/>
      <c r="P112" s="12" t="n">
        <v>5</v>
      </c>
      <c r="Q112" s="13" t="s">
        <v>66</v>
      </c>
      <c r="R112" s="13" t="n">
        <v>69.1</v>
      </c>
      <c r="S112" s="13" t="n">
        <v>33.1</v>
      </c>
      <c r="T112" s="13" t="n">
        <v>33.7</v>
      </c>
      <c r="U112" s="14" t="n">
        <v>51.2</v>
      </c>
      <c r="V112" s="14" t="n">
        <v>13.5</v>
      </c>
      <c r="W112" s="13" t="n">
        <v>4.98</v>
      </c>
    </row>
    <row r="113" customFormat="false" ht="12.8" hidden="false" customHeight="false" outlineLevel="0" collapsed="false">
      <c r="A113" s="1" t="n">
        <v>49.8</v>
      </c>
      <c r="B113" s="1" t="n">
        <v>13.7</v>
      </c>
      <c r="C113" s="1" t="n">
        <v>34.8</v>
      </c>
      <c r="D113" s="1" t="n">
        <v>11.4</v>
      </c>
      <c r="E113" s="1" t="n">
        <v>74.8</v>
      </c>
      <c r="F113" s="27" t="n">
        <v>5.6213668500558</v>
      </c>
      <c r="G113" s="27" t="n">
        <v>5.95</v>
      </c>
      <c r="H113" s="1" t="n">
        <v>0.328633149944196</v>
      </c>
      <c r="K113" s="22"/>
      <c r="M113" s="23"/>
      <c r="P113" s="12" t="n">
        <v>5</v>
      </c>
      <c r="Q113" s="13" t="s">
        <v>67</v>
      </c>
      <c r="R113" s="13" t="n">
        <v>65.4</v>
      </c>
      <c r="S113" s="13" t="n">
        <v>22.5</v>
      </c>
      <c r="T113" s="13" t="n">
        <v>35.1</v>
      </c>
      <c r="U113" s="14" t="n">
        <v>47</v>
      </c>
      <c r="V113" s="14" t="n">
        <v>8.4</v>
      </c>
      <c r="W113" s="13" t="n">
        <v>5.33</v>
      </c>
    </row>
    <row r="114" customFormat="false" ht="12.8" hidden="false" customHeight="false" outlineLevel="0" collapsed="false">
      <c r="A114" s="1" t="n">
        <v>50</v>
      </c>
      <c r="B114" s="1" t="n">
        <v>15.8</v>
      </c>
      <c r="C114" s="1" t="n">
        <v>32.6</v>
      </c>
      <c r="D114" s="1" t="n">
        <v>9.4</v>
      </c>
      <c r="E114" s="1" t="n">
        <v>81.2</v>
      </c>
      <c r="F114" s="27" t="n">
        <v>5.62062829365869</v>
      </c>
      <c r="G114" s="27" t="n">
        <v>6.09</v>
      </c>
      <c r="H114" s="1" t="n">
        <v>0.469371706341306</v>
      </c>
      <c r="K114" s="22"/>
      <c r="M114" s="23"/>
      <c r="P114" s="12" t="n">
        <v>5</v>
      </c>
      <c r="Q114" s="13" t="s">
        <v>69</v>
      </c>
      <c r="R114" s="13" t="n">
        <v>64.2</v>
      </c>
      <c r="S114" s="13" t="n">
        <v>20.8</v>
      </c>
      <c r="T114" s="13" t="n">
        <v>35.2</v>
      </c>
      <c r="U114" s="14" t="n">
        <v>43.8</v>
      </c>
      <c r="V114" s="14" t="n">
        <v>12.9</v>
      </c>
      <c r="W114" s="13" t="n">
        <v>5.58</v>
      </c>
    </row>
    <row r="115" customFormat="false" ht="12.8" hidden="false" customHeight="false" outlineLevel="0" collapsed="false">
      <c r="A115" s="1" t="n">
        <v>64.8</v>
      </c>
      <c r="B115" s="1" t="n">
        <v>23.2</v>
      </c>
      <c r="C115" s="1" t="n">
        <v>32.8</v>
      </c>
      <c r="D115" s="1" t="n">
        <v>8.6</v>
      </c>
      <c r="E115" s="1" t="n">
        <v>82.7</v>
      </c>
      <c r="F115" s="27" t="n">
        <v>5.78701669216643</v>
      </c>
      <c r="G115" s="27" t="n">
        <v>6.4</v>
      </c>
      <c r="H115" s="1" t="n">
        <v>0.612983307833575</v>
      </c>
      <c r="K115" s="22"/>
      <c r="M115" s="23"/>
      <c r="P115" s="12" t="n">
        <v>5</v>
      </c>
      <c r="Q115" s="13" t="s">
        <v>75</v>
      </c>
      <c r="R115" s="13" t="n">
        <v>64.5</v>
      </c>
      <c r="S115" s="13" t="n">
        <v>21</v>
      </c>
      <c r="T115" s="13" t="n">
        <v>33.4</v>
      </c>
      <c r="U115" s="14" t="n">
        <v>50.5</v>
      </c>
      <c r="V115" s="14" t="n">
        <v>7.5</v>
      </c>
      <c r="W115" s="13" t="n">
        <v>5.54</v>
      </c>
    </row>
    <row r="116" customFormat="false" ht="12.8" hidden="false" customHeight="false" outlineLevel="0" collapsed="false">
      <c r="A116" s="1" t="n">
        <v>56</v>
      </c>
      <c r="B116" s="1" t="n">
        <v>28.8</v>
      </c>
      <c r="C116" s="1" t="n">
        <v>31.6</v>
      </c>
      <c r="D116" s="1" t="n">
        <v>8</v>
      </c>
      <c r="E116" s="1" t="n">
        <v>78.2</v>
      </c>
      <c r="F116" s="27" t="n">
        <v>6.06823338703229</v>
      </c>
      <c r="G116" s="27" t="n">
        <v>5.61</v>
      </c>
      <c r="H116" s="1" t="n">
        <v>-0.458233387032285</v>
      </c>
      <c r="K116" s="22"/>
      <c r="M116" s="23"/>
      <c r="P116" s="12" t="n">
        <v>5</v>
      </c>
      <c r="Q116" s="13" t="s">
        <v>76</v>
      </c>
      <c r="R116" s="13" t="n">
        <v>61.4</v>
      </c>
      <c r="S116" s="13" t="n">
        <v>29.8</v>
      </c>
      <c r="T116" s="13" t="n">
        <v>35.2</v>
      </c>
      <c r="U116" s="14" t="n">
        <v>46.1</v>
      </c>
      <c r="V116" s="14" t="n">
        <v>8.9</v>
      </c>
      <c r="W116" s="13" t="n">
        <v>5.27</v>
      </c>
    </row>
    <row r="117" customFormat="false" ht="12.8" hidden="false" customHeight="false" outlineLevel="0" collapsed="false">
      <c r="A117" s="1" t="n">
        <v>53.3</v>
      </c>
      <c r="B117" s="1" t="n">
        <v>15.4</v>
      </c>
      <c r="C117" s="1" t="n">
        <v>31.8</v>
      </c>
      <c r="D117" s="1" t="n">
        <v>8.6</v>
      </c>
      <c r="E117" s="1" t="n">
        <v>77.9</v>
      </c>
      <c r="F117" s="27" t="n">
        <v>5.54431273087061</v>
      </c>
      <c r="G117" s="27" t="n">
        <v>5.43</v>
      </c>
      <c r="H117" s="1" t="n">
        <v>-0.114312730870608</v>
      </c>
      <c r="K117" s="22"/>
      <c r="M117" s="23"/>
      <c r="P117" s="12" t="n">
        <v>5</v>
      </c>
      <c r="Q117" s="13" t="s">
        <v>78</v>
      </c>
      <c r="R117" s="13" t="n">
        <v>63.4</v>
      </c>
      <c r="S117" s="13" t="n">
        <v>26</v>
      </c>
      <c r="T117" s="13" t="n">
        <v>36.1</v>
      </c>
      <c r="U117" s="14" t="n">
        <v>66.4</v>
      </c>
      <c r="V117" s="14" t="n">
        <v>17.7</v>
      </c>
      <c r="W117" s="13" t="n">
        <v>5.38</v>
      </c>
    </row>
    <row r="118" customFormat="false" ht="12.8" hidden="false" customHeight="false" outlineLevel="0" collapsed="false">
      <c r="A118" s="1" t="n">
        <v>53.4</v>
      </c>
      <c r="B118" s="1" t="n">
        <v>17</v>
      </c>
      <c r="C118" s="1" t="n">
        <v>33</v>
      </c>
      <c r="D118" s="1" t="n">
        <v>8.4</v>
      </c>
      <c r="E118" s="1" t="n">
        <v>81</v>
      </c>
      <c r="F118" s="27" t="n">
        <v>5.65580524895341</v>
      </c>
      <c r="G118" s="27" t="n">
        <v>5.73</v>
      </c>
      <c r="H118" s="1" t="n">
        <v>0.0741947510465923</v>
      </c>
      <c r="K118" s="22"/>
      <c r="M118" s="23"/>
      <c r="P118" s="12" t="n">
        <v>5</v>
      </c>
      <c r="Q118" s="13" t="s">
        <v>80</v>
      </c>
      <c r="R118" s="13" t="n">
        <v>56.5</v>
      </c>
      <c r="S118" s="13" t="n">
        <v>16.7</v>
      </c>
      <c r="T118" s="13" t="n">
        <v>35.5</v>
      </c>
      <c r="U118" s="14" t="n">
        <v>66.3</v>
      </c>
      <c r="V118" s="14" t="n">
        <v>29.3</v>
      </c>
      <c r="W118" s="13" t="n">
        <v>5.13</v>
      </c>
    </row>
    <row r="119" customFormat="false" ht="12.8" hidden="false" customHeight="false" outlineLevel="0" collapsed="false">
      <c r="A119" s="1" t="n">
        <v>55.2</v>
      </c>
      <c r="B119" s="1" t="n">
        <v>20.3</v>
      </c>
      <c r="C119" s="1" t="n">
        <v>34.7</v>
      </c>
      <c r="D119" s="1" t="n">
        <v>10</v>
      </c>
      <c r="E119" s="1" t="n">
        <v>72.1</v>
      </c>
      <c r="F119" s="27" t="n">
        <v>5.84455121459159</v>
      </c>
      <c r="G119" s="27" t="n">
        <v>6.11</v>
      </c>
      <c r="H119" s="1" t="n">
        <v>0.265448785408409</v>
      </c>
      <c r="K119" s="22"/>
      <c r="M119" s="23"/>
      <c r="P119" s="12" t="n">
        <v>5</v>
      </c>
      <c r="Q119" s="13" t="s">
        <v>81</v>
      </c>
      <c r="R119" s="13" t="n">
        <v>53.1</v>
      </c>
      <c r="S119" s="13" t="n">
        <v>13.6</v>
      </c>
      <c r="T119" s="13" t="n">
        <v>34.7</v>
      </c>
      <c r="U119" s="14" t="n">
        <v>63.7</v>
      </c>
      <c r="V119" s="14" t="n">
        <v>21.1</v>
      </c>
      <c r="W119" s="13" t="n">
        <v>4.92</v>
      </c>
    </row>
    <row r="120" customFormat="false" ht="12.8" hidden="false" customHeight="false" outlineLevel="0" collapsed="false">
      <c r="A120" s="1" t="n">
        <v>51.3</v>
      </c>
      <c r="B120" s="1" t="n">
        <v>29.1</v>
      </c>
      <c r="C120" s="1" t="n">
        <v>32.5</v>
      </c>
      <c r="D120" s="1" t="n">
        <v>8.8</v>
      </c>
      <c r="E120" s="1" t="n">
        <v>76.5</v>
      </c>
      <c r="F120" s="27" t="n">
        <v>6.16317311730185</v>
      </c>
      <c r="G120" s="27" t="n">
        <v>6.05</v>
      </c>
      <c r="H120" s="1" t="n">
        <v>-0.113173117301847</v>
      </c>
      <c r="K120" s="22"/>
      <c r="M120" s="23"/>
      <c r="P120" s="12" t="n">
        <v>5</v>
      </c>
      <c r="Q120" s="13" t="s">
        <v>83</v>
      </c>
      <c r="R120" s="13" t="n">
        <v>60.4</v>
      </c>
      <c r="S120" s="13" t="n">
        <v>18.4</v>
      </c>
      <c r="T120" s="13" t="n">
        <v>33.8</v>
      </c>
      <c r="U120" s="14" t="n">
        <v>61.2</v>
      </c>
      <c r="V120" s="14" t="n">
        <v>19.6</v>
      </c>
      <c r="W120" s="13" t="n">
        <v>5.26</v>
      </c>
    </row>
    <row r="121" customFormat="false" ht="12.8" hidden="false" customHeight="false" outlineLevel="0" collapsed="false">
      <c r="A121" s="1" t="n">
        <v>56.7</v>
      </c>
      <c r="B121" s="1" t="n">
        <v>16.1</v>
      </c>
      <c r="C121" s="1" t="n">
        <v>32.2</v>
      </c>
      <c r="D121" s="1" t="n">
        <v>8.2</v>
      </c>
      <c r="E121" s="1" t="n">
        <v>76.4</v>
      </c>
      <c r="F121" s="27" t="n">
        <v>5.55756730307483</v>
      </c>
      <c r="G121" s="27" t="n">
        <v>5.87</v>
      </c>
      <c r="H121" s="1" t="n">
        <v>0.312432696925169</v>
      </c>
      <c r="K121" s="22"/>
      <c r="M121" s="23"/>
      <c r="P121" s="12" t="n">
        <v>5</v>
      </c>
      <c r="Q121" s="13" t="s">
        <v>84</v>
      </c>
      <c r="R121" s="13" t="n">
        <v>62.2</v>
      </c>
      <c r="S121" s="13" t="n">
        <v>20.1</v>
      </c>
      <c r="T121" s="13" t="n">
        <v>34.9</v>
      </c>
      <c r="U121" s="14" t="n">
        <v>65.1</v>
      </c>
      <c r="V121" s="14" t="n">
        <v>18.9</v>
      </c>
      <c r="W121" s="13" t="n">
        <v>5.32</v>
      </c>
    </row>
    <row r="122" customFormat="false" ht="12.8" hidden="false" customHeight="false" outlineLevel="0" collapsed="false">
      <c r="A122" s="1" t="n">
        <v>60.8</v>
      </c>
      <c r="B122" s="1" t="n">
        <v>14.2</v>
      </c>
      <c r="C122" s="1" t="n">
        <v>29.3</v>
      </c>
      <c r="D122" s="1" t="n">
        <v>9.2</v>
      </c>
      <c r="E122" s="1" t="n">
        <v>74.9</v>
      </c>
      <c r="F122" s="27" t="n">
        <v>5.31825188192557</v>
      </c>
      <c r="G122" s="27" t="n">
        <v>6.05</v>
      </c>
      <c r="H122" s="1" t="n">
        <v>0.731748118074435</v>
      </c>
      <c r="K122" s="22"/>
      <c r="M122" s="23"/>
      <c r="P122" s="12" t="n">
        <v>5</v>
      </c>
      <c r="Q122" s="13" t="s">
        <v>88</v>
      </c>
      <c r="R122" s="13" t="n">
        <v>58.6</v>
      </c>
      <c r="S122" s="13" t="n">
        <v>17.6</v>
      </c>
      <c r="T122" s="13" t="n">
        <v>36.1</v>
      </c>
      <c r="U122" s="14" t="n">
        <v>58.7</v>
      </c>
      <c r="V122" s="14" t="n">
        <v>22.5</v>
      </c>
      <c r="W122" s="13" t="n">
        <v>5.36</v>
      </c>
    </row>
    <row r="123" customFormat="false" ht="12.8" hidden="false" customHeight="false" outlineLevel="0" collapsed="false">
      <c r="A123" s="1" t="n">
        <v>50.1</v>
      </c>
      <c r="B123" s="1" t="n">
        <v>14.3</v>
      </c>
      <c r="C123" s="1" t="n">
        <v>32.9</v>
      </c>
      <c r="D123" s="1" t="n">
        <v>12</v>
      </c>
      <c r="E123" s="1" t="n">
        <v>80.5</v>
      </c>
      <c r="F123" s="27" t="n">
        <v>5.55990996827336</v>
      </c>
      <c r="G123" s="27" t="n">
        <v>5.91</v>
      </c>
      <c r="H123" s="1" t="n">
        <v>0.350090031726639</v>
      </c>
      <c r="K123" s="22"/>
      <c r="M123" s="23"/>
      <c r="P123" s="12" t="n">
        <v>5</v>
      </c>
      <c r="Q123" s="13" t="s">
        <v>89</v>
      </c>
      <c r="R123" s="13" t="n">
        <v>46.8</v>
      </c>
      <c r="S123" s="13" t="n">
        <v>12.6</v>
      </c>
      <c r="T123" s="13" t="n">
        <v>35.5</v>
      </c>
      <c r="U123" s="14" t="n">
        <v>57</v>
      </c>
      <c r="V123" s="14" t="n">
        <v>27.4</v>
      </c>
      <c r="W123" s="13" t="n">
        <v>5.39</v>
      </c>
    </row>
    <row r="124" customFormat="false" ht="12.8" hidden="false" customHeight="false" outlineLevel="0" collapsed="false">
      <c r="A124" s="1" t="n">
        <v>49.3</v>
      </c>
      <c r="B124" s="1" t="n">
        <v>17.9</v>
      </c>
      <c r="C124" s="1" t="n">
        <v>33.4</v>
      </c>
      <c r="D124" s="1" t="n">
        <v>9</v>
      </c>
      <c r="E124" s="1" t="n">
        <v>82</v>
      </c>
      <c r="F124" s="27" t="n">
        <v>5.74793041887602</v>
      </c>
      <c r="G124" s="27" t="n">
        <v>6.92</v>
      </c>
      <c r="H124" s="1" t="n">
        <v>1.17206958112398</v>
      </c>
      <c r="K124" s="22"/>
      <c r="M124" s="23"/>
      <c r="P124" s="12" t="n">
        <v>5</v>
      </c>
      <c r="Q124" s="13" t="s">
        <v>90</v>
      </c>
      <c r="R124" s="13" t="n">
        <v>54</v>
      </c>
      <c r="S124" s="13" t="n">
        <v>15.9</v>
      </c>
      <c r="T124" s="13" t="n">
        <v>34.7</v>
      </c>
      <c r="U124" s="14" t="n">
        <v>55.1</v>
      </c>
      <c r="V124" s="14" t="n">
        <v>14.7</v>
      </c>
      <c r="W124" s="13" t="n">
        <v>5.56</v>
      </c>
    </row>
    <row r="125" customFormat="false" ht="12.8" hidden="false" customHeight="false" outlineLevel="0" collapsed="false">
      <c r="A125" s="1" t="n">
        <v>54</v>
      </c>
      <c r="B125" s="1" t="n">
        <v>21</v>
      </c>
      <c r="C125" s="1" t="n">
        <v>33.1</v>
      </c>
      <c r="D125" s="1" t="n">
        <v>9.1</v>
      </c>
      <c r="E125" s="1" t="n">
        <v>81.6</v>
      </c>
      <c r="F125" s="27" t="n">
        <v>5.81687726005742</v>
      </c>
      <c r="G125" s="27" t="n">
        <v>6.6</v>
      </c>
      <c r="H125" s="1" t="n">
        <v>0.783122739942577</v>
      </c>
      <c r="K125" s="22"/>
      <c r="M125" s="23"/>
      <c r="P125" s="12" t="n">
        <v>5</v>
      </c>
      <c r="Q125" s="13" t="s">
        <v>91</v>
      </c>
      <c r="R125" s="13" t="n">
        <v>54.7</v>
      </c>
      <c r="S125" s="13" t="n">
        <v>21.4</v>
      </c>
      <c r="T125" s="13" t="n">
        <v>37.2</v>
      </c>
      <c r="U125" s="14" t="n">
        <v>50.3</v>
      </c>
      <c r="V125" s="14" t="n">
        <v>11.8</v>
      </c>
      <c r="W125" s="13" t="n">
        <v>6</v>
      </c>
    </row>
    <row r="126" customFormat="false" ht="12.8" hidden="false" customHeight="false" outlineLevel="0" collapsed="false">
      <c r="A126" s="1" t="n">
        <v>57.9</v>
      </c>
      <c r="B126" s="1" t="n">
        <v>29.1</v>
      </c>
      <c r="C126" s="1" t="n">
        <v>32.8</v>
      </c>
      <c r="D126" s="1" t="n">
        <v>11.2</v>
      </c>
      <c r="E126" s="1" t="n">
        <v>81.7</v>
      </c>
      <c r="F126" s="27" t="n">
        <v>6.09393422524425</v>
      </c>
      <c r="G126" s="27" t="n">
        <v>6.4</v>
      </c>
      <c r="H126" s="1" t="n">
        <v>0.306065774755751</v>
      </c>
      <c r="K126" s="22"/>
      <c r="M126" s="23"/>
      <c r="P126" s="12" t="n">
        <v>5</v>
      </c>
      <c r="Q126" s="13" t="s">
        <v>92</v>
      </c>
      <c r="R126" s="13" t="n">
        <v>53.8</v>
      </c>
      <c r="S126" s="13" t="n">
        <v>17.9</v>
      </c>
      <c r="T126" s="13" t="n">
        <v>36</v>
      </c>
      <c r="U126" s="14" t="n">
        <v>58.1</v>
      </c>
      <c r="V126" s="14" t="n">
        <v>15.2</v>
      </c>
      <c r="W126" s="13" t="n">
        <v>6.03</v>
      </c>
    </row>
    <row r="127" customFormat="false" ht="12.8" hidden="false" customHeight="false" outlineLevel="0" collapsed="false">
      <c r="A127" s="1" t="n">
        <v>61</v>
      </c>
      <c r="B127" s="1" t="n">
        <v>24.3</v>
      </c>
      <c r="C127" s="1" t="n">
        <v>33.1</v>
      </c>
      <c r="D127" s="1" t="n">
        <v>8.9</v>
      </c>
      <c r="E127" s="1" t="n">
        <v>79.3</v>
      </c>
      <c r="F127" s="27" t="n">
        <v>5.88549322644542</v>
      </c>
      <c r="G127" s="27" t="n">
        <v>6.43</v>
      </c>
      <c r="H127" s="1" t="n">
        <v>0.544506773554584</v>
      </c>
      <c r="K127" s="22"/>
      <c r="M127" s="23"/>
      <c r="P127" s="12" t="n">
        <v>5</v>
      </c>
      <c r="Q127" s="13" t="s">
        <v>93</v>
      </c>
      <c r="R127" s="13" t="n">
        <v>55.5</v>
      </c>
      <c r="S127" s="13" t="n">
        <v>20.4</v>
      </c>
      <c r="T127" s="13" t="n">
        <v>35</v>
      </c>
      <c r="U127" s="14" t="n">
        <v>57.8</v>
      </c>
      <c r="V127" s="14" t="n">
        <v>23.5</v>
      </c>
      <c r="W127" s="13" t="n">
        <v>6.04</v>
      </c>
    </row>
    <row r="128" customFormat="false" ht="12.8" hidden="false" customHeight="false" outlineLevel="0" collapsed="false">
      <c r="A128" s="1" t="n">
        <v>52.2</v>
      </c>
      <c r="B128" s="1" t="n">
        <v>14.6</v>
      </c>
      <c r="C128" s="1" t="n">
        <v>34.3</v>
      </c>
      <c r="D128" s="1" t="n">
        <v>8.9</v>
      </c>
      <c r="E128" s="1" t="n">
        <v>82.3</v>
      </c>
      <c r="F128" s="27" t="n">
        <v>5.61710946167788</v>
      </c>
      <c r="G128" s="27" t="n">
        <v>6.05</v>
      </c>
      <c r="H128" s="1" t="n">
        <v>0.432890538322121</v>
      </c>
      <c r="K128" s="22"/>
      <c r="M128" s="23"/>
      <c r="P128" s="12" t="n">
        <v>5</v>
      </c>
      <c r="Q128" s="13" t="s">
        <v>94</v>
      </c>
      <c r="R128" s="13" t="n">
        <v>66.8</v>
      </c>
      <c r="S128" s="13" t="n">
        <v>23.5</v>
      </c>
      <c r="T128" s="13" t="n">
        <v>34.4</v>
      </c>
      <c r="U128" s="14" t="n">
        <v>55.6</v>
      </c>
      <c r="V128" s="14" t="n">
        <v>15.6</v>
      </c>
      <c r="W128" s="13" t="n">
        <v>6.36</v>
      </c>
    </row>
    <row r="129" customFormat="false" ht="12.8" hidden="false" customHeight="false" outlineLevel="0" collapsed="false">
      <c r="A129" s="1" t="n">
        <v>49.2</v>
      </c>
      <c r="B129" s="1" t="n">
        <v>12.9</v>
      </c>
      <c r="C129" s="1" t="n">
        <v>32.2</v>
      </c>
      <c r="D129" s="1" t="n">
        <v>9.6</v>
      </c>
      <c r="E129" s="1" t="n">
        <v>84.7</v>
      </c>
      <c r="F129" s="27" t="n">
        <v>5.48825872113393</v>
      </c>
      <c r="G129" s="27" t="n">
        <v>6.59</v>
      </c>
      <c r="H129" s="1" t="n">
        <v>1.10174127886607</v>
      </c>
      <c r="K129" s="22"/>
      <c r="M129" s="23"/>
      <c r="P129" s="12" t="n">
        <v>5</v>
      </c>
      <c r="Q129" s="13" t="s">
        <v>95</v>
      </c>
      <c r="R129" s="13" t="n">
        <v>57.9</v>
      </c>
      <c r="S129" s="13" t="n">
        <v>35.2</v>
      </c>
      <c r="T129" s="13" t="n">
        <v>33.4</v>
      </c>
      <c r="U129" s="14" t="n">
        <v>45.2</v>
      </c>
      <c r="V129" s="14" t="n">
        <v>12.5</v>
      </c>
      <c r="W129" s="13" t="n">
        <v>5.65</v>
      </c>
    </row>
    <row r="130" customFormat="false" ht="12.8" hidden="false" customHeight="false" outlineLevel="0" collapsed="false">
      <c r="A130" s="1" t="n">
        <v>55.8</v>
      </c>
      <c r="B130" s="1" t="n">
        <v>25.9</v>
      </c>
      <c r="C130" s="1" t="n">
        <v>33.1</v>
      </c>
      <c r="D130" s="1" t="n">
        <v>9.6</v>
      </c>
      <c r="E130" s="1" t="n">
        <v>88.6</v>
      </c>
      <c r="F130" s="27" t="n">
        <v>5.99415623211558</v>
      </c>
      <c r="G130" s="27" t="n">
        <v>6.64</v>
      </c>
      <c r="H130" s="1" t="n">
        <v>0.645843767884424</v>
      </c>
      <c r="K130" s="22"/>
      <c r="M130" s="23"/>
      <c r="P130" s="12" t="n">
        <v>5</v>
      </c>
      <c r="Q130" s="13" t="s">
        <v>97</v>
      </c>
      <c r="R130" s="13" t="n">
        <v>56.2</v>
      </c>
      <c r="S130" s="13" t="n">
        <v>18</v>
      </c>
      <c r="T130" s="13" t="n">
        <v>34.5</v>
      </c>
      <c r="U130" s="14" t="n">
        <v>50.9</v>
      </c>
      <c r="V130" s="14" t="n">
        <v>14.3</v>
      </c>
      <c r="W130" s="13" t="n">
        <v>5.5</v>
      </c>
    </row>
    <row r="131" customFormat="false" ht="12.8" hidden="false" customHeight="false" outlineLevel="0" collapsed="false">
      <c r="A131" s="1" t="n">
        <v>47.3</v>
      </c>
      <c r="B131" s="1" t="n">
        <v>11.6</v>
      </c>
      <c r="C131" s="1" t="n">
        <v>34.5</v>
      </c>
      <c r="D131" s="1" t="n">
        <v>9.7</v>
      </c>
      <c r="E131" s="1" t="n">
        <v>82.3</v>
      </c>
      <c r="F131" s="27" t="n">
        <v>5.54729569072958</v>
      </c>
      <c r="G131" s="27" t="n">
        <v>6.26</v>
      </c>
      <c r="H131" s="1" t="n">
        <v>0.712704309270422</v>
      </c>
      <c r="K131" s="22"/>
      <c r="M131" s="23"/>
      <c r="P131" s="12" t="n">
        <v>5</v>
      </c>
      <c r="Q131" s="13" t="s">
        <v>98</v>
      </c>
      <c r="R131" s="13" t="n">
        <v>55.2</v>
      </c>
      <c r="S131" s="13" t="n">
        <v>19.5</v>
      </c>
      <c r="T131" s="13" t="n">
        <v>33.6</v>
      </c>
      <c r="U131" s="14" t="n">
        <v>49.6</v>
      </c>
      <c r="V131" s="14" t="n">
        <v>23.5</v>
      </c>
      <c r="W131" s="13" t="n">
        <v>5.87</v>
      </c>
    </row>
    <row r="132" customFormat="false" ht="12.8" hidden="false" customHeight="false" outlineLevel="0" collapsed="false">
      <c r="A132" s="1" t="n">
        <v>58.1</v>
      </c>
      <c r="B132" s="1" t="n">
        <v>19.2</v>
      </c>
      <c r="C132" s="1" t="n">
        <v>34.3</v>
      </c>
      <c r="D132" s="1" t="n">
        <v>9.3</v>
      </c>
      <c r="E132" s="1" t="n">
        <v>82.5</v>
      </c>
      <c r="F132" s="27" t="n">
        <v>5.74651320048859</v>
      </c>
      <c r="G132" s="27" t="n">
        <v>6.26</v>
      </c>
      <c r="H132" s="1" t="n">
        <v>0.513486799511413</v>
      </c>
      <c r="K132" s="22"/>
      <c r="M132" s="23"/>
      <c r="P132" s="12" t="n">
        <v>5</v>
      </c>
      <c r="Q132" s="13" t="s">
        <v>99</v>
      </c>
      <c r="R132" s="13" t="n">
        <v>54.4</v>
      </c>
      <c r="S132" s="13" t="n">
        <v>27.3</v>
      </c>
      <c r="T132" s="13" t="n">
        <v>36</v>
      </c>
      <c r="U132" s="14" t="n">
        <v>49.4</v>
      </c>
      <c r="V132" s="14" t="n">
        <v>19.6</v>
      </c>
      <c r="W132" s="13" t="n">
        <v>6.16</v>
      </c>
    </row>
    <row r="133" customFormat="false" ht="12.8" hidden="false" customHeight="false" outlineLevel="0" collapsed="false">
      <c r="A133" s="1" t="n">
        <v>61.1</v>
      </c>
      <c r="B133" s="1" t="n">
        <v>17</v>
      </c>
      <c r="C133" s="1" t="n">
        <v>33.3</v>
      </c>
      <c r="D133" s="1" t="n">
        <v>10.6</v>
      </c>
      <c r="E133" s="1" t="n">
        <v>85.3</v>
      </c>
      <c r="F133" s="27" t="n">
        <v>5.57690099227344</v>
      </c>
      <c r="G133" s="27" t="n">
        <v>6.04</v>
      </c>
      <c r="H133" s="1" t="n">
        <v>0.46309900772656</v>
      </c>
      <c r="K133" s="22"/>
      <c r="M133" s="23"/>
      <c r="P133" s="12" t="n">
        <v>5</v>
      </c>
      <c r="Q133" s="13" t="s">
        <v>100</v>
      </c>
      <c r="R133" s="13" t="n">
        <v>54.7</v>
      </c>
      <c r="S133" s="13" t="n">
        <v>35.9</v>
      </c>
      <c r="T133" s="13" t="n">
        <v>35.6</v>
      </c>
      <c r="U133" s="14" t="n">
        <v>53.1</v>
      </c>
      <c r="V133" s="14" t="n">
        <v>16.1</v>
      </c>
      <c r="W133" s="13" t="n">
        <v>6.16</v>
      </c>
    </row>
    <row r="134" customFormat="false" ht="12.8" hidden="false" customHeight="false" outlineLevel="0" collapsed="false">
      <c r="A134" s="1" t="n">
        <v>60.6</v>
      </c>
      <c r="B134" s="1" t="n">
        <v>24.3</v>
      </c>
      <c r="C134" s="1" t="n">
        <v>35</v>
      </c>
      <c r="D134" s="1" t="n">
        <v>11.9</v>
      </c>
      <c r="E134" s="1" t="n">
        <v>83.6</v>
      </c>
      <c r="F134" s="27" t="n">
        <v>5.95023257209336</v>
      </c>
      <c r="G134" s="27" t="n">
        <v>5.98</v>
      </c>
      <c r="H134" s="1" t="n">
        <v>0.0297674279066378</v>
      </c>
      <c r="K134" s="22"/>
      <c r="M134" s="23"/>
      <c r="P134" s="12" t="n">
        <v>5</v>
      </c>
      <c r="Q134" s="13" t="s">
        <v>101</v>
      </c>
      <c r="R134" s="13" t="n">
        <v>59.2</v>
      </c>
      <c r="S134" s="13" t="n">
        <v>18.9</v>
      </c>
      <c r="T134" s="13" t="n">
        <v>34.3</v>
      </c>
      <c r="U134" s="14" t="n">
        <v>65.3</v>
      </c>
      <c r="V134" s="14" t="n">
        <v>25.8</v>
      </c>
      <c r="W134" s="13" t="n">
        <v>5.97</v>
      </c>
    </row>
    <row r="135" customFormat="false" ht="12.8" hidden="false" customHeight="false" outlineLevel="0" collapsed="false">
      <c r="A135" s="1" t="n">
        <v>59.2</v>
      </c>
      <c r="B135" s="1" t="n">
        <v>36.2</v>
      </c>
      <c r="C135" s="1" t="n">
        <v>34.5</v>
      </c>
      <c r="D135" s="1" t="n">
        <v>9</v>
      </c>
      <c r="E135" s="1" t="n">
        <v>82.5</v>
      </c>
      <c r="F135" s="27" t="n">
        <v>6.45166116517341</v>
      </c>
      <c r="G135" s="27" t="n">
        <v>6.83</v>
      </c>
      <c r="H135" s="1" t="n">
        <v>0.378338834826588</v>
      </c>
      <c r="K135" s="22"/>
      <c r="M135" s="23"/>
      <c r="P135" s="12" t="n">
        <v>5</v>
      </c>
      <c r="Q135" s="13" t="s">
        <v>102</v>
      </c>
      <c r="R135" s="13" t="n">
        <v>61.5</v>
      </c>
      <c r="S135" s="13" t="n">
        <v>16.5</v>
      </c>
      <c r="T135" s="13" t="n">
        <v>31.8</v>
      </c>
      <c r="U135" s="14" t="n">
        <v>56.8</v>
      </c>
      <c r="V135" s="14" t="n">
        <v>31.6</v>
      </c>
      <c r="W135" s="13" t="n">
        <v>6.04</v>
      </c>
    </row>
    <row r="136" customFormat="false" ht="12.8" hidden="false" customHeight="false" outlineLevel="0" collapsed="false">
      <c r="A136" s="1" t="n">
        <v>75.1</v>
      </c>
      <c r="B136" s="1" t="n">
        <v>27.3</v>
      </c>
      <c r="C136" s="1" t="n">
        <v>34.7</v>
      </c>
      <c r="D136" s="1" t="n">
        <v>10.5</v>
      </c>
      <c r="E136" s="1" t="n">
        <v>84</v>
      </c>
      <c r="F136" s="27" t="n">
        <v>5.91992135066028</v>
      </c>
      <c r="G136" s="27" t="n">
        <v>6.2</v>
      </c>
      <c r="H136" s="1" t="n">
        <v>0.280078649339724</v>
      </c>
      <c r="K136" s="22"/>
      <c r="M136" s="23"/>
      <c r="P136" s="12" t="n">
        <v>5</v>
      </c>
      <c r="Q136" s="13" t="s">
        <v>103</v>
      </c>
      <c r="R136" s="13" t="n">
        <v>52.3</v>
      </c>
      <c r="S136" s="13" t="n">
        <v>14</v>
      </c>
      <c r="T136" s="13" t="n">
        <v>34.5</v>
      </c>
      <c r="U136" s="14" t="n">
        <v>54.7</v>
      </c>
      <c r="V136" s="14" t="n">
        <v>19.7</v>
      </c>
      <c r="W136" s="13" t="n">
        <v>5.99</v>
      </c>
    </row>
    <row r="137" customFormat="false" ht="12.8" hidden="false" customHeight="false" outlineLevel="0" collapsed="false">
      <c r="A137" s="1" t="n">
        <v>57.4</v>
      </c>
      <c r="B137" s="1" t="n">
        <v>26.4</v>
      </c>
      <c r="C137" s="1" t="n">
        <v>35.1</v>
      </c>
      <c r="D137" s="1" t="n">
        <v>48</v>
      </c>
      <c r="E137" s="1" t="n">
        <v>9.9</v>
      </c>
      <c r="F137" s="27" t="n">
        <v>6.0027769576179</v>
      </c>
      <c r="G137" s="27" t="n">
        <v>5.49</v>
      </c>
      <c r="H137" s="1" t="n">
        <v>-0.512776957617903</v>
      </c>
      <c r="K137" s="22"/>
      <c r="M137" s="23"/>
      <c r="P137" s="12" t="n">
        <v>5</v>
      </c>
      <c r="Q137" s="13" t="s">
        <v>104</v>
      </c>
      <c r="R137" s="13" t="n">
        <v>55.6</v>
      </c>
      <c r="S137" s="13" t="n">
        <v>18</v>
      </c>
      <c r="T137" s="13" t="n">
        <v>35.1</v>
      </c>
      <c r="U137" s="14" t="n">
        <v>51.2</v>
      </c>
      <c r="V137" s="14" t="n">
        <v>18.8</v>
      </c>
      <c r="W137" s="13" t="n">
        <v>7.07</v>
      </c>
    </row>
    <row r="138" customFormat="false" ht="12.8" hidden="false" customHeight="false" outlineLevel="0" collapsed="false">
      <c r="A138" s="1" t="n">
        <v>55.9</v>
      </c>
      <c r="B138" s="1" t="n">
        <v>14.9</v>
      </c>
      <c r="C138" s="1" t="n">
        <v>33</v>
      </c>
      <c r="D138" s="1" t="n">
        <v>55.1</v>
      </c>
      <c r="E138" s="1" t="n">
        <v>17.8</v>
      </c>
      <c r="F138" s="27" t="n">
        <v>5.42156092075908</v>
      </c>
      <c r="G138" s="27" t="n">
        <v>5.13</v>
      </c>
      <c r="H138" s="1" t="n">
        <v>-0.29156092075908</v>
      </c>
      <c r="K138" s="22"/>
      <c r="M138" s="23"/>
      <c r="P138" s="12" t="n">
        <v>5</v>
      </c>
      <c r="Q138" s="13" t="s">
        <v>105</v>
      </c>
      <c r="R138" s="13" t="n">
        <v>55.8</v>
      </c>
      <c r="S138" s="13" t="n">
        <v>28.1</v>
      </c>
      <c r="T138" s="13" t="n">
        <v>34.4</v>
      </c>
      <c r="U138" s="14" t="n">
        <v>54.7</v>
      </c>
      <c r="V138" s="14" t="n">
        <v>24.2</v>
      </c>
      <c r="W138" s="13" t="n">
        <v>6.71</v>
      </c>
    </row>
    <row r="139" customFormat="false" ht="12.8" hidden="false" customHeight="false" outlineLevel="0" collapsed="false">
      <c r="A139" s="1" t="n">
        <v>58.3</v>
      </c>
      <c r="B139" s="1" t="n">
        <v>23.9</v>
      </c>
      <c r="C139" s="1" t="n">
        <v>34.9</v>
      </c>
      <c r="D139" s="1" t="n">
        <v>57.9</v>
      </c>
      <c r="E139" s="1" t="n">
        <v>14.6</v>
      </c>
      <c r="F139" s="27" t="n">
        <v>5.83961751882045</v>
      </c>
      <c r="G139" s="27" t="n">
        <v>5.4</v>
      </c>
      <c r="H139" s="1" t="n">
        <v>-0.439617518820445</v>
      </c>
      <c r="K139" s="22"/>
      <c r="M139" s="23"/>
      <c r="P139" s="12" t="n">
        <v>5</v>
      </c>
      <c r="Q139" s="13" t="s">
        <v>106</v>
      </c>
      <c r="R139" s="13" t="n">
        <v>62</v>
      </c>
      <c r="S139" s="13" t="n">
        <v>31.1</v>
      </c>
      <c r="T139" s="13" t="n">
        <v>35</v>
      </c>
      <c r="U139" s="14" t="n">
        <v>52.3</v>
      </c>
      <c r="V139" s="14" t="n">
        <v>36.1</v>
      </c>
      <c r="W139" s="13" t="n">
        <v>6.46</v>
      </c>
    </row>
    <row r="140" customFormat="false" ht="12.8" hidden="false" customHeight="false" outlineLevel="0" collapsed="false">
      <c r="A140" s="1" t="n">
        <v>54.2</v>
      </c>
      <c r="B140" s="1" t="n">
        <v>12.4</v>
      </c>
      <c r="C140" s="1" t="n">
        <v>33.6</v>
      </c>
      <c r="D140" s="1" t="n">
        <v>60</v>
      </c>
      <c r="E140" s="1" t="n">
        <v>27.4</v>
      </c>
      <c r="F140" s="27" t="n">
        <v>5.33160475404149</v>
      </c>
      <c r="G140" s="27" t="n">
        <v>5.28</v>
      </c>
      <c r="H140" s="1" t="n">
        <v>-0.0516047540414917</v>
      </c>
      <c r="K140" s="22"/>
      <c r="M140" s="23"/>
      <c r="P140" s="12" t="n">
        <v>5</v>
      </c>
      <c r="Q140" s="13" t="s">
        <v>107</v>
      </c>
      <c r="R140" s="13" t="n">
        <v>64.9</v>
      </c>
      <c r="S140" s="13" t="n">
        <v>29.1</v>
      </c>
      <c r="T140" s="13" t="n">
        <v>35.1</v>
      </c>
      <c r="U140" s="14" t="n">
        <v>58.3</v>
      </c>
      <c r="V140" s="14" t="n">
        <v>22.1</v>
      </c>
      <c r="W140" s="13" t="n">
        <v>6.54</v>
      </c>
    </row>
    <row r="141" customFormat="false" ht="12.8" hidden="false" customHeight="false" outlineLevel="0" collapsed="false">
      <c r="A141" s="1" t="n">
        <v>48</v>
      </c>
      <c r="B141" s="1" t="n">
        <v>9.4</v>
      </c>
      <c r="C141" s="1" t="n">
        <v>34.4</v>
      </c>
      <c r="D141" s="1" t="n">
        <v>53.8</v>
      </c>
      <c r="E141" s="1" t="n">
        <v>28.7</v>
      </c>
      <c r="F141" s="27" t="n">
        <v>5.32457738393009</v>
      </c>
      <c r="G141" s="27" t="n">
        <v>5.03</v>
      </c>
      <c r="H141" s="1" t="n">
        <v>-0.294577383930087</v>
      </c>
      <c r="K141" s="22"/>
      <c r="M141" s="23"/>
      <c r="P141" s="12" t="n">
        <v>5</v>
      </c>
      <c r="Q141" s="13" t="s">
        <v>108</v>
      </c>
      <c r="R141" s="13" t="n">
        <v>55.9</v>
      </c>
      <c r="S141" s="13" t="n">
        <v>15.7</v>
      </c>
      <c r="T141" s="13" t="n">
        <v>34.9</v>
      </c>
      <c r="U141" s="14" t="n">
        <v>61.2</v>
      </c>
      <c r="V141" s="14" t="n">
        <v>17.7</v>
      </c>
      <c r="W141" s="13" t="n">
        <v>6.24</v>
      </c>
    </row>
    <row r="142" customFormat="false" ht="12.8" hidden="false" customHeight="false" outlineLevel="0" collapsed="false">
      <c r="A142" s="1" t="n">
        <v>44.8</v>
      </c>
      <c r="B142" s="1" t="n">
        <v>14.5</v>
      </c>
      <c r="C142" s="1" t="n">
        <v>34.8</v>
      </c>
      <c r="D142" s="1" t="n">
        <v>73.8</v>
      </c>
      <c r="E142" s="1" t="n">
        <v>24</v>
      </c>
      <c r="F142" s="27" t="n">
        <v>5.51338671088038</v>
      </c>
      <c r="G142" s="27" t="n">
        <v>5.12</v>
      </c>
      <c r="H142" s="1" t="n">
        <v>-0.39338671088038</v>
      </c>
      <c r="K142" s="22"/>
      <c r="M142" s="23"/>
      <c r="P142" s="12" t="n">
        <v>5</v>
      </c>
      <c r="Q142" s="13" t="s">
        <v>109</v>
      </c>
      <c r="R142" s="13" t="n">
        <v>49</v>
      </c>
      <c r="S142" s="13" t="n">
        <v>16</v>
      </c>
      <c r="T142" s="13" t="n">
        <v>34.6</v>
      </c>
      <c r="U142" s="14" t="n">
        <v>51.5</v>
      </c>
      <c r="V142" s="14" t="n">
        <v>17.3</v>
      </c>
      <c r="W142" s="13" t="n">
        <v>6.7</v>
      </c>
    </row>
    <row r="143" customFormat="false" ht="12.8" hidden="false" customHeight="false" outlineLevel="0" collapsed="false">
      <c r="A143" s="1" t="n">
        <v>51.5</v>
      </c>
      <c r="B143" s="1" t="n">
        <v>8.9</v>
      </c>
      <c r="C143" s="1" t="n">
        <v>35.5</v>
      </c>
      <c r="D143" s="1" t="n">
        <v>55</v>
      </c>
      <c r="E143" s="1" t="n">
        <v>23.9</v>
      </c>
      <c r="F143" s="27" t="n">
        <v>5.31173030569652</v>
      </c>
      <c r="G143" s="27" t="n">
        <v>4.48</v>
      </c>
      <c r="H143" s="1" t="n">
        <v>-0.831730305696523</v>
      </c>
      <c r="K143" s="22"/>
      <c r="M143" s="23"/>
      <c r="P143" s="12" t="n">
        <v>5</v>
      </c>
      <c r="Q143" s="13" t="s">
        <v>110</v>
      </c>
      <c r="R143" s="13" t="n">
        <v>57.8</v>
      </c>
      <c r="S143" s="13" t="n">
        <v>28.9</v>
      </c>
      <c r="T143" s="13" t="n">
        <v>34.4</v>
      </c>
      <c r="U143" s="14" t="n">
        <v>53.4</v>
      </c>
      <c r="V143" s="14" t="n">
        <v>19.9</v>
      </c>
      <c r="W143" s="13" t="n">
        <v>6.59</v>
      </c>
    </row>
    <row r="144" customFormat="false" ht="12.8" hidden="false" customHeight="false" outlineLevel="0" collapsed="false">
      <c r="A144" s="1" t="n">
        <v>46.5</v>
      </c>
      <c r="B144" s="1" t="n">
        <v>10.5</v>
      </c>
      <c r="C144" s="1" t="n">
        <v>35.1</v>
      </c>
      <c r="D144" s="1" t="n">
        <v>52.8</v>
      </c>
      <c r="E144" s="1" t="n">
        <v>20.2</v>
      </c>
      <c r="F144" s="27" t="n">
        <v>5.42508456360926</v>
      </c>
      <c r="G144" s="27" t="n">
        <v>5.02</v>
      </c>
      <c r="H144" s="1" t="n">
        <v>-0.405084563609259</v>
      </c>
      <c r="K144" s="22"/>
      <c r="M144" s="23"/>
      <c r="P144" s="12" t="n">
        <v>6</v>
      </c>
      <c r="Q144" s="13" t="s">
        <v>42</v>
      </c>
      <c r="R144" s="13" t="n">
        <v>49.1</v>
      </c>
      <c r="S144" s="13" t="n">
        <v>11.7</v>
      </c>
      <c r="T144" s="13" t="n">
        <v>32.7</v>
      </c>
      <c r="U144" s="14" t="n">
        <v>55.3</v>
      </c>
      <c r="V144" s="14" t="n">
        <v>22.5</v>
      </c>
      <c r="W144" s="13" t="n">
        <v>6.21</v>
      </c>
    </row>
    <row r="145" customFormat="false" ht="12.8" hidden="false" customHeight="false" outlineLevel="0" collapsed="false">
      <c r="A145" s="1" t="n">
        <v>67.5</v>
      </c>
      <c r="B145" s="1" t="n">
        <v>21.9</v>
      </c>
      <c r="C145" s="1" t="n">
        <v>34.9</v>
      </c>
      <c r="D145" s="1" t="n">
        <v>53.3</v>
      </c>
      <c r="E145" s="1" t="n">
        <v>22.7</v>
      </c>
      <c r="F145" s="27" t="n">
        <v>5.67271162486344</v>
      </c>
      <c r="G145" s="27" t="n">
        <v>5.31</v>
      </c>
      <c r="H145" s="1" t="n">
        <v>-0.362711624863436</v>
      </c>
      <c r="K145" s="22"/>
      <c r="M145" s="23"/>
      <c r="P145" s="12" t="n">
        <v>6</v>
      </c>
      <c r="Q145" s="13" t="s">
        <v>45</v>
      </c>
      <c r="R145" s="13" t="n">
        <v>61.1</v>
      </c>
      <c r="S145" s="13" t="n">
        <v>22.2</v>
      </c>
      <c r="T145" s="13" t="n">
        <v>32.2</v>
      </c>
      <c r="U145" s="14" t="n">
        <v>58.5</v>
      </c>
      <c r="V145" s="14" t="n">
        <v>30.1</v>
      </c>
      <c r="W145" s="13" t="n">
        <v>6.35</v>
      </c>
    </row>
    <row r="146" customFormat="false" ht="12.8" hidden="false" customHeight="false" outlineLevel="0" collapsed="false">
      <c r="A146" s="1" t="n">
        <v>69.1</v>
      </c>
      <c r="B146" s="1" t="n">
        <v>33.1</v>
      </c>
      <c r="C146" s="1" t="n">
        <v>33.7</v>
      </c>
      <c r="D146" s="1" t="n">
        <v>51.2</v>
      </c>
      <c r="E146" s="1" t="n">
        <v>13.5</v>
      </c>
      <c r="F146" s="27" t="n">
        <v>6.09061261649043</v>
      </c>
      <c r="G146" s="27" t="n">
        <v>4.98</v>
      </c>
      <c r="H146" s="1" t="n">
        <v>-1.11061261649042</v>
      </c>
      <c r="K146" s="22"/>
      <c r="M146" s="23"/>
      <c r="P146" s="12" t="n">
        <v>6</v>
      </c>
      <c r="Q146" s="13" t="s">
        <v>46</v>
      </c>
      <c r="R146" s="13" t="n">
        <v>62.5</v>
      </c>
      <c r="S146" s="13" t="n">
        <v>21.7</v>
      </c>
      <c r="T146" s="13" t="n">
        <v>33.5</v>
      </c>
      <c r="U146" s="14" t="n">
        <v>63.8</v>
      </c>
      <c r="V146" s="14" t="n">
        <v>26.5</v>
      </c>
      <c r="W146" s="13" t="n">
        <v>5.99</v>
      </c>
    </row>
    <row r="147" customFormat="false" ht="12.8" hidden="false" customHeight="false" outlineLevel="0" collapsed="false">
      <c r="A147" s="1" t="n">
        <v>65.4</v>
      </c>
      <c r="B147" s="1" t="n">
        <v>22.5</v>
      </c>
      <c r="C147" s="1" t="n">
        <v>35.1</v>
      </c>
      <c r="D147" s="1" t="n">
        <v>47</v>
      </c>
      <c r="E147" s="1" t="n">
        <v>8.4</v>
      </c>
      <c r="F147" s="27" t="n">
        <v>5.76397207102867</v>
      </c>
      <c r="G147" s="27" t="n">
        <v>5.33</v>
      </c>
      <c r="H147" s="1" t="n">
        <v>-0.433972071028672</v>
      </c>
      <c r="K147" s="22"/>
      <c r="M147" s="23"/>
      <c r="P147" s="12" t="n">
        <v>6</v>
      </c>
      <c r="Q147" s="13" t="s">
        <v>48</v>
      </c>
      <c r="R147" s="13" t="n">
        <v>64.4</v>
      </c>
      <c r="S147" s="13" t="n">
        <v>22.9</v>
      </c>
      <c r="T147" s="13" t="n">
        <v>33.1</v>
      </c>
      <c r="U147" s="14" t="n">
        <v>51.9</v>
      </c>
      <c r="V147" s="14" t="n">
        <v>21.7</v>
      </c>
      <c r="W147" s="13" t="n">
        <v>5.91</v>
      </c>
    </row>
    <row r="148" customFormat="false" ht="12.8" hidden="false" customHeight="false" outlineLevel="0" collapsed="false">
      <c r="A148" s="1" t="n">
        <v>64.2</v>
      </c>
      <c r="B148" s="1" t="n">
        <v>20.8</v>
      </c>
      <c r="C148" s="1" t="n">
        <v>35.2</v>
      </c>
      <c r="D148" s="1" t="n">
        <v>43.8</v>
      </c>
      <c r="E148" s="1" t="n">
        <v>12.9</v>
      </c>
      <c r="F148" s="27" t="n">
        <v>5.71766479164297</v>
      </c>
      <c r="G148" s="27" t="n">
        <v>5.58</v>
      </c>
      <c r="H148" s="1" t="n">
        <v>-0.137664791642973</v>
      </c>
      <c r="K148" s="22"/>
      <c r="M148" s="23"/>
      <c r="P148" s="12" t="n">
        <v>6</v>
      </c>
      <c r="Q148" s="13" t="s">
        <v>49</v>
      </c>
      <c r="R148" s="13" t="n">
        <v>61.2</v>
      </c>
      <c r="S148" s="13" t="n">
        <v>31.9</v>
      </c>
      <c r="T148" s="13" t="n">
        <v>34.3</v>
      </c>
      <c r="U148" s="14" t="n">
        <v>50.5</v>
      </c>
      <c r="V148" s="14" t="n">
        <v>16.9</v>
      </c>
      <c r="W148" s="13" t="n">
        <v>6.72</v>
      </c>
    </row>
    <row r="149" customFormat="false" ht="12.8" hidden="false" customHeight="false" outlineLevel="0" collapsed="false">
      <c r="A149" s="1" t="n">
        <v>64.5</v>
      </c>
      <c r="B149" s="1" t="n">
        <v>21</v>
      </c>
      <c r="C149" s="1" t="n">
        <v>33.4</v>
      </c>
      <c r="D149" s="1" t="n">
        <v>50.5</v>
      </c>
      <c r="E149" s="1" t="n">
        <v>7.5</v>
      </c>
      <c r="F149" s="27" t="n">
        <v>5.63026725632017</v>
      </c>
      <c r="G149" s="27" t="n">
        <v>5.54</v>
      </c>
      <c r="H149" s="1" t="n">
        <v>-0.0902672563201659</v>
      </c>
      <c r="K149" s="22"/>
      <c r="M149" s="23"/>
      <c r="P149" s="12" t="n">
        <v>6</v>
      </c>
      <c r="Q149" s="13" t="s">
        <v>50</v>
      </c>
      <c r="R149" s="13" t="n">
        <v>77.3</v>
      </c>
      <c r="S149" s="13" t="n">
        <v>25.7</v>
      </c>
      <c r="T149" s="13" t="n">
        <v>34.4</v>
      </c>
      <c r="U149" s="14" t="n">
        <v>55.8</v>
      </c>
      <c r="V149" s="14" t="n">
        <v>30.8</v>
      </c>
      <c r="W149" s="13" t="n">
        <v>6.12</v>
      </c>
    </row>
    <row r="150" customFormat="false" ht="12.8" hidden="false" customHeight="false" outlineLevel="0" collapsed="false">
      <c r="A150" s="1" t="n">
        <v>61.4</v>
      </c>
      <c r="B150" s="1" t="n">
        <v>29.8</v>
      </c>
      <c r="C150" s="1" t="n">
        <v>35.2</v>
      </c>
      <c r="D150" s="1" t="n">
        <v>46.1</v>
      </c>
      <c r="E150" s="1" t="n">
        <v>8.9</v>
      </c>
      <c r="F150" s="27" t="n">
        <v>6.11550842284013</v>
      </c>
      <c r="G150" s="27" t="n">
        <v>5.27</v>
      </c>
      <c r="H150" s="1" t="n">
        <v>-0.845508422840128</v>
      </c>
      <c r="K150" s="22"/>
      <c r="M150" s="23"/>
      <c r="P150" s="12" t="n">
        <v>6</v>
      </c>
      <c r="Q150" s="13" t="s">
        <v>51</v>
      </c>
      <c r="R150" s="13" t="n">
        <v>58.2</v>
      </c>
      <c r="S150" s="13" t="n">
        <v>26.7</v>
      </c>
      <c r="T150" s="13" t="n">
        <v>34</v>
      </c>
      <c r="U150" s="13" t="n">
        <v>34.2</v>
      </c>
      <c r="V150" s="13" t="n">
        <v>83.3</v>
      </c>
      <c r="W150" s="13" t="n">
        <v>5.43</v>
      </c>
    </row>
    <row r="151" customFormat="false" ht="12.8" hidden="false" customHeight="false" outlineLevel="0" collapsed="false">
      <c r="A151" s="1" t="n">
        <v>63.4</v>
      </c>
      <c r="B151" s="1" t="n">
        <v>26</v>
      </c>
      <c r="C151" s="1" t="n">
        <v>36.1</v>
      </c>
      <c r="D151" s="1" t="n">
        <v>66.4</v>
      </c>
      <c r="E151" s="1" t="n">
        <v>17.7</v>
      </c>
      <c r="F151" s="27" t="n">
        <v>5.88766848745198</v>
      </c>
      <c r="G151" s="27" t="n">
        <v>5.38</v>
      </c>
      <c r="H151" s="1" t="n">
        <v>-0.507668487451979</v>
      </c>
      <c r="K151" s="22"/>
      <c r="M151" s="23"/>
      <c r="P151" s="12" t="n">
        <v>6</v>
      </c>
      <c r="Q151" s="13" t="s">
        <v>52</v>
      </c>
      <c r="R151" s="13" t="n">
        <v>55.5</v>
      </c>
      <c r="S151" s="13" t="n">
        <v>15</v>
      </c>
      <c r="T151" s="13" t="n">
        <v>33.3</v>
      </c>
      <c r="U151" s="13" t="n">
        <v>35.2</v>
      </c>
      <c r="V151" s="13" t="n">
        <v>80.8</v>
      </c>
      <c r="W151" s="13" t="n">
        <v>5.07</v>
      </c>
    </row>
    <row r="152" customFormat="false" ht="12.8" hidden="false" customHeight="false" outlineLevel="0" collapsed="false">
      <c r="A152" s="1" t="n">
        <v>56.5</v>
      </c>
      <c r="B152" s="1" t="n">
        <v>16.7</v>
      </c>
      <c r="C152" s="1" t="n">
        <v>35.5</v>
      </c>
      <c r="D152" s="1" t="n">
        <v>66.3</v>
      </c>
      <c r="E152" s="1" t="n">
        <v>29.3</v>
      </c>
      <c r="F152" s="27" t="n">
        <v>5.53722849507288</v>
      </c>
      <c r="G152" s="27" t="n">
        <v>5.13</v>
      </c>
      <c r="H152" s="1" t="n">
        <v>-0.407228495072877</v>
      </c>
      <c r="K152" s="22"/>
      <c r="M152" s="23"/>
      <c r="P152" s="12" t="n">
        <v>6</v>
      </c>
      <c r="Q152" s="13" t="s">
        <v>53</v>
      </c>
      <c r="R152" s="13" t="n">
        <v>61</v>
      </c>
      <c r="S152" s="13" t="n">
        <v>25.4</v>
      </c>
      <c r="T152" s="13" t="n">
        <v>34.4</v>
      </c>
      <c r="U152" s="13" t="n">
        <v>36.6</v>
      </c>
      <c r="V152" s="13" t="n">
        <v>81.4</v>
      </c>
      <c r="W152" s="13" t="n">
        <v>5.38</v>
      </c>
    </row>
    <row r="153" customFormat="false" ht="12.8" hidden="false" customHeight="false" outlineLevel="0" collapsed="false">
      <c r="A153" s="1" t="n">
        <v>53.1</v>
      </c>
      <c r="B153" s="1" t="n">
        <v>13.6</v>
      </c>
      <c r="C153" s="1" t="n">
        <v>34.7</v>
      </c>
      <c r="D153" s="1" t="n">
        <v>63.7</v>
      </c>
      <c r="E153" s="1" t="n">
        <v>21.1</v>
      </c>
      <c r="F153" s="27" t="n">
        <v>5.4282814655417</v>
      </c>
      <c r="G153" s="27" t="n">
        <v>4.92</v>
      </c>
      <c r="H153" s="1" t="n">
        <v>-0.5082814655417</v>
      </c>
      <c r="K153" s="22"/>
      <c r="M153" s="23"/>
      <c r="P153" s="12" t="n">
        <v>6</v>
      </c>
      <c r="Q153" s="13" t="s">
        <v>54</v>
      </c>
      <c r="R153" s="13" t="n">
        <v>55.2</v>
      </c>
      <c r="S153" s="13" t="n">
        <v>13.2</v>
      </c>
      <c r="T153" s="13" t="n">
        <v>33</v>
      </c>
      <c r="U153" s="13" t="n">
        <v>33.7</v>
      </c>
      <c r="V153" s="13" t="n">
        <v>82</v>
      </c>
      <c r="W153" s="13" t="n">
        <v>5.2</v>
      </c>
    </row>
    <row r="154" customFormat="false" ht="12.8" hidden="false" customHeight="false" outlineLevel="0" collapsed="false">
      <c r="A154" s="1" t="n">
        <v>60.4</v>
      </c>
      <c r="B154" s="1" t="n">
        <v>18.4</v>
      </c>
      <c r="C154" s="1" t="n">
        <v>33.8</v>
      </c>
      <c r="D154" s="1" t="n">
        <v>61.2</v>
      </c>
      <c r="E154" s="1" t="n">
        <v>19.6</v>
      </c>
      <c r="F154" s="27" t="n">
        <v>5.52831189766994</v>
      </c>
      <c r="G154" s="27" t="n">
        <v>5.26</v>
      </c>
      <c r="H154" s="1" t="n">
        <v>-0.268311897669935</v>
      </c>
      <c r="K154" s="22"/>
      <c r="M154" s="23"/>
      <c r="P154" s="12" t="n">
        <v>6</v>
      </c>
      <c r="Q154" s="13" t="s">
        <v>56</v>
      </c>
      <c r="R154" s="13" t="n">
        <v>49.8</v>
      </c>
      <c r="S154" s="13" t="n">
        <v>8.4</v>
      </c>
      <c r="T154" s="13" t="n">
        <v>33.7</v>
      </c>
      <c r="U154" s="13" t="n">
        <v>32.2</v>
      </c>
      <c r="V154" s="13" t="n">
        <v>81.6</v>
      </c>
      <c r="W154" s="13" t="n">
        <v>5.02</v>
      </c>
    </row>
    <row r="155" customFormat="false" ht="12.8" hidden="false" customHeight="false" outlineLevel="0" collapsed="false">
      <c r="A155" s="1" t="n">
        <v>62.2</v>
      </c>
      <c r="B155" s="1" t="n">
        <v>20.1</v>
      </c>
      <c r="C155" s="1" t="n">
        <v>34.9</v>
      </c>
      <c r="D155" s="1" t="n">
        <v>65.1</v>
      </c>
      <c r="E155" s="1" t="n">
        <v>18.9</v>
      </c>
      <c r="F155" s="27" t="n">
        <v>5.6103806025751</v>
      </c>
      <c r="G155" s="27" t="n">
        <v>5.32</v>
      </c>
      <c r="H155" s="1" t="n">
        <v>-0.290380602575099</v>
      </c>
      <c r="K155" s="22"/>
      <c r="M155" s="23"/>
      <c r="P155" s="12" t="n">
        <v>6</v>
      </c>
      <c r="Q155" s="13" t="s">
        <v>58</v>
      </c>
      <c r="R155" s="13" t="n">
        <v>46.9</v>
      </c>
      <c r="S155" s="13" t="n">
        <v>14.4</v>
      </c>
      <c r="T155" s="13" t="n">
        <v>34.2</v>
      </c>
      <c r="U155" s="13" t="n">
        <v>32.2</v>
      </c>
      <c r="V155" s="13" t="n">
        <v>81.7</v>
      </c>
      <c r="W155" s="13" t="n">
        <v>5.1</v>
      </c>
    </row>
    <row r="156" customFormat="false" ht="12.8" hidden="false" customHeight="false" outlineLevel="0" collapsed="false">
      <c r="A156" s="1" t="n">
        <v>58.6</v>
      </c>
      <c r="B156" s="1" t="n">
        <v>17.6</v>
      </c>
      <c r="C156" s="1" t="n">
        <v>36.1</v>
      </c>
      <c r="D156" s="1" t="n">
        <v>58.7</v>
      </c>
      <c r="E156" s="1" t="n">
        <v>22.5</v>
      </c>
      <c r="F156" s="27" t="n">
        <v>5.6122858504055</v>
      </c>
      <c r="G156" s="27" t="n">
        <v>5.36</v>
      </c>
      <c r="H156" s="1" t="n">
        <v>-0.252285850405499</v>
      </c>
      <c r="K156" s="22"/>
      <c r="M156" s="23"/>
      <c r="P156" s="12" t="n">
        <v>6</v>
      </c>
      <c r="Q156" s="13" t="s">
        <v>60</v>
      </c>
      <c r="R156" s="13" t="n">
        <v>53.1</v>
      </c>
      <c r="S156" s="13" t="n">
        <v>9.5</v>
      </c>
      <c r="T156" s="13" t="n">
        <v>35.2</v>
      </c>
      <c r="U156" s="13" t="n">
        <v>34.1</v>
      </c>
      <c r="V156" s="13" t="n">
        <v>80.4</v>
      </c>
      <c r="W156" s="13" t="n">
        <v>4.46</v>
      </c>
    </row>
    <row r="157" customFormat="false" ht="12.8" hidden="false" customHeight="false" outlineLevel="0" collapsed="false">
      <c r="A157" s="1" t="n">
        <v>46.8</v>
      </c>
      <c r="B157" s="1" t="n">
        <v>12.6</v>
      </c>
      <c r="C157" s="1" t="n">
        <v>35.5</v>
      </c>
      <c r="D157" s="1" t="n">
        <v>57</v>
      </c>
      <c r="E157" s="1" t="n">
        <v>27.4</v>
      </c>
      <c r="F157" s="27" t="n">
        <v>5.50290010007109</v>
      </c>
      <c r="G157" s="27" t="n">
        <v>5.39</v>
      </c>
      <c r="H157" s="1" t="n">
        <v>-0.112900100071093</v>
      </c>
      <c r="K157" s="22"/>
      <c r="M157" s="23"/>
      <c r="P157" s="12" t="n">
        <v>6</v>
      </c>
      <c r="Q157" s="13" t="s">
        <v>62</v>
      </c>
      <c r="R157" s="13" t="n">
        <v>48.2</v>
      </c>
      <c r="S157" s="13" t="n">
        <v>10.4</v>
      </c>
      <c r="T157" s="13" t="n">
        <v>34</v>
      </c>
      <c r="U157" s="13" t="n">
        <v>33.9</v>
      </c>
      <c r="V157" s="13" t="n">
        <v>80.9</v>
      </c>
      <c r="W157" s="13" t="n">
        <v>5</v>
      </c>
    </row>
    <row r="158" customFormat="false" ht="12.8" hidden="false" customHeight="false" outlineLevel="0" collapsed="false">
      <c r="A158" s="1" t="n">
        <v>54</v>
      </c>
      <c r="B158" s="1" t="n">
        <v>15.9</v>
      </c>
      <c r="C158" s="1" t="n">
        <v>34.7</v>
      </c>
      <c r="D158" s="1" t="n">
        <v>55.1</v>
      </c>
      <c r="E158" s="1" t="n">
        <v>14.7</v>
      </c>
      <c r="F158" s="27" t="n">
        <v>5.55330886365514</v>
      </c>
      <c r="G158" s="27" t="n">
        <v>5.56</v>
      </c>
      <c r="H158" s="1" t="n">
        <v>0.0066911363448563</v>
      </c>
      <c r="K158" s="22"/>
      <c r="M158" s="23"/>
      <c r="P158" s="12" t="n">
        <v>6</v>
      </c>
      <c r="Q158" s="13" t="s">
        <v>64</v>
      </c>
      <c r="R158" s="13" t="n">
        <v>69.9</v>
      </c>
      <c r="S158" s="13" t="n">
        <v>22</v>
      </c>
      <c r="T158" s="13" t="n">
        <v>33.5</v>
      </c>
      <c r="U158" s="13" t="n">
        <v>38.6</v>
      </c>
      <c r="V158" s="13" t="n">
        <v>82.9</v>
      </c>
      <c r="W158" s="13" t="n">
        <v>5.32</v>
      </c>
    </row>
    <row r="159" customFormat="false" ht="12.8" hidden="false" customHeight="false" outlineLevel="0" collapsed="false">
      <c r="A159" s="1" t="n">
        <v>54.7</v>
      </c>
      <c r="B159" s="1" t="n">
        <v>21.4</v>
      </c>
      <c r="C159" s="1" t="n">
        <v>37.2</v>
      </c>
      <c r="D159" s="1" t="n">
        <v>50.3</v>
      </c>
      <c r="E159" s="1" t="n">
        <v>11.8</v>
      </c>
      <c r="F159" s="27" t="n">
        <v>5.89581344518878</v>
      </c>
      <c r="G159" s="27" t="n">
        <v>6</v>
      </c>
      <c r="H159" s="1" t="n">
        <v>0.104186554811225</v>
      </c>
      <c r="K159" s="22"/>
      <c r="M159" s="23"/>
      <c r="P159" s="12" t="n">
        <v>6</v>
      </c>
      <c r="Q159" s="13" t="s">
        <v>66</v>
      </c>
      <c r="R159" s="13" t="n">
        <v>71.8</v>
      </c>
      <c r="S159" s="13" t="n">
        <v>31.9</v>
      </c>
      <c r="T159" s="13" t="n">
        <v>33.5</v>
      </c>
      <c r="U159" s="13" t="n">
        <v>39.4</v>
      </c>
      <c r="V159" s="13" t="n">
        <v>81.9</v>
      </c>
      <c r="W159" s="13" t="n">
        <v>4.95</v>
      </c>
    </row>
    <row r="160" customFormat="false" ht="12.8" hidden="false" customHeight="false" outlineLevel="0" collapsed="false">
      <c r="A160" s="1" t="n">
        <v>53.8</v>
      </c>
      <c r="B160" s="1" t="n">
        <v>17.9</v>
      </c>
      <c r="C160" s="1" t="n">
        <v>36</v>
      </c>
      <c r="D160" s="1" t="n">
        <v>58.1</v>
      </c>
      <c r="E160" s="1" t="n">
        <v>15.2</v>
      </c>
      <c r="F160" s="27" t="n">
        <v>5.67863628153707</v>
      </c>
      <c r="G160" s="27" t="n">
        <v>6.03</v>
      </c>
      <c r="H160" s="1" t="n">
        <v>0.351363718462927</v>
      </c>
      <c r="K160" s="22"/>
      <c r="M160" s="23"/>
      <c r="P160" s="12" t="n">
        <v>6</v>
      </c>
      <c r="Q160" s="13" t="s">
        <v>67</v>
      </c>
      <c r="R160" s="13" t="n">
        <v>66.6</v>
      </c>
      <c r="S160" s="13" t="n">
        <v>23.7</v>
      </c>
      <c r="T160" s="13" t="n">
        <v>33.9</v>
      </c>
      <c r="U160" s="13" t="n">
        <v>36</v>
      </c>
      <c r="V160" s="13" t="n">
        <v>81</v>
      </c>
      <c r="W160" s="13" t="n">
        <v>5.19</v>
      </c>
    </row>
    <row r="161" customFormat="false" ht="12.8" hidden="false" customHeight="false" outlineLevel="0" collapsed="false">
      <c r="A161" s="1" t="n">
        <v>55.5</v>
      </c>
      <c r="B161" s="1" t="n">
        <v>20.4</v>
      </c>
      <c r="C161" s="1" t="n">
        <v>35</v>
      </c>
      <c r="D161" s="1" t="n">
        <v>57.8</v>
      </c>
      <c r="E161" s="1" t="n">
        <v>23.5</v>
      </c>
      <c r="F161" s="27" t="n">
        <v>5.71899967501227</v>
      </c>
      <c r="G161" s="27" t="n">
        <v>6.04</v>
      </c>
      <c r="H161" s="1" t="n">
        <v>0.321000324987732</v>
      </c>
      <c r="K161" s="22"/>
      <c r="M161" s="23"/>
      <c r="P161" s="12" t="n">
        <v>6</v>
      </c>
      <c r="Q161" s="13" t="s">
        <v>69</v>
      </c>
      <c r="R161" s="13" t="n">
        <v>65.4</v>
      </c>
      <c r="S161" s="13" t="n">
        <v>21.9</v>
      </c>
      <c r="T161" s="13" t="n">
        <v>34.2</v>
      </c>
      <c r="U161" s="13" t="n">
        <v>35.7</v>
      </c>
      <c r="V161" s="13" t="n">
        <v>79.9</v>
      </c>
      <c r="W161" s="13" t="n">
        <v>5.47</v>
      </c>
    </row>
    <row r="162" customFormat="false" ht="12.8" hidden="false" customHeight="false" outlineLevel="0" collapsed="false">
      <c r="A162" s="1" t="n">
        <v>66.8</v>
      </c>
      <c r="B162" s="1" t="n">
        <v>23.5</v>
      </c>
      <c r="C162" s="1" t="n">
        <v>34.4</v>
      </c>
      <c r="D162" s="1" t="n">
        <v>55.6</v>
      </c>
      <c r="E162" s="1" t="n">
        <v>15.6</v>
      </c>
      <c r="F162" s="27" t="n">
        <v>5.72404077537128</v>
      </c>
      <c r="G162" s="27" t="n">
        <v>6.36</v>
      </c>
      <c r="H162" s="1" t="n">
        <v>0.635959224628717</v>
      </c>
      <c r="K162" s="22"/>
      <c r="M162" s="23"/>
      <c r="P162" s="12" t="n">
        <v>6</v>
      </c>
      <c r="Q162" s="13" t="s">
        <v>75</v>
      </c>
      <c r="R162" s="13" t="n">
        <v>67.8</v>
      </c>
      <c r="S162" s="13" t="n">
        <v>18.7</v>
      </c>
      <c r="T162" s="13" t="n">
        <v>33.3</v>
      </c>
      <c r="U162" s="13" t="n">
        <v>31.8</v>
      </c>
      <c r="V162" s="13" t="n">
        <v>80.8</v>
      </c>
      <c r="W162" s="13" t="n">
        <v>5.46</v>
      </c>
    </row>
    <row r="163" customFormat="false" ht="12.8" hidden="false" customHeight="false" outlineLevel="0" collapsed="false">
      <c r="A163" s="1" t="n">
        <v>57.9</v>
      </c>
      <c r="B163" s="1" t="n">
        <v>35.2</v>
      </c>
      <c r="C163" s="1" t="n">
        <v>33.4</v>
      </c>
      <c r="D163" s="1" t="n">
        <v>45.2</v>
      </c>
      <c r="E163" s="1" t="n">
        <v>12.5</v>
      </c>
      <c r="F163" s="27" t="n">
        <v>6.3041594748095</v>
      </c>
      <c r="G163" s="27" t="n">
        <v>5.65</v>
      </c>
      <c r="H163" s="1" t="n">
        <v>-0.654159474809495</v>
      </c>
      <c r="K163" s="22"/>
      <c r="M163" s="23"/>
      <c r="P163" s="12" t="n">
        <v>6</v>
      </c>
      <c r="Q163" s="13" t="s">
        <v>76</v>
      </c>
      <c r="R163" s="13" t="n">
        <v>64</v>
      </c>
      <c r="S163" s="13" t="n">
        <v>29.4</v>
      </c>
      <c r="T163" s="13" t="n">
        <v>34.6</v>
      </c>
      <c r="U163" s="13" t="n">
        <v>36.3</v>
      </c>
      <c r="V163" s="13" t="n">
        <v>82.6</v>
      </c>
      <c r="W163" s="13" t="n">
        <v>5.27</v>
      </c>
    </row>
    <row r="164" customFormat="false" ht="12.8" hidden="false" customHeight="false" outlineLevel="0" collapsed="false">
      <c r="A164" s="1" t="n">
        <v>56.2</v>
      </c>
      <c r="B164" s="1" t="n">
        <v>18</v>
      </c>
      <c r="C164" s="1" t="n">
        <v>34.5</v>
      </c>
      <c r="D164" s="1" t="n">
        <v>50.9</v>
      </c>
      <c r="E164" s="1" t="n">
        <v>14.3</v>
      </c>
      <c r="F164" s="27" t="n">
        <v>5.62658128722251</v>
      </c>
      <c r="G164" s="27" t="n">
        <v>5.5</v>
      </c>
      <c r="H164" s="1" t="n">
        <v>-0.126581287222514</v>
      </c>
      <c r="K164" s="22"/>
      <c r="M164" s="23"/>
      <c r="P164" s="12" t="n">
        <v>6</v>
      </c>
      <c r="Q164" s="13" t="s">
        <v>78</v>
      </c>
      <c r="R164" s="13" t="n">
        <v>64.8</v>
      </c>
      <c r="S164" s="13" t="n">
        <v>25.5</v>
      </c>
      <c r="T164" s="13" t="n">
        <v>34.9</v>
      </c>
      <c r="U164" s="13" t="n">
        <v>35.9</v>
      </c>
      <c r="V164" s="13" t="n">
        <v>80.4</v>
      </c>
      <c r="W164" s="13" t="n">
        <v>5.39</v>
      </c>
    </row>
    <row r="165" customFormat="false" ht="12.8" hidden="false" customHeight="false" outlineLevel="0" collapsed="false">
      <c r="A165" s="1" t="n">
        <v>55.2</v>
      </c>
      <c r="B165" s="1" t="n">
        <v>19.5</v>
      </c>
      <c r="C165" s="1" t="n">
        <v>33.6</v>
      </c>
      <c r="D165" s="1" t="n">
        <v>49.6</v>
      </c>
      <c r="E165" s="1" t="n">
        <v>23.5</v>
      </c>
      <c r="F165" s="27" t="n">
        <v>5.65992298523366</v>
      </c>
      <c r="G165" s="27" t="n">
        <v>5.87</v>
      </c>
      <c r="H165" s="1" t="n">
        <v>0.210077014766338</v>
      </c>
      <c r="K165" s="22"/>
      <c r="M165" s="23"/>
      <c r="P165" s="12" t="n">
        <v>6</v>
      </c>
      <c r="Q165" s="13" t="s">
        <v>80</v>
      </c>
      <c r="R165" s="13" t="n">
        <v>59.4</v>
      </c>
      <c r="S165" s="13" t="n">
        <v>16.7</v>
      </c>
      <c r="T165" s="13" t="n">
        <v>34.7</v>
      </c>
      <c r="U165" s="13" t="n">
        <v>35.3</v>
      </c>
      <c r="V165" s="13" t="n">
        <v>82.1</v>
      </c>
      <c r="W165" s="13" t="n">
        <v>5.07</v>
      </c>
    </row>
    <row r="166" customFormat="false" ht="12.8" hidden="false" customHeight="false" outlineLevel="0" collapsed="false">
      <c r="A166" s="1" t="n">
        <v>54.4</v>
      </c>
      <c r="B166" s="1" t="n">
        <v>27.3</v>
      </c>
      <c r="C166" s="1" t="n">
        <v>36</v>
      </c>
      <c r="D166" s="1" t="n">
        <v>49.4</v>
      </c>
      <c r="E166" s="1" t="n">
        <v>19.6</v>
      </c>
      <c r="F166" s="27" t="n">
        <v>6.09279577717427</v>
      </c>
      <c r="G166" s="27" t="n">
        <v>6.16</v>
      </c>
      <c r="H166" s="1" t="n">
        <v>0.0672042228257341</v>
      </c>
      <c r="K166" s="22"/>
      <c r="M166" s="23"/>
      <c r="P166" s="12" t="n">
        <v>6</v>
      </c>
      <c r="Q166" s="13" t="s">
        <v>81</v>
      </c>
      <c r="R166" s="13" t="n">
        <v>55.8</v>
      </c>
      <c r="S166" s="13" t="n">
        <v>14.5</v>
      </c>
      <c r="T166" s="13" t="n">
        <v>33.4</v>
      </c>
      <c r="U166" s="13" t="n">
        <v>35.8</v>
      </c>
      <c r="V166" s="13" t="n">
        <v>80.6</v>
      </c>
      <c r="W166" s="13" t="n">
        <v>4.92</v>
      </c>
    </row>
    <row r="167" customFormat="false" ht="12.8" hidden="false" customHeight="false" outlineLevel="0" collapsed="false">
      <c r="A167" s="1" t="n">
        <v>54.7</v>
      </c>
      <c r="B167" s="1" t="n">
        <v>35.9</v>
      </c>
      <c r="C167" s="1" t="n">
        <v>35.6</v>
      </c>
      <c r="D167" s="1" t="n">
        <v>53.1</v>
      </c>
      <c r="E167" s="1" t="n">
        <v>16.1</v>
      </c>
      <c r="F167" s="27" t="n">
        <v>6.42055790139258</v>
      </c>
      <c r="G167" s="27" t="n">
        <v>6.16</v>
      </c>
      <c r="H167" s="1" t="n">
        <v>-0.260557901392581</v>
      </c>
      <c r="K167" s="22"/>
      <c r="M167" s="23"/>
      <c r="P167" s="12" t="n">
        <v>6</v>
      </c>
      <c r="Q167" s="13" t="s">
        <v>83</v>
      </c>
      <c r="R167" s="13" t="n">
        <v>64.4</v>
      </c>
      <c r="S167" s="13" t="n">
        <v>15.4</v>
      </c>
      <c r="T167" s="13" t="n">
        <v>34</v>
      </c>
      <c r="U167" s="13" t="n">
        <v>35.1</v>
      </c>
      <c r="V167" s="13" t="n">
        <v>80.2</v>
      </c>
      <c r="W167" s="13" t="n">
        <v>5.22</v>
      </c>
    </row>
    <row r="168" customFormat="false" ht="12.8" hidden="false" customHeight="false" outlineLevel="0" collapsed="false">
      <c r="A168" s="1" t="n">
        <v>59.2</v>
      </c>
      <c r="B168" s="1" t="n">
        <v>18.9</v>
      </c>
      <c r="C168" s="1" t="n">
        <v>34.3</v>
      </c>
      <c r="D168" s="1" t="n">
        <v>65.3</v>
      </c>
      <c r="E168" s="1" t="n">
        <v>25.8</v>
      </c>
      <c r="F168" s="27" t="n">
        <v>5.56016065016356</v>
      </c>
      <c r="G168" s="27" t="n">
        <v>5.97</v>
      </c>
      <c r="H168" s="1" t="n">
        <v>0.409839349836438</v>
      </c>
      <c r="K168" s="22"/>
      <c r="M168" s="23"/>
      <c r="P168" s="12" t="n">
        <v>6</v>
      </c>
      <c r="Q168" s="13" t="s">
        <v>84</v>
      </c>
      <c r="R168" s="13" t="n">
        <v>61.9</v>
      </c>
      <c r="S168" s="13" t="n">
        <v>20.2</v>
      </c>
      <c r="T168" s="13" t="n">
        <v>34.5</v>
      </c>
      <c r="U168" s="13" t="n">
        <v>33.5</v>
      </c>
      <c r="V168" s="13" t="n">
        <v>81.9</v>
      </c>
      <c r="W168" s="13" t="n">
        <v>5.28</v>
      </c>
    </row>
    <row r="169" customFormat="false" ht="12.8" hidden="false" customHeight="false" outlineLevel="0" collapsed="false">
      <c r="A169" s="1" t="n">
        <v>61.5</v>
      </c>
      <c r="B169" s="1" t="n">
        <v>16.5</v>
      </c>
      <c r="C169" s="1" t="n">
        <v>31.8</v>
      </c>
      <c r="D169" s="1" t="n">
        <v>56.8</v>
      </c>
      <c r="E169" s="1" t="n">
        <v>31.6</v>
      </c>
      <c r="F169" s="27" t="n">
        <v>5.36409014996017</v>
      </c>
      <c r="G169" s="27" t="n">
        <v>6.04</v>
      </c>
      <c r="H169" s="1" t="n">
        <v>0.675909850039827</v>
      </c>
      <c r="K169" s="22"/>
      <c r="M169" s="23"/>
      <c r="P169" s="12" t="n">
        <v>6</v>
      </c>
      <c r="Q169" s="13" t="s">
        <v>88</v>
      </c>
      <c r="R169" s="13" t="n">
        <v>60.9</v>
      </c>
      <c r="S169" s="13" t="n">
        <v>17.1</v>
      </c>
      <c r="T169" s="13" t="n">
        <v>35.5</v>
      </c>
      <c r="U169" s="13" t="n">
        <v>32.2</v>
      </c>
      <c r="V169" s="13" t="n">
        <v>78</v>
      </c>
      <c r="W169" s="13" t="n">
        <v>5.28</v>
      </c>
    </row>
    <row r="170" customFormat="false" ht="12.8" hidden="false" customHeight="false" outlineLevel="0" collapsed="false">
      <c r="A170" s="1" t="n">
        <v>52.3</v>
      </c>
      <c r="B170" s="1" t="n">
        <v>14</v>
      </c>
      <c r="C170" s="1" t="n">
        <v>34.5</v>
      </c>
      <c r="D170" s="1" t="n">
        <v>54.7</v>
      </c>
      <c r="E170" s="1" t="n">
        <v>19.7</v>
      </c>
      <c r="F170" s="27" t="n">
        <v>5.48067114772376</v>
      </c>
      <c r="G170" s="27" t="n">
        <v>5.99</v>
      </c>
      <c r="H170" s="1" t="n">
        <v>0.509328852276243</v>
      </c>
      <c r="K170" s="22"/>
      <c r="M170" s="23"/>
      <c r="P170" s="12" t="n">
        <v>6</v>
      </c>
      <c r="Q170" s="13" t="s">
        <v>89</v>
      </c>
      <c r="R170" s="13" t="n">
        <v>49.8</v>
      </c>
      <c r="S170" s="13" t="n">
        <v>12.8</v>
      </c>
      <c r="T170" s="13" t="n">
        <v>35</v>
      </c>
      <c r="U170" s="13" t="n">
        <v>33.8</v>
      </c>
      <c r="V170" s="13" t="n">
        <v>78.5</v>
      </c>
      <c r="W170" s="13" t="n">
        <v>5.32</v>
      </c>
    </row>
    <row r="171" customFormat="false" ht="12.8" hidden="false" customHeight="false" outlineLevel="0" collapsed="false">
      <c r="A171" s="1" t="n">
        <v>55.6</v>
      </c>
      <c r="B171" s="1" t="n">
        <v>18</v>
      </c>
      <c r="C171" s="1" t="n">
        <v>35.1</v>
      </c>
      <c r="D171" s="1" t="n">
        <v>51.2</v>
      </c>
      <c r="E171" s="1" t="n">
        <v>18.8</v>
      </c>
      <c r="F171" s="27" t="n">
        <v>5.65151211778766</v>
      </c>
      <c r="G171" s="27" t="n">
        <v>7.07</v>
      </c>
      <c r="H171" s="1" t="n">
        <v>1.41848788221234</v>
      </c>
      <c r="K171" s="22"/>
      <c r="M171" s="23"/>
      <c r="P171" s="12" t="n">
        <v>6</v>
      </c>
      <c r="Q171" s="13" t="s">
        <v>90</v>
      </c>
      <c r="R171" s="13" t="n">
        <v>56.6</v>
      </c>
      <c r="S171" s="13" t="n">
        <v>15.2</v>
      </c>
      <c r="T171" s="13" t="n">
        <v>34.5</v>
      </c>
      <c r="U171" s="13" t="n">
        <v>33.6</v>
      </c>
      <c r="V171" s="13" t="n">
        <v>80.5</v>
      </c>
      <c r="W171" s="13" t="n">
        <v>5.52</v>
      </c>
    </row>
    <row r="172" customFormat="false" ht="12.8" hidden="false" customHeight="false" outlineLevel="0" collapsed="false">
      <c r="A172" s="1" t="n">
        <v>55.8</v>
      </c>
      <c r="B172" s="1" t="n">
        <v>28.1</v>
      </c>
      <c r="C172" s="1" t="n">
        <v>34.4</v>
      </c>
      <c r="D172" s="1" t="n">
        <v>54.7</v>
      </c>
      <c r="E172" s="1" t="n">
        <v>24.2</v>
      </c>
      <c r="F172" s="27" t="n">
        <v>6.02348282329103</v>
      </c>
      <c r="G172" s="27" t="n">
        <v>6.71</v>
      </c>
      <c r="H172" s="1" t="n">
        <v>0.686517176708966</v>
      </c>
      <c r="K172" s="22"/>
      <c r="M172" s="23"/>
      <c r="P172" s="12" t="n">
        <v>6</v>
      </c>
      <c r="Q172" s="13" t="s">
        <v>91</v>
      </c>
      <c r="R172" s="13" t="n">
        <v>56.8</v>
      </c>
      <c r="S172" s="13" t="n">
        <v>22.6</v>
      </c>
      <c r="T172" s="13" t="n">
        <v>36.7</v>
      </c>
      <c r="U172" s="13" t="n">
        <v>35.9</v>
      </c>
      <c r="V172" s="13" t="n">
        <v>76.6</v>
      </c>
      <c r="W172" s="13" t="n">
        <v>5.88</v>
      </c>
    </row>
    <row r="173" customFormat="false" ht="12.8" hidden="false" customHeight="false" outlineLevel="0" collapsed="false">
      <c r="A173" s="1" t="n">
        <v>62</v>
      </c>
      <c r="B173" s="1" t="n">
        <v>31.1</v>
      </c>
      <c r="C173" s="1" t="n">
        <v>35</v>
      </c>
      <c r="D173" s="1" t="n">
        <v>52.3</v>
      </c>
      <c r="E173" s="1" t="n">
        <v>36.1</v>
      </c>
      <c r="F173" s="27" t="n">
        <v>6.10741879739579</v>
      </c>
      <c r="G173" s="27" t="n">
        <v>6.46</v>
      </c>
      <c r="H173" s="1" t="n">
        <v>0.352581202604213</v>
      </c>
      <c r="K173" s="22"/>
      <c r="M173" s="23"/>
      <c r="P173" s="12" t="n">
        <v>6</v>
      </c>
      <c r="Q173" s="13" t="s">
        <v>92</v>
      </c>
      <c r="R173" s="13" t="n">
        <v>56.3</v>
      </c>
      <c r="S173" s="13" t="n">
        <v>15.3</v>
      </c>
      <c r="T173" s="13" t="n">
        <v>34.7</v>
      </c>
      <c r="U173" s="13" t="n">
        <v>34.6</v>
      </c>
      <c r="V173" s="13" t="n">
        <v>77.4</v>
      </c>
      <c r="W173" s="13" t="n">
        <v>6.06</v>
      </c>
    </row>
    <row r="174" customFormat="false" ht="12.8" hidden="false" customHeight="false" outlineLevel="0" collapsed="false">
      <c r="A174" s="1" t="n">
        <v>64.9</v>
      </c>
      <c r="B174" s="1" t="n">
        <v>29.1</v>
      </c>
      <c r="C174" s="1" t="n">
        <v>35.1</v>
      </c>
      <c r="D174" s="1" t="n">
        <v>58.3</v>
      </c>
      <c r="E174" s="1" t="n">
        <v>22.1</v>
      </c>
      <c r="F174" s="27" t="n">
        <v>5.9882765621633</v>
      </c>
      <c r="G174" s="27" t="n">
        <v>6.54</v>
      </c>
      <c r="H174" s="1" t="n">
        <v>0.551723437836704</v>
      </c>
      <c r="K174" s="22"/>
      <c r="M174" s="23"/>
      <c r="P174" s="12" t="n">
        <v>6</v>
      </c>
      <c r="Q174" s="13" t="s">
        <v>93</v>
      </c>
      <c r="R174" s="13" t="n">
        <v>57.1</v>
      </c>
      <c r="S174" s="13" t="n">
        <v>21.9</v>
      </c>
      <c r="T174" s="13" t="n">
        <v>33.7</v>
      </c>
      <c r="U174" s="13" t="n">
        <v>33.5</v>
      </c>
      <c r="V174" s="13" t="n">
        <v>82.8</v>
      </c>
      <c r="W174" s="13" t="n">
        <v>6.09</v>
      </c>
    </row>
    <row r="175" customFormat="false" ht="12.8" hidden="false" customHeight="false" outlineLevel="0" collapsed="false">
      <c r="A175" s="1" t="n">
        <v>55.9</v>
      </c>
      <c r="B175" s="1" t="n">
        <v>15.7</v>
      </c>
      <c r="C175" s="1" t="n">
        <v>34.9</v>
      </c>
      <c r="D175" s="1" t="n">
        <v>61.2</v>
      </c>
      <c r="E175" s="1" t="n">
        <v>17.7</v>
      </c>
      <c r="F175" s="27" t="n">
        <v>5.50762550300715</v>
      </c>
      <c r="G175" s="27" t="n">
        <v>6.24</v>
      </c>
      <c r="H175" s="1" t="n">
        <v>0.732374496992852</v>
      </c>
      <c r="K175" s="22"/>
      <c r="M175" s="23"/>
      <c r="P175" s="12" t="n">
        <v>6</v>
      </c>
      <c r="Q175" s="13" t="s">
        <v>94</v>
      </c>
      <c r="R175" s="13" t="n">
        <v>70.8</v>
      </c>
      <c r="S175" s="13" t="n">
        <v>19.6</v>
      </c>
      <c r="T175" s="13" t="n">
        <v>34.5</v>
      </c>
      <c r="U175" s="13" t="n">
        <v>37.9</v>
      </c>
      <c r="V175" s="13" t="n">
        <v>84.3</v>
      </c>
      <c r="W175" s="13" t="n">
        <v>6.24</v>
      </c>
    </row>
    <row r="176" customFormat="false" ht="12.8" hidden="false" customHeight="false" outlineLevel="0" collapsed="false">
      <c r="A176" s="1" t="n">
        <v>49</v>
      </c>
      <c r="B176" s="1" t="n">
        <v>16</v>
      </c>
      <c r="C176" s="1" t="n">
        <v>34.6</v>
      </c>
      <c r="D176" s="1" t="n">
        <v>51.5</v>
      </c>
      <c r="E176" s="1" t="n">
        <v>17.3</v>
      </c>
      <c r="F176" s="27" t="n">
        <v>5.61593568053883</v>
      </c>
      <c r="G176" s="27" t="n">
        <v>6.7</v>
      </c>
      <c r="H176" s="1" t="n">
        <v>1.08406431946117</v>
      </c>
      <c r="K176" s="22"/>
      <c r="M176" s="23"/>
      <c r="P176" s="12" t="n">
        <v>6</v>
      </c>
      <c r="Q176" s="13" t="s">
        <v>95</v>
      </c>
      <c r="R176" s="13" t="n">
        <v>63.7</v>
      </c>
      <c r="S176" s="13" t="n">
        <v>33.1</v>
      </c>
      <c r="T176" s="13" t="n">
        <v>32.3</v>
      </c>
      <c r="U176" s="13" t="n">
        <v>37.1</v>
      </c>
      <c r="V176" s="13" t="n">
        <v>80</v>
      </c>
      <c r="W176" s="13" t="n">
        <v>5.66</v>
      </c>
    </row>
    <row r="177" customFormat="false" ht="12.8" hidden="false" customHeight="false" outlineLevel="0" collapsed="false">
      <c r="A177" s="1" t="n">
        <v>57.8</v>
      </c>
      <c r="B177" s="1" t="n">
        <v>28.9</v>
      </c>
      <c r="C177" s="1" t="n">
        <v>34.4</v>
      </c>
      <c r="D177" s="1" t="n">
        <v>53.4</v>
      </c>
      <c r="E177" s="1" t="n">
        <v>19.9</v>
      </c>
      <c r="F177" s="27" t="n">
        <v>6.04515217999473</v>
      </c>
      <c r="G177" s="27" t="n">
        <v>6.59</v>
      </c>
      <c r="H177" s="1" t="n">
        <v>0.544847820005269</v>
      </c>
      <c r="K177" s="22"/>
      <c r="M177" s="23"/>
      <c r="P177" s="12" t="n">
        <v>6</v>
      </c>
      <c r="Q177" s="13" t="s">
        <v>97</v>
      </c>
      <c r="R177" s="13" t="n">
        <v>57.3</v>
      </c>
      <c r="S177" s="13" t="n">
        <v>18.6</v>
      </c>
      <c r="T177" s="13" t="n">
        <v>33.3</v>
      </c>
      <c r="U177" s="13" t="n">
        <v>37.4</v>
      </c>
      <c r="V177" s="13" t="n">
        <v>79.8</v>
      </c>
      <c r="W177" s="13" t="n">
        <v>5.41</v>
      </c>
    </row>
    <row r="178" customFormat="false" ht="12.8" hidden="false" customHeight="false" outlineLevel="0" collapsed="false">
      <c r="A178" s="1" t="n">
        <v>49.1</v>
      </c>
      <c r="B178" s="1" t="n">
        <v>11.7</v>
      </c>
      <c r="C178" s="1" t="n">
        <v>32.7</v>
      </c>
      <c r="D178" s="1" t="n">
        <v>55.3</v>
      </c>
      <c r="E178" s="1" t="n">
        <v>22.5</v>
      </c>
      <c r="F178" s="27" t="n">
        <v>5.34091626946662</v>
      </c>
      <c r="G178" s="27" t="n">
        <v>6.21</v>
      </c>
      <c r="H178" s="1" t="n">
        <v>0.869083730533378</v>
      </c>
      <c r="K178" s="22"/>
      <c r="M178" s="23"/>
      <c r="P178" s="12" t="n">
        <v>6</v>
      </c>
      <c r="Q178" s="13" t="s">
        <v>98</v>
      </c>
      <c r="R178" s="13" t="n">
        <v>57</v>
      </c>
      <c r="S178" s="13" t="n">
        <v>18.2</v>
      </c>
      <c r="T178" s="13" t="n">
        <v>35.3</v>
      </c>
      <c r="U178" s="13" t="n">
        <v>33.6</v>
      </c>
      <c r="V178" s="13" t="n">
        <v>82.7</v>
      </c>
      <c r="W178" s="13" t="n">
        <v>5.83</v>
      </c>
    </row>
    <row r="179" customFormat="false" ht="12.8" hidden="false" customHeight="false" outlineLevel="0" collapsed="false">
      <c r="A179" s="1" t="n">
        <v>61.1</v>
      </c>
      <c r="B179" s="1" t="n">
        <v>22.2</v>
      </c>
      <c r="C179" s="1" t="n">
        <v>32.2</v>
      </c>
      <c r="D179" s="1" t="n">
        <v>58.5</v>
      </c>
      <c r="E179" s="1" t="n">
        <v>30.1</v>
      </c>
      <c r="F179" s="27" t="n">
        <v>5.61616486883681</v>
      </c>
      <c r="G179" s="27" t="n">
        <v>6.35</v>
      </c>
      <c r="H179" s="1" t="n">
        <v>0.733835131163186</v>
      </c>
      <c r="K179" s="22"/>
      <c r="M179" s="23"/>
      <c r="P179" s="12" t="n">
        <v>6</v>
      </c>
      <c r="Q179" s="13" t="s">
        <v>99</v>
      </c>
      <c r="R179" s="13" t="n">
        <v>55.1</v>
      </c>
      <c r="S179" s="13" t="n">
        <v>24.8</v>
      </c>
      <c r="T179" s="13" t="n">
        <v>35.3</v>
      </c>
      <c r="U179" s="13" t="n">
        <v>32.8</v>
      </c>
      <c r="V179" s="13" t="n">
        <v>74.5</v>
      </c>
      <c r="W179" s="13" t="n">
        <v>6.2</v>
      </c>
    </row>
    <row r="180" customFormat="false" ht="12.8" hidden="false" customHeight="false" outlineLevel="0" collapsed="false">
      <c r="A180" s="1" t="n">
        <v>62.5</v>
      </c>
      <c r="B180" s="1" t="n">
        <v>21.7</v>
      </c>
      <c r="C180" s="1" t="n">
        <v>33.5</v>
      </c>
      <c r="D180" s="1" t="n">
        <v>63.8</v>
      </c>
      <c r="E180" s="1" t="n">
        <v>26.5</v>
      </c>
      <c r="F180" s="27" t="n">
        <v>5.61605283559719</v>
      </c>
      <c r="G180" s="27" t="n">
        <v>5.99</v>
      </c>
      <c r="H180" s="1" t="n">
        <v>0.373947164402808</v>
      </c>
      <c r="K180" s="22"/>
      <c r="M180" s="23"/>
      <c r="P180" s="12" t="n">
        <v>6</v>
      </c>
      <c r="Q180" s="13" t="s">
        <v>100</v>
      </c>
      <c r="R180" s="13" t="n">
        <v>54.1</v>
      </c>
      <c r="S180" s="13" t="n">
        <v>33.7</v>
      </c>
      <c r="T180" s="13" t="n">
        <v>34.2</v>
      </c>
      <c r="U180" s="13" t="n">
        <v>35.5</v>
      </c>
      <c r="V180" s="13" t="n">
        <v>78.3</v>
      </c>
      <c r="W180" s="13" t="n">
        <v>5.99</v>
      </c>
    </row>
    <row r="181" customFormat="false" ht="12.8" hidden="false" customHeight="false" outlineLevel="0" collapsed="false">
      <c r="A181" s="1" t="n">
        <v>64.4</v>
      </c>
      <c r="B181" s="1" t="n">
        <v>22.9</v>
      </c>
      <c r="C181" s="1" t="n">
        <v>33.1</v>
      </c>
      <c r="D181" s="1" t="n">
        <v>51.9</v>
      </c>
      <c r="E181" s="1" t="n">
        <v>21.7</v>
      </c>
      <c r="F181" s="27" t="n">
        <v>5.68025996797079</v>
      </c>
      <c r="G181" s="27" t="n">
        <v>5.91</v>
      </c>
      <c r="H181" s="1" t="n">
        <v>0.229740032029215</v>
      </c>
      <c r="K181" s="22"/>
      <c r="M181" s="23"/>
      <c r="P181" s="12" t="n">
        <v>6</v>
      </c>
      <c r="Q181" s="13" t="s">
        <v>101</v>
      </c>
      <c r="R181" s="13" t="n">
        <v>61.4</v>
      </c>
      <c r="S181" s="13" t="n">
        <v>18.3</v>
      </c>
      <c r="T181" s="13" t="n">
        <v>33.3</v>
      </c>
      <c r="U181" s="13" t="n">
        <v>35.3</v>
      </c>
      <c r="V181" s="13" t="n">
        <v>79</v>
      </c>
      <c r="W181" s="13" t="n">
        <v>5.95</v>
      </c>
    </row>
    <row r="182" customFormat="false" ht="12.8" hidden="false" customHeight="false" outlineLevel="0" collapsed="false">
      <c r="A182" s="1" t="n">
        <v>61.2</v>
      </c>
      <c r="B182" s="1" t="n">
        <v>31.9</v>
      </c>
      <c r="C182" s="1" t="n">
        <v>34.3</v>
      </c>
      <c r="D182" s="1" t="n">
        <v>50.5</v>
      </c>
      <c r="E182" s="1" t="n">
        <v>16.9</v>
      </c>
      <c r="F182" s="27" t="n">
        <v>6.144983957323</v>
      </c>
      <c r="G182" s="27" t="n">
        <v>6.72</v>
      </c>
      <c r="H182" s="1" t="n">
        <v>0.575016042677005</v>
      </c>
      <c r="K182" s="22"/>
      <c r="M182" s="23"/>
      <c r="P182" s="12" t="n">
        <v>6</v>
      </c>
      <c r="Q182" s="13" t="s">
        <v>102</v>
      </c>
      <c r="R182" s="13" t="n">
        <v>66.1</v>
      </c>
      <c r="S182" s="13" t="n">
        <v>15.5</v>
      </c>
      <c r="T182" s="13" t="n">
        <v>30.2</v>
      </c>
      <c r="U182" s="13" t="n">
        <v>31.6</v>
      </c>
      <c r="V182" s="13" t="n">
        <v>76.9</v>
      </c>
      <c r="W182" s="13" t="n">
        <v>6.03</v>
      </c>
    </row>
    <row r="183" customFormat="false" ht="12.8" hidden="false" customHeight="false" outlineLevel="0" collapsed="false">
      <c r="A183" s="1" t="n">
        <v>77.3</v>
      </c>
      <c r="B183" s="1" t="n">
        <v>25.7</v>
      </c>
      <c r="C183" s="1" t="n">
        <v>34.4</v>
      </c>
      <c r="D183" s="1" t="n">
        <v>55.8</v>
      </c>
      <c r="E183" s="1" t="n">
        <v>30.8</v>
      </c>
      <c r="F183" s="27" t="n">
        <v>5.69391406832493</v>
      </c>
      <c r="G183" s="27" t="n">
        <v>6.12</v>
      </c>
      <c r="H183" s="1" t="n">
        <v>0.426085931675069</v>
      </c>
      <c r="K183" s="22"/>
      <c r="M183" s="23"/>
      <c r="P183" s="12" t="n">
        <v>6</v>
      </c>
      <c r="Q183" s="13" t="s">
        <v>103</v>
      </c>
      <c r="R183" s="13" t="n">
        <v>55.4</v>
      </c>
      <c r="S183" s="13" t="n">
        <v>19.3</v>
      </c>
      <c r="T183" s="13" t="n">
        <v>34.3</v>
      </c>
      <c r="U183" s="13" t="n">
        <v>36.5</v>
      </c>
      <c r="V183" s="13" t="n">
        <v>82.3</v>
      </c>
      <c r="W183" s="13" t="n">
        <v>5.9</v>
      </c>
    </row>
    <row r="184" customFormat="false" ht="12.8" hidden="false" customHeight="false" outlineLevel="0" collapsed="false">
      <c r="A184" s="1" t="n">
        <v>58.2</v>
      </c>
      <c r="B184" s="1" t="n">
        <v>26.7</v>
      </c>
      <c r="C184" s="1" t="n">
        <v>34</v>
      </c>
      <c r="D184" s="1" t="n">
        <v>34.2</v>
      </c>
      <c r="E184" s="1" t="n">
        <v>83.3</v>
      </c>
      <c r="F184" s="27" t="n">
        <v>5.94986114994838</v>
      </c>
      <c r="G184" s="27" t="n">
        <v>5.43</v>
      </c>
      <c r="H184" s="1" t="n">
        <v>-0.519861149948381</v>
      </c>
      <c r="K184" s="22"/>
      <c r="M184" s="23"/>
      <c r="P184" s="12" t="n">
        <v>6</v>
      </c>
      <c r="Q184" s="13" t="s">
        <v>104</v>
      </c>
      <c r="R184" s="13" t="n">
        <v>58.9</v>
      </c>
      <c r="S184" s="13" t="n">
        <v>26.2</v>
      </c>
      <c r="T184" s="13" t="n">
        <v>36.4</v>
      </c>
      <c r="U184" s="13" t="n">
        <v>39.1</v>
      </c>
      <c r="V184" s="13" t="n">
        <v>83.3</v>
      </c>
      <c r="W184" s="13" t="n">
        <v>6.93</v>
      </c>
    </row>
    <row r="185" customFormat="false" ht="12.8" hidden="false" customHeight="false" outlineLevel="0" collapsed="false">
      <c r="A185" s="1" t="n">
        <v>55.5</v>
      </c>
      <c r="B185" s="1" t="n">
        <v>15</v>
      </c>
      <c r="C185" s="1" t="n">
        <v>33.3</v>
      </c>
      <c r="D185" s="1" t="n">
        <v>35.2</v>
      </c>
      <c r="E185" s="1" t="n">
        <v>80.8</v>
      </c>
      <c r="F185" s="27" t="n">
        <v>5.46113730097367</v>
      </c>
      <c r="G185" s="27" t="n">
        <v>5.07</v>
      </c>
      <c r="H185" s="1" t="n">
        <v>-0.391137300973671</v>
      </c>
      <c r="K185" s="22"/>
      <c r="M185" s="23"/>
      <c r="P185" s="12" t="n">
        <v>6</v>
      </c>
      <c r="Q185" s="13" t="s">
        <v>105</v>
      </c>
      <c r="R185" s="13" t="n">
        <v>57.7</v>
      </c>
      <c r="S185" s="13" t="n">
        <v>26.8</v>
      </c>
      <c r="T185" s="13" t="n">
        <v>35.4</v>
      </c>
      <c r="U185" s="13" t="n">
        <v>34.6</v>
      </c>
      <c r="V185" s="13" t="n">
        <v>83.1</v>
      </c>
      <c r="W185" s="13" t="n">
        <v>6.7</v>
      </c>
    </row>
    <row r="186" customFormat="false" ht="12.8" hidden="false" customHeight="false" outlineLevel="0" collapsed="false">
      <c r="A186" s="1" t="n">
        <v>61</v>
      </c>
      <c r="B186" s="1" t="n">
        <v>25.4</v>
      </c>
      <c r="C186" s="1" t="n">
        <v>34.4</v>
      </c>
      <c r="D186" s="1" t="n">
        <v>36.6</v>
      </c>
      <c r="E186" s="1" t="n">
        <v>81.4</v>
      </c>
      <c r="F186" s="27" t="n">
        <v>5.87572192713245</v>
      </c>
      <c r="G186" s="27" t="n">
        <v>5.38</v>
      </c>
      <c r="H186" s="1" t="n">
        <v>-0.495721927132454</v>
      </c>
      <c r="K186" s="22"/>
      <c r="M186" s="23"/>
      <c r="P186" s="12" t="n">
        <v>6</v>
      </c>
      <c r="Q186" s="13" t="s">
        <v>106</v>
      </c>
      <c r="R186" s="13" t="n">
        <v>62.1</v>
      </c>
      <c r="S186" s="13" t="n">
        <v>36.2</v>
      </c>
      <c r="T186" s="13" t="n">
        <v>33.2</v>
      </c>
      <c r="U186" s="13" t="n">
        <v>38.8</v>
      </c>
      <c r="V186" s="13" t="n">
        <v>83.4</v>
      </c>
      <c r="W186" s="13" t="n">
        <v>6.34</v>
      </c>
    </row>
    <row r="187" customFormat="false" ht="12.8" hidden="false" customHeight="false" outlineLevel="0" collapsed="false">
      <c r="A187" s="1" t="n">
        <v>55.2</v>
      </c>
      <c r="B187" s="1" t="n">
        <v>13.2</v>
      </c>
      <c r="C187" s="1" t="n">
        <v>33</v>
      </c>
      <c r="D187" s="1" t="n">
        <v>33.7</v>
      </c>
      <c r="E187" s="1" t="n">
        <v>82</v>
      </c>
      <c r="F187" s="27" t="n">
        <v>5.38196689944968</v>
      </c>
      <c r="G187" s="27" t="n">
        <v>5.2</v>
      </c>
      <c r="H187" s="1" t="n">
        <v>-0.181966899449679</v>
      </c>
      <c r="K187" s="22"/>
      <c r="M187" s="23"/>
      <c r="P187" s="12" t="n">
        <v>6</v>
      </c>
      <c r="Q187" s="13" t="s">
        <v>107</v>
      </c>
      <c r="R187" s="13" t="n">
        <v>65.5</v>
      </c>
      <c r="S187" s="13" t="n">
        <v>29.4</v>
      </c>
      <c r="T187" s="13" t="n">
        <v>34.1</v>
      </c>
      <c r="U187" s="13" t="n">
        <v>38.2</v>
      </c>
      <c r="V187" s="13" t="n">
        <v>81</v>
      </c>
      <c r="W187" s="13" t="n">
        <v>6.41</v>
      </c>
    </row>
    <row r="188" customFormat="false" ht="12.8" hidden="false" customHeight="false" outlineLevel="0" collapsed="false">
      <c r="A188" s="1" t="n">
        <v>49.8</v>
      </c>
      <c r="B188" s="1" t="n">
        <v>8.4</v>
      </c>
      <c r="C188" s="1" t="n">
        <v>33.7</v>
      </c>
      <c r="D188" s="1" t="n">
        <v>32.2</v>
      </c>
      <c r="E188" s="1" t="n">
        <v>81.6</v>
      </c>
      <c r="F188" s="27" t="n">
        <v>5.27149117339786</v>
      </c>
      <c r="G188" s="27" t="n">
        <v>5.02</v>
      </c>
      <c r="H188" s="1" t="n">
        <v>-0.251491173397857</v>
      </c>
      <c r="K188" s="22"/>
      <c r="M188" s="23"/>
      <c r="P188" s="12" t="n">
        <v>6</v>
      </c>
      <c r="Q188" s="13" t="s">
        <v>108</v>
      </c>
      <c r="R188" s="13" t="n">
        <v>56.6</v>
      </c>
      <c r="S188" s="13" t="n">
        <v>19.3</v>
      </c>
      <c r="T188" s="13" t="n">
        <v>34.7</v>
      </c>
      <c r="U188" s="13" t="n">
        <v>36.8</v>
      </c>
      <c r="V188" s="13" t="n">
        <v>84.2</v>
      </c>
      <c r="W188" s="13" t="n">
        <v>6.21</v>
      </c>
    </row>
    <row r="189" customFormat="false" ht="12.8" hidden="false" customHeight="false" outlineLevel="0" collapsed="false">
      <c r="A189" s="1" t="n">
        <v>46.9</v>
      </c>
      <c r="B189" s="1" t="n">
        <v>14.4</v>
      </c>
      <c r="C189" s="1" t="n">
        <v>34.2</v>
      </c>
      <c r="D189" s="1" t="n">
        <v>32.2</v>
      </c>
      <c r="E189" s="1" t="n">
        <v>81.7</v>
      </c>
      <c r="F189" s="27" t="n">
        <v>5.57062559217106</v>
      </c>
      <c r="G189" s="27" t="n">
        <v>5.1</v>
      </c>
      <c r="H189" s="1" t="n">
        <v>-0.470625592171055</v>
      </c>
      <c r="K189" s="22"/>
      <c r="M189" s="23"/>
      <c r="P189" s="12" t="n">
        <v>6</v>
      </c>
      <c r="Q189" s="13" t="s">
        <v>109</v>
      </c>
      <c r="R189" s="13" t="n">
        <v>55.1</v>
      </c>
      <c r="S189" s="13" t="n">
        <v>19.6</v>
      </c>
      <c r="T189" s="13" t="n">
        <v>34.7</v>
      </c>
      <c r="U189" s="13" t="n">
        <v>38.7</v>
      </c>
      <c r="V189" s="13" t="n">
        <v>86.1</v>
      </c>
      <c r="W189" s="13" t="n">
        <v>6.65</v>
      </c>
    </row>
    <row r="190" customFormat="false" ht="12.8" hidden="false" customHeight="false" outlineLevel="0" collapsed="false">
      <c r="A190" s="1" t="n">
        <v>53.1</v>
      </c>
      <c r="B190" s="1" t="n">
        <v>9.5</v>
      </c>
      <c r="C190" s="1" t="n">
        <v>35.2</v>
      </c>
      <c r="D190" s="1" t="n">
        <v>34.1</v>
      </c>
      <c r="E190" s="1" t="n">
        <v>80.4</v>
      </c>
      <c r="F190" s="27" t="n">
        <v>5.3373411473764</v>
      </c>
      <c r="G190" s="27" t="n">
        <v>4.46</v>
      </c>
      <c r="H190" s="1" t="n">
        <v>-0.877341147376403</v>
      </c>
      <c r="K190" s="22"/>
      <c r="M190" s="23"/>
      <c r="P190" s="12" t="n">
        <v>6</v>
      </c>
      <c r="Q190" s="13" t="s">
        <v>110</v>
      </c>
      <c r="R190" s="13" t="n">
        <v>60.1</v>
      </c>
      <c r="S190" s="13" t="n">
        <v>24.5</v>
      </c>
      <c r="T190" s="13" t="n">
        <v>34.2</v>
      </c>
      <c r="U190" s="13" t="n">
        <v>35.8</v>
      </c>
      <c r="V190" s="13" t="n">
        <v>89.3</v>
      </c>
      <c r="W190" s="13" t="n">
        <v>6.41</v>
      </c>
    </row>
    <row r="191" customFormat="false" ht="12.8" hidden="false" customHeight="false" outlineLevel="0" collapsed="false">
      <c r="A191" s="1" t="n">
        <v>48.2</v>
      </c>
      <c r="B191" s="1" t="n">
        <v>10.4</v>
      </c>
      <c r="C191" s="1" t="n">
        <v>34</v>
      </c>
      <c r="D191" s="1" t="n">
        <v>33.9</v>
      </c>
      <c r="E191" s="1" t="n">
        <v>80.9</v>
      </c>
      <c r="F191" s="27" t="n">
        <v>5.37717779623305</v>
      </c>
      <c r="G191" s="27" t="n">
        <v>5</v>
      </c>
      <c r="H191" s="1" t="n">
        <v>-0.377177796233054</v>
      </c>
      <c r="K191" s="22"/>
      <c r="M191" s="23"/>
      <c r="P191" s="12" t="n">
        <v>7</v>
      </c>
      <c r="Q191" s="13" t="s">
        <v>42</v>
      </c>
      <c r="R191" s="13" t="n">
        <v>53.5</v>
      </c>
      <c r="S191" s="13" t="n">
        <v>13.5</v>
      </c>
      <c r="T191" s="13" t="n">
        <v>32.4</v>
      </c>
      <c r="U191" s="13" t="n">
        <v>32.6</v>
      </c>
      <c r="V191" s="13" t="n">
        <v>84.4</v>
      </c>
      <c r="W191" s="13" t="n">
        <v>6.21</v>
      </c>
    </row>
    <row r="192" customFormat="false" ht="12.8" hidden="false" customHeight="false" outlineLevel="0" collapsed="false">
      <c r="A192" s="1" t="n">
        <v>69.9</v>
      </c>
      <c r="B192" s="1" t="n">
        <v>22</v>
      </c>
      <c r="C192" s="1" t="n">
        <v>33.5</v>
      </c>
      <c r="D192" s="1" t="n">
        <v>38.6</v>
      </c>
      <c r="E192" s="1" t="n">
        <v>82.9</v>
      </c>
      <c r="F192" s="27" t="n">
        <v>5.59841785981091</v>
      </c>
      <c r="G192" s="27" t="n">
        <v>5.32</v>
      </c>
      <c r="H192" s="1" t="n">
        <v>-0.278417859810913</v>
      </c>
      <c r="K192" s="22"/>
      <c r="M192" s="23"/>
      <c r="P192" s="12" t="n">
        <v>7</v>
      </c>
      <c r="Q192" s="13" t="s">
        <v>45</v>
      </c>
      <c r="R192" s="13" t="n">
        <v>61.4</v>
      </c>
      <c r="S192" s="13" t="n">
        <v>28.4</v>
      </c>
      <c r="T192" s="13" t="n">
        <v>33.5</v>
      </c>
      <c r="U192" s="13" t="n">
        <v>34.2</v>
      </c>
      <c r="V192" s="13" t="n">
        <v>84.8</v>
      </c>
      <c r="W192" s="13" t="n">
        <v>6.38</v>
      </c>
    </row>
    <row r="193" customFormat="false" ht="12.8" hidden="false" customHeight="false" outlineLevel="0" collapsed="false">
      <c r="A193" s="1" t="n">
        <v>71.8</v>
      </c>
      <c r="B193" s="1" t="n">
        <v>31.9</v>
      </c>
      <c r="C193" s="1" t="n">
        <v>33.5</v>
      </c>
      <c r="D193" s="1" t="n">
        <v>39.4</v>
      </c>
      <c r="E193" s="1" t="n">
        <v>81.9</v>
      </c>
      <c r="F193" s="27" t="n">
        <v>5.98872414702565</v>
      </c>
      <c r="G193" s="27" t="n">
        <v>4.95</v>
      </c>
      <c r="H193" s="1" t="n">
        <v>-1.03872414702565</v>
      </c>
      <c r="K193" s="22"/>
      <c r="M193" s="23"/>
      <c r="P193" s="12" t="n">
        <v>7</v>
      </c>
      <c r="Q193" s="13" t="s">
        <v>46</v>
      </c>
      <c r="R193" s="13" t="n">
        <v>63.7</v>
      </c>
      <c r="S193" s="13" t="n">
        <v>22.2</v>
      </c>
      <c r="T193" s="13" t="n">
        <v>34</v>
      </c>
      <c r="U193" s="13" t="n">
        <v>31.4</v>
      </c>
      <c r="V193" s="13" t="n">
        <v>87.1</v>
      </c>
      <c r="W193" s="13" t="n">
        <v>6.02</v>
      </c>
    </row>
    <row r="194" customFormat="false" ht="12.8" hidden="false" customHeight="false" outlineLevel="0" collapsed="false">
      <c r="A194" s="1" t="n">
        <v>66.6</v>
      </c>
      <c r="B194" s="1" t="n">
        <v>23.7</v>
      </c>
      <c r="C194" s="1" t="n">
        <v>33.9</v>
      </c>
      <c r="D194" s="1" t="n">
        <v>36</v>
      </c>
      <c r="E194" s="1" t="n">
        <v>81</v>
      </c>
      <c r="F194" s="27" t="n">
        <v>5.7304574629879</v>
      </c>
      <c r="G194" s="27" t="n">
        <v>5.19</v>
      </c>
      <c r="H194" s="1" t="n">
        <v>-0.540457462987899</v>
      </c>
      <c r="K194" s="22"/>
      <c r="M194" s="23"/>
      <c r="P194" s="12" t="n">
        <v>7</v>
      </c>
      <c r="Q194" s="13" t="s">
        <v>48</v>
      </c>
      <c r="R194" s="13" t="n">
        <v>64.1</v>
      </c>
      <c r="S194" s="13" t="n">
        <v>24.4</v>
      </c>
      <c r="T194" s="13" t="n">
        <v>32.5</v>
      </c>
      <c r="U194" s="13" t="n">
        <v>33.4</v>
      </c>
      <c r="V194" s="13" t="n">
        <v>86</v>
      </c>
      <c r="W194" s="13" t="n">
        <v>5.99</v>
      </c>
    </row>
    <row r="195" customFormat="false" ht="12.8" hidden="false" customHeight="false" outlineLevel="0" collapsed="false">
      <c r="A195" s="1" t="n">
        <v>65.4</v>
      </c>
      <c r="B195" s="1" t="n">
        <v>21.9</v>
      </c>
      <c r="C195" s="1" t="n">
        <v>34.2</v>
      </c>
      <c r="D195" s="1" t="n">
        <v>35.7</v>
      </c>
      <c r="E195" s="1" t="n">
        <v>79.9</v>
      </c>
      <c r="F195" s="27" t="n">
        <v>5.68195306584011</v>
      </c>
      <c r="G195" s="27" t="n">
        <v>5.47</v>
      </c>
      <c r="H195" s="1" t="n">
        <v>-0.211953065840111</v>
      </c>
      <c r="K195" s="22"/>
      <c r="M195" s="23"/>
      <c r="P195" s="12" t="n">
        <v>7</v>
      </c>
      <c r="Q195" s="13" t="s">
        <v>49</v>
      </c>
      <c r="R195" s="13" t="n">
        <v>62.9</v>
      </c>
      <c r="S195" s="13" t="n">
        <v>32.3</v>
      </c>
      <c r="T195" s="13" t="n">
        <v>33</v>
      </c>
      <c r="U195" s="13" t="n">
        <v>37.9</v>
      </c>
      <c r="V195" s="13" t="n">
        <v>85.1</v>
      </c>
      <c r="W195" s="13" t="n">
        <v>6.81</v>
      </c>
    </row>
    <row r="196" customFormat="false" ht="12.8" hidden="false" customHeight="false" outlineLevel="0" collapsed="false">
      <c r="A196" s="1" t="n">
        <v>67.8</v>
      </c>
      <c r="B196" s="1" t="n">
        <v>18.7</v>
      </c>
      <c r="C196" s="1" t="n">
        <v>33.3</v>
      </c>
      <c r="D196" s="1" t="n">
        <v>31.8</v>
      </c>
      <c r="E196" s="1" t="n">
        <v>80.8</v>
      </c>
      <c r="F196" s="27" t="n">
        <v>5.50239614246793</v>
      </c>
      <c r="G196" s="27" t="n">
        <v>5.46</v>
      </c>
      <c r="H196" s="1" t="n">
        <v>-0.0423961424679256</v>
      </c>
      <c r="K196" s="22"/>
      <c r="M196" s="23"/>
      <c r="P196" s="12" t="n">
        <v>7</v>
      </c>
      <c r="Q196" s="13" t="s">
        <v>50</v>
      </c>
      <c r="R196" s="13" t="n">
        <v>77.9</v>
      </c>
      <c r="S196" s="13" t="n">
        <v>29.1</v>
      </c>
      <c r="T196" s="13" t="n">
        <v>33.7</v>
      </c>
      <c r="U196" s="13" t="n">
        <v>37.4</v>
      </c>
      <c r="V196" s="13" t="n">
        <v>87.1</v>
      </c>
      <c r="W196" s="13" t="n">
        <v>6.15</v>
      </c>
    </row>
    <row r="197" customFormat="false" ht="12.8" hidden="false" customHeight="false" outlineLevel="0" collapsed="false">
      <c r="A197" s="1" t="n">
        <v>64</v>
      </c>
      <c r="B197" s="1" t="n">
        <v>29.4</v>
      </c>
      <c r="C197" s="1" t="n">
        <v>34.6</v>
      </c>
      <c r="D197" s="1" t="n">
        <v>36.3</v>
      </c>
      <c r="E197" s="1" t="n">
        <v>82.6</v>
      </c>
      <c r="F197" s="27" t="n">
        <v>6.01955169564703</v>
      </c>
      <c r="G197" s="27" t="n">
        <v>5.27</v>
      </c>
      <c r="H197" s="1" t="n">
        <v>-0.749551695647028</v>
      </c>
      <c r="K197" s="22"/>
      <c r="M197" s="23"/>
      <c r="P197" s="12" t="n">
        <v>7</v>
      </c>
      <c r="Q197" s="13" t="s">
        <v>51</v>
      </c>
      <c r="R197" s="13" t="n">
        <v>59.8</v>
      </c>
      <c r="S197" s="13" t="n">
        <v>27.9</v>
      </c>
      <c r="T197" s="13" t="n">
        <v>33.8</v>
      </c>
      <c r="U197" s="13" t="n">
        <v>31.3</v>
      </c>
      <c r="V197" s="13" t="n">
        <v>84.8</v>
      </c>
      <c r="W197" s="13" t="n">
        <v>5.48</v>
      </c>
    </row>
    <row r="198" customFormat="false" ht="12.8" hidden="false" customHeight="false" outlineLevel="0" collapsed="false">
      <c r="A198" s="1" t="n">
        <v>64.8</v>
      </c>
      <c r="B198" s="1" t="n">
        <v>25.5</v>
      </c>
      <c r="C198" s="1" t="n">
        <v>34.9</v>
      </c>
      <c r="D198" s="1" t="n">
        <v>35.9</v>
      </c>
      <c r="E198" s="1" t="n">
        <v>80.4</v>
      </c>
      <c r="F198" s="27" t="n">
        <v>5.86462181177947</v>
      </c>
      <c r="G198" s="27" t="n">
        <v>5.39</v>
      </c>
      <c r="H198" s="1" t="n">
        <v>-0.474621811779472</v>
      </c>
      <c r="K198" s="22"/>
      <c r="M198" s="23"/>
      <c r="P198" s="12" t="n">
        <v>7</v>
      </c>
      <c r="Q198" s="13" t="s">
        <v>52</v>
      </c>
      <c r="R198" s="13" t="n">
        <v>55.7</v>
      </c>
      <c r="S198" s="13" t="n">
        <v>17.2</v>
      </c>
      <c r="T198" s="13" t="n">
        <v>32.1</v>
      </c>
      <c r="U198" s="13" t="n">
        <v>32.2</v>
      </c>
      <c r="V198" s="13" t="n">
        <v>82.7</v>
      </c>
      <c r="W198" s="13" t="n">
        <v>5.06</v>
      </c>
    </row>
    <row r="199" customFormat="false" ht="12.8" hidden="false" customHeight="false" outlineLevel="0" collapsed="false">
      <c r="A199" s="1" t="n">
        <v>59.4</v>
      </c>
      <c r="B199" s="1" t="n">
        <v>16.7</v>
      </c>
      <c r="C199" s="1" t="n">
        <v>34.7</v>
      </c>
      <c r="D199" s="1" t="n">
        <v>35.3</v>
      </c>
      <c r="E199" s="1" t="n">
        <v>82.1</v>
      </c>
      <c r="F199" s="27" t="n">
        <v>5.54644249422884</v>
      </c>
      <c r="G199" s="27" t="n">
        <v>5.07</v>
      </c>
      <c r="H199" s="1" t="n">
        <v>-0.476442494228838</v>
      </c>
      <c r="K199" s="22"/>
      <c r="M199" s="23"/>
      <c r="P199" s="12" t="n">
        <v>7</v>
      </c>
      <c r="Q199" s="13" t="s">
        <v>53</v>
      </c>
      <c r="R199" s="13" t="n">
        <v>61.7</v>
      </c>
      <c r="S199" s="13" t="n">
        <v>27.6</v>
      </c>
      <c r="T199" s="13" t="n">
        <v>33.6</v>
      </c>
      <c r="U199" s="13" t="n">
        <v>34.6</v>
      </c>
      <c r="V199" s="13" t="n">
        <v>83.1</v>
      </c>
      <c r="W199" s="13" t="n">
        <v>5.43</v>
      </c>
    </row>
    <row r="200" customFormat="false" ht="12.8" hidden="false" customHeight="false" outlineLevel="0" collapsed="false">
      <c r="A200" s="1" t="n">
        <v>55.8</v>
      </c>
      <c r="B200" s="1" t="n">
        <v>14.5</v>
      </c>
      <c r="C200" s="1" t="n">
        <v>33.4</v>
      </c>
      <c r="D200" s="1" t="n">
        <v>35.8</v>
      </c>
      <c r="E200" s="1" t="n">
        <v>80.6</v>
      </c>
      <c r="F200" s="27" t="n">
        <v>5.4391609211481</v>
      </c>
      <c r="G200" s="27" t="n">
        <v>4.92</v>
      </c>
      <c r="H200" s="1" t="n">
        <v>-0.519160921148103</v>
      </c>
      <c r="K200" s="22"/>
      <c r="M200" s="23"/>
      <c r="P200" s="12" t="n">
        <v>7</v>
      </c>
      <c r="Q200" s="13" t="s">
        <v>54</v>
      </c>
      <c r="R200" s="13" t="n">
        <v>55.5</v>
      </c>
      <c r="S200" s="13" t="n">
        <v>14.5</v>
      </c>
      <c r="T200" s="13" t="n">
        <v>32.3</v>
      </c>
      <c r="U200" s="13" t="n">
        <v>32.6</v>
      </c>
      <c r="V200" s="13" t="n">
        <v>83.8</v>
      </c>
      <c r="W200" s="13" t="n">
        <v>5.24</v>
      </c>
    </row>
    <row r="201" customFormat="false" ht="12.8" hidden="false" customHeight="false" outlineLevel="0" collapsed="false">
      <c r="A201" s="1" t="n">
        <v>64.4</v>
      </c>
      <c r="B201" s="1" t="n">
        <v>15.4</v>
      </c>
      <c r="C201" s="1" t="n">
        <v>34</v>
      </c>
      <c r="D201" s="1" t="n">
        <v>35.1</v>
      </c>
      <c r="E201" s="1" t="n">
        <v>80.2</v>
      </c>
      <c r="F201" s="27" t="n">
        <v>5.41577373828513</v>
      </c>
      <c r="G201" s="27" t="n">
        <v>5.22</v>
      </c>
      <c r="H201" s="1" t="n">
        <v>-0.195773738285131</v>
      </c>
      <c r="K201" s="22"/>
      <c r="M201" s="23"/>
      <c r="P201" s="12" t="n">
        <v>7</v>
      </c>
      <c r="Q201" s="13" t="s">
        <v>56</v>
      </c>
      <c r="R201" s="13" t="n">
        <v>48.1</v>
      </c>
      <c r="S201" s="13" t="n">
        <v>9.7</v>
      </c>
      <c r="T201" s="13" t="n">
        <v>33.2</v>
      </c>
      <c r="U201" s="13" t="n">
        <v>30.5</v>
      </c>
      <c r="V201" s="13" t="n">
        <v>83.5</v>
      </c>
      <c r="W201" s="13" t="n">
        <v>5.03</v>
      </c>
    </row>
    <row r="202" customFormat="false" ht="12.8" hidden="false" customHeight="false" outlineLevel="0" collapsed="false">
      <c r="A202" s="1" t="n">
        <v>61.9</v>
      </c>
      <c r="B202" s="1" t="n">
        <v>20.2</v>
      </c>
      <c r="C202" s="1" t="n">
        <v>34.5</v>
      </c>
      <c r="D202" s="1" t="n">
        <v>33.5</v>
      </c>
      <c r="E202" s="1" t="n">
        <v>81.9</v>
      </c>
      <c r="F202" s="27" t="n">
        <v>5.66556400592108</v>
      </c>
      <c r="G202" s="27" t="n">
        <v>5.28</v>
      </c>
      <c r="H202" s="1" t="n">
        <v>-0.385564005921077</v>
      </c>
      <c r="K202" s="22"/>
      <c r="M202" s="23"/>
      <c r="P202" s="12" t="n">
        <v>7</v>
      </c>
      <c r="Q202" s="13" t="s">
        <v>58</v>
      </c>
      <c r="R202" s="13" t="n">
        <v>47.7</v>
      </c>
      <c r="S202" s="13" t="n">
        <v>16</v>
      </c>
      <c r="T202" s="13" t="n">
        <v>33.5</v>
      </c>
      <c r="U202" s="13" t="n">
        <v>32.2</v>
      </c>
      <c r="V202" s="13" t="n">
        <v>83.4</v>
      </c>
      <c r="W202" s="13" t="n">
        <v>5.1</v>
      </c>
    </row>
    <row r="203" customFormat="false" ht="12.8" hidden="false" customHeight="false" outlineLevel="0" collapsed="false">
      <c r="A203" s="1" t="n">
        <v>60.9</v>
      </c>
      <c r="B203" s="1" t="n">
        <v>17.1</v>
      </c>
      <c r="C203" s="1" t="n">
        <v>35.5</v>
      </c>
      <c r="D203" s="1" t="n">
        <v>32.2</v>
      </c>
      <c r="E203" s="1" t="n">
        <v>78</v>
      </c>
      <c r="F203" s="27" t="n">
        <v>5.59524099620831</v>
      </c>
      <c r="G203" s="27" t="n">
        <v>5.28</v>
      </c>
      <c r="H203" s="1" t="n">
        <v>-0.315240996208313</v>
      </c>
      <c r="K203" s="22"/>
      <c r="M203" s="23"/>
      <c r="P203" s="12" t="n">
        <v>7</v>
      </c>
      <c r="Q203" s="13" t="s">
        <v>60</v>
      </c>
      <c r="R203" s="13" t="n">
        <v>53.8</v>
      </c>
      <c r="S203" s="13" t="n">
        <v>11.6</v>
      </c>
      <c r="T203" s="13" t="n">
        <v>34.4</v>
      </c>
      <c r="U203" s="13" t="n">
        <v>32</v>
      </c>
      <c r="V203" s="13" t="n">
        <v>82.3</v>
      </c>
      <c r="W203" s="13" t="n">
        <v>4.49</v>
      </c>
    </row>
    <row r="204" customFormat="false" ht="12.8" hidden="false" customHeight="false" outlineLevel="0" collapsed="false">
      <c r="A204" s="1" t="n">
        <v>49.8</v>
      </c>
      <c r="B204" s="1" t="n">
        <v>12.8</v>
      </c>
      <c r="C204" s="1" t="n">
        <v>35</v>
      </c>
      <c r="D204" s="1" t="n">
        <v>33.8</v>
      </c>
      <c r="E204" s="1" t="n">
        <v>78.5</v>
      </c>
      <c r="F204" s="27" t="n">
        <v>5.50319081707224</v>
      </c>
      <c r="G204" s="27" t="n">
        <v>5.32</v>
      </c>
      <c r="H204" s="1" t="n">
        <v>-0.183190817072239</v>
      </c>
      <c r="K204" s="22"/>
      <c r="M204" s="23"/>
      <c r="P204" s="12" t="n">
        <v>7</v>
      </c>
      <c r="Q204" s="13" t="s">
        <v>62</v>
      </c>
      <c r="R204" s="13" t="n">
        <v>48.2</v>
      </c>
      <c r="S204" s="13" t="n">
        <v>13.5</v>
      </c>
      <c r="T204" s="13" t="n">
        <v>33.4</v>
      </c>
      <c r="U204" s="13" t="n">
        <v>31.9</v>
      </c>
      <c r="V204" s="13" t="n">
        <v>82.6</v>
      </c>
      <c r="W204" s="13" t="n">
        <v>5.08</v>
      </c>
    </row>
    <row r="205" customFormat="false" ht="12.8" hidden="false" customHeight="false" outlineLevel="0" collapsed="false">
      <c r="A205" s="1" t="n">
        <v>56.6</v>
      </c>
      <c r="B205" s="1" t="n">
        <v>15.2</v>
      </c>
      <c r="C205" s="1" t="n">
        <v>34.5</v>
      </c>
      <c r="D205" s="1" t="n">
        <v>33.6</v>
      </c>
      <c r="E205" s="1" t="n">
        <v>80.5</v>
      </c>
      <c r="F205" s="27" t="n">
        <v>5.51256117213947</v>
      </c>
      <c r="G205" s="27" t="n">
        <v>5.52</v>
      </c>
      <c r="H205" s="1" t="n">
        <v>0.00743882786052552</v>
      </c>
      <c r="K205" s="22"/>
      <c r="M205" s="23"/>
      <c r="P205" s="12" t="n">
        <v>7</v>
      </c>
      <c r="Q205" s="13" t="s">
        <v>64</v>
      </c>
      <c r="R205" s="13" t="n">
        <v>70.4</v>
      </c>
      <c r="S205" s="13" t="n">
        <v>24.2</v>
      </c>
      <c r="T205" s="13" t="n">
        <v>34.2</v>
      </c>
      <c r="U205" s="13" t="n">
        <v>36.1</v>
      </c>
      <c r="V205" s="13" t="n">
        <v>84.8</v>
      </c>
      <c r="W205" s="13" t="n">
        <v>5.28</v>
      </c>
    </row>
    <row r="206" customFormat="false" ht="12.8" hidden="false" customHeight="false" outlineLevel="0" collapsed="false">
      <c r="A206" s="1" t="n">
        <v>56.8</v>
      </c>
      <c r="B206" s="1" t="n">
        <v>22.6</v>
      </c>
      <c r="C206" s="1" t="n">
        <v>36.7</v>
      </c>
      <c r="D206" s="1" t="n">
        <v>35.9</v>
      </c>
      <c r="E206" s="1" t="n">
        <v>76.6</v>
      </c>
      <c r="F206" s="27" t="n">
        <v>5.90105170163403</v>
      </c>
      <c r="G206" s="27" t="n">
        <v>5.88</v>
      </c>
      <c r="H206" s="1" t="n">
        <v>-0.0210517016340281</v>
      </c>
      <c r="K206" s="22"/>
      <c r="M206" s="23"/>
      <c r="P206" s="12" t="n">
        <v>7</v>
      </c>
      <c r="Q206" s="13" t="s">
        <v>66</v>
      </c>
      <c r="R206" s="13" t="n">
        <v>72.3</v>
      </c>
      <c r="S206" s="13" t="n">
        <v>33.2</v>
      </c>
      <c r="T206" s="13" t="n">
        <v>33.1</v>
      </c>
      <c r="U206" s="13" t="n">
        <v>38.5</v>
      </c>
      <c r="V206" s="13" t="n">
        <v>83.8</v>
      </c>
      <c r="W206" s="13" t="n">
        <v>4.97</v>
      </c>
    </row>
    <row r="207" customFormat="false" ht="12.8" hidden="false" customHeight="false" outlineLevel="0" collapsed="false">
      <c r="A207" s="1" t="n">
        <v>56.3</v>
      </c>
      <c r="B207" s="1" t="n">
        <v>15.3</v>
      </c>
      <c r="C207" s="1" t="n">
        <v>34.7</v>
      </c>
      <c r="D207" s="1" t="n">
        <v>34.6</v>
      </c>
      <c r="E207" s="1" t="n">
        <v>77.4</v>
      </c>
      <c r="F207" s="27" t="n">
        <v>5.52674971278315</v>
      </c>
      <c r="G207" s="27" t="n">
        <v>6.06</v>
      </c>
      <c r="H207" s="1" t="n">
        <v>0.533250287216846</v>
      </c>
      <c r="K207" s="22"/>
      <c r="M207" s="23"/>
      <c r="P207" s="12" t="n">
        <v>7</v>
      </c>
      <c r="Q207" s="13" t="s">
        <v>67</v>
      </c>
      <c r="R207" s="13" t="n">
        <v>67</v>
      </c>
      <c r="S207" s="13" t="n">
        <v>27.5</v>
      </c>
      <c r="T207" s="13" t="n">
        <v>33.6</v>
      </c>
      <c r="U207" s="13" t="n">
        <v>32.8</v>
      </c>
      <c r="V207" s="13" t="n">
        <v>82.9</v>
      </c>
      <c r="W207" s="13" t="n">
        <v>5.12</v>
      </c>
    </row>
    <row r="208" customFormat="false" ht="12.8" hidden="false" customHeight="false" outlineLevel="0" collapsed="false">
      <c r="A208" s="1" t="n">
        <v>57.1</v>
      </c>
      <c r="B208" s="1" t="n">
        <v>21.9</v>
      </c>
      <c r="C208" s="1" t="n">
        <v>33.7</v>
      </c>
      <c r="D208" s="1" t="n">
        <v>33.5</v>
      </c>
      <c r="E208" s="1" t="n">
        <v>82.8</v>
      </c>
      <c r="F208" s="27" t="n">
        <v>5.75252952446825</v>
      </c>
      <c r="G208" s="27" t="n">
        <v>6.09</v>
      </c>
      <c r="H208" s="1" t="n">
        <v>0.337470475531751</v>
      </c>
      <c r="K208" s="22"/>
      <c r="M208" s="23"/>
      <c r="P208" s="12" t="n">
        <v>7</v>
      </c>
      <c r="Q208" s="13" t="s">
        <v>69</v>
      </c>
      <c r="R208" s="13" t="n">
        <v>67.6</v>
      </c>
      <c r="S208" s="13" t="n">
        <v>24.3</v>
      </c>
      <c r="T208" s="13" t="n">
        <v>32.9</v>
      </c>
      <c r="U208" s="13" t="n">
        <v>33.6</v>
      </c>
      <c r="V208" s="13" t="n">
        <v>81.8</v>
      </c>
      <c r="W208" s="13" t="n">
        <v>5.43</v>
      </c>
    </row>
    <row r="209" customFormat="false" ht="12.8" hidden="false" customHeight="false" outlineLevel="0" collapsed="false">
      <c r="A209" s="1" t="n">
        <v>70.8</v>
      </c>
      <c r="B209" s="1" t="n">
        <v>19.6</v>
      </c>
      <c r="C209" s="1" t="n">
        <v>34.5</v>
      </c>
      <c r="D209" s="1" t="n">
        <v>37.9</v>
      </c>
      <c r="E209" s="1" t="n">
        <v>84.3</v>
      </c>
      <c r="F209" s="27" t="n">
        <v>5.53076565379151</v>
      </c>
      <c r="G209" s="27" t="n">
        <v>6.24</v>
      </c>
      <c r="H209" s="1" t="n">
        <v>0.709234346208489</v>
      </c>
      <c r="K209" s="22"/>
      <c r="M209" s="23"/>
      <c r="P209" s="12" t="n">
        <v>7</v>
      </c>
      <c r="Q209" s="13" t="s">
        <v>75</v>
      </c>
      <c r="R209" s="13" t="n">
        <v>69</v>
      </c>
      <c r="S209" s="13" t="n">
        <v>22.5</v>
      </c>
      <c r="T209" s="13" t="n">
        <v>33.2</v>
      </c>
      <c r="U209" s="13" t="n">
        <v>33.4</v>
      </c>
      <c r="V209" s="13" t="n">
        <v>82.6</v>
      </c>
      <c r="W209" s="13" t="n">
        <v>5.4</v>
      </c>
    </row>
    <row r="210" customFormat="false" ht="12.8" hidden="false" customHeight="false" outlineLevel="0" collapsed="false">
      <c r="A210" s="1" t="n">
        <v>63.7</v>
      </c>
      <c r="B210" s="1" t="n">
        <v>33.1</v>
      </c>
      <c r="C210" s="1" t="n">
        <v>32.3</v>
      </c>
      <c r="D210" s="1" t="n">
        <v>37.1</v>
      </c>
      <c r="E210" s="1" t="n">
        <v>80</v>
      </c>
      <c r="F210" s="27" t="n">
        <v>6.08388784713322</v>
      </c>
      <c r="G210" s="27" t="n">
        <v>5.66</v>
      </c>
      <c r="H210" s="1" t="n">
        <v>-0.423887847133219</v>
      </c>
      <c r="K210" s="22"/>
      <c r="M210" s="23"/>
      <c r="P210" s="12" t="n">
        <v>7</v>
      </c>
      <c r="Q210" s="13" t="s">
        <v>76</v>
      </c>
      <c r="R210" s="13" t="n">
        <v>64.5</v>
      </c>
      <c r="S210" s="13" t="n">
        <v>31.2</v>
      </c>
      <c r="T210" s="13" t="n">
        <v>34</v>
      </c>
      <c r="U210" s="13" t="n">
        <v>36.2</v>
      </c>
      <c r="V210" s="13" t="n">
        <v>84.6</v>
      </c>
      <c r="W210" s="13" t="n">
        <v>5.28</v>
      </c>
    </row>
    <row r="211" customFormat="false" ht="12.8" hidden="false" customHeight="false" outlineLevel="0" collapsed="false">
      <c r="A211" s="1" t="n">
        <v>57.3</v>
      </c>
      <c r="B211" s="1" t="n">
        <v>18.6</v>
      </c>
      <c r="C211" s="1" t="n">
        <v>33.3</v>
      </c>
      <c r="D211" s="1" t="n">
        <v>37.4</v>
      </c>
      <c r="E211" s="1" t="n">
        <v>79.8</v>
      </c>
      <c r="F211" s="27" t="n">
        <v>5.58503037849598</v>
      </c>
      <c r="G211" s="27" t="n">
        <v>5.41</v>
      </c>
      <c r="H211" s="1" t="n">
        <v>-0.175030378495979</v>
      </c>
      <c r="K211" s="22"/>
      <c r="M211" s="23"/>
      <c r="P211" s="12" t="n">
        <v>7</v>
      </c>
      <c r="Q211" s="13" t="s">
        <v>78</v>
      </c>
      <c r="R211" s="13" t="n">
        <v>65.5</v>
      </c>
      <c r="S211" s="13" t="n">
        <v>24.6</v>
      </c>
      <c r="T211" s="13" t="n">
        <v>34.8</v>
      </c>
      <c r="U211" s="13" t="n">
        <v>36.2</v>
      </c>
      <c r="V211" s="13" t="n">
        <v>82.7</v>
      </c>
      <c r="W211" s="13" t="n">
        <v>5.4</v>
      </c>
    </row>
    <row r="212" customFormat="false" ht="12.8" hidden="false" customHeight="false" outlineLevel="0" collapsed="false">
      <c r="A212" s="1" t="n">
        <v>57</v>
      </c>
      <c r="B212" s="1" t="n">
        <v>18.2</v>
      </c>
      <c r="C212" s="1" t="n">
        <v>35.3</v>
      </c>
      <c r="D212" s="1" t="n">
        <v>33.6</v>
      </c>
      <c r="E212" s="1" t="n">
        <v>82.7</v>
      </c>
      <c r="F212" s="27" t="n">
        <v>5.66328851578852</v>
      </c>
      <c r="G212" s="27" t="n">
        <v>5.83</v>
      </c>
      <c r="H212" s="1" t="n">
        <v>0.166711484211483</v>
      </c>
      <c r="K212" s="22"/>
      <c r="M212" s="23"/>
      <c r="P212" s="12" t="n">
        <v>7</v>
      </c>
      <c r="Q212" s="13" t="s">
        <v>80</v>
      </c>
      <c r="R212" s="13" t="n">
        <v>59.7</v>
      </c>
      <c r="S212" s="13" t="n">
        <v>17.7</v>
      </c>
      <c r="T212" s="13" t="n">
        <v>34.3</v>
      </c>
      <c r="U212" s="13" t="n">
        <v>34.6</v>
      </c>
      <c r="V212" s="13" t="n">
        <v>83.8</v>
      </c>
      <c r="W212" s="13" t="n">
        <v>5.1</v>
      </c>
    </row>
    <row r="213" customFormat="false" ht="12.8" hidden="false" customHeight="false" outlineLevel="0" collapsed="false">
      <c r="A213" s="1" t="n">
        <v>55.1</v>
      </c>
      <c r="B213" s="1" t="n">
        <v>24.8</v>
      </c>
      <c r="C213" s="1" t="n">
        <v>35.3</v>
      </c>
      <c r="D213" s="1" t="n">
        <v>32.8</v>
      </c>
      <c r="E213" s="1" t="n">
        <v>74.5</v>
      </c>
      <c r="F213" s="27" t="n">
        <v>5.96768208117509</v>
      </c>
      <c r="G213" s="27" t="n">
        <v>6.2</v>
      </c>
      <c r="H213" s="1" t="n">
        <v>0.232317918824909</v>
      </c>
      <c r="K213" s="22"/>
      <c r="M213" s="23"/>
      <c r="P213" s="12" t="n">
        <v>7</v>
      </c>
      <c r="Q213" s="13" t="s">
        <v>81</v>
      </c>
      <c r="R213" s="13" t="n">
        <v>57</v>
      </c>
      <c r="S213" s="13" t="n">
        <v>16.8</v>
      </c>
      <c r="T213" s="13" t="n">
        <v>33.2</v>
      </c>
      <c r="U213" s="13" t="n">
        <v>31.1</v>
      </c>
      <c r="V213" s="13" t="n">
        <v>82.6</v>
      </c>
      <c r="W213" s="13" t="n">
        <v>4.94</v>
      </c>
    </row>
    <row r="214" customFormat="false" ht="12.8" hidden="false" customHeight="false" outlineLevel="0" collapsed="false">
      <c r="A214" s="1" t="n">
        <v>54.1</v>
      </c>
      <c r="B214" s="1" t="n">
        <v>33.7</v>
      </c>
      <c r="C214" s="1" t="n">
        <v>34.2</v>
      </c>
      <c r="D214" s="1" t="n">
        <v>35.5</v>
      </c>
      <c r="E214" s="1" t="n">
        <v>78.3</v>
      </c>
      <c r="F214" s="27" t="n">
        <v>6.29048310505068</v>
      </c>
      <c r="G214" s="27" t="n">
        <v>5.99</v>
      </c>
      <c r="H214" s="1" t="n">
        <v>-0.300483105050677</v>
      </c>
      <c r="K214" s="22"/>
      <c r="M214" s="23"/>
      <c r="P214" s="12" t="n">
        <v>7</v>
      </c>
      <c r="Q214" s="13" t="s">
        <v>83</v>
      </c>
      <c r="R214" s="13" t="n">
        <v>64.6</v>
      </c>
      <c r="S214" s="13" t="n">
        <v>18.1</v>
      </c>
      <c r="T214" s="13" t="n">
        <v>33.4</v>
      </c>
      <c r="U214" s="13" t="n">
        <v>34.8</v>
      </c>
      <c r="V214" s="13" t="n">
        <v>82.1</v>
      </c>
      <c r="W214" s="13" t="n">
        <v>5.22</v>
      </c>
    </row>
    <row r="215" customFormat="false" ht="12.8" hidden="false" customHeight="false" outlineLevel="0" collapsed="false">
      <c r="A215" s="1" t="n">
        <v>61.4</v>
      </c>
      <c r="B215" s="1" t="n">
        <v>18.3</v>
      </c>
      <c r="C215" s="1" t="n">
        <v>33.3</v>
      </c>
      <c r="D215" s="1" t="n">
        <v>35.3</v>
      </c>
      <c r="E215" s="1" t="n">
        <v>79</v>
      </c>
      <c r="F215" s="27" t="n">
        <v>5.53939631591377</v>
      </c>
      <c r="G215" s="27" t="n">
        <v>5.95</v>
      </c>
      <c r="H215" s="1" t="n">
        <v>0.410603684086227</v>
      </c>
      <c r="K215" s="22"/>
      <c r="M215" s="23"/>
      <c r="P215" s="12" t="n">
        <v>7</v>
      </c>
      <c r="Q215" s="13" t="s">
        <v>84</v>
      </c>
      <c r="R215" s="13" t="n">
        <v>62.6</v>
      </c>
      <c r="S215" s="13" t="n">
        <v>19.5</v>
      </c>
      <c r="T215" s="13" t="n">
        <v>33.8</v>
      </c>
      <c r="U215" s="13" t="n">
        <v>32.3</v>
      </c>
      <c r="V215" s="13" t="n">
        <v>83.6</v>
      </c>
      <c r="W215" s="13" t="n">
        <v>5.35</v>
      </c>
    </row>
    <row r="216" customFormat="false" ht="12.8" hidden="false" customHeight="false" outlineLevel="0" collapsed="false">
      <c r="A216" s="1" t="n">
        <v>66.1</v>
      </c>
      <c r="B216" s="1" t="n">
        <v>15.5</v>
      </c>
      <c r="C216" s="1" t="n">
        <v>30.2</v>
      </c>
      <c r="D216" s="1" t="n">
        <v>31.6</v>
      </c>
      <c r="E216" s="1" t="n">
        <v>76.9</v>
      </c>
      <c r="F216" s="27" t="n">
        <v>5.26697403342661</v>
      </c>
      <c r="G216" s="27" t="n">
        <v>6.03</v>
      </c>
      <c r="H216" s="1" t="n">
        <v>0.763025966573392</v>
      </c>
      <c r="K216" s="22"/>
      <c r="M216" s="23"/>
      <c r="P216" s="12" t="n">
        <v>7</v>
      </c>
      <c r="Q216" s="13" t="s">
        <v>88</v>
      </c>
      <c r="R216" s="13" t="n">
        <v>62.8</v>
      </c>
      <c r="S216" s="13" t="n">
        <v>17.8</v>
      </c>
      <c r="T216" s="13" t="n">
        <v>34.8</v>
      </c>
      <c r="U216" s="13" t="n">
        <v>30.5</v>
      </c>
      <c r="V216" s="13" t="n">
        <v>80.3</v>
      </c>
      <c r="W216" s="13" t="n">
        <v>5.25</v>
      </c>
    </row>
    <row r="217" customFormat="false" ht="12.8" hidden="false" customHeight="false" outlineLevel="0" collapsed="false">
      <c r="A217" s="1" t="n">
        <v>55.4</v>
      </c>
      <c r="B217" s="1" t="n">
        <v>19.3</v>
      </c>
      <c r="C217" s="1" t="n">
        <v>34.3</v>
      </c>
      <c r="D217" s="1" t="n">
        <v>36.5</v>
      </c>
      <c r="E217" s="1" t="n">
        <v>82.3</v>
      </c>
      <c r="F217" s="27" t="n">
        <v>5.67472151512144</v>
      </c>
      <c r="G217" s="27" t="n">
        <v>5.9</v>
      </c>
      <c r="H217" s="1" t="n">
        <v>0.225278484878565</v>
      </c>
      <c r="K217" s="22"/>
      <c r="M217" s="23"/>
      <c r="P217" s="12" t="n">
        <v>7</v>
      </c>
      <c r="Q217" s="13" t="s">
        <v>89</v>
      </c>
      <c r="R217" s="13" t="n">
        <v>50.2</v>
      </c>
      <c r="S217" s="13" t="n">
        <v>13.8</v>
      </c>
      <c r="T217" s="13" t="n">
        <v>34.1</v>
      </c>
      <c r="U217" s="13" t="n">
        <v>31.6</v>
      </c>
      <c r="V217" s="13" t="n">
        <v>80.7</v>
      </c>
      <c r="W217" s="13" t="n">
        <v>5.34</v>
      </c>
    </row>
    <row r="218" customFormat="false" ht="12.8" hidden="false" customHeight="false" outlineLevel="0" collapsed="false">
      <c r="A218" s="1" t="n">
        <v>58.9</v>
      </c>
      <c r="B218" s="1" t="n">
        <v>26.2</v>
      </c>
      <c r="C218" s="1" t="n">
        <v>36.4</v>
      </c>
      <c r="D218" s="1" t="n">
        <v>39.1</v>
      </c>
      <c r="E218" s="1" t="n">
        <v>83.3</v>
      </c>
      <c r="F218" s="27" t="n">
        <v>5.99916520069927</v>
      </c>
      <c r="G218" s="27" t="n">
        <v>6.93</v>
      </c>
      <c r="H218" s="1" t="n">
        <v>0.930834799300733</v>
      </c>
      <c r="K218" s="22"/>
      <c r="M218" s="23"/>
      <c r="P218" s="12" t="n">
        <v>7</v>
      </c>
      <c r="Q218" s="13" t="s">
        <v>90</v>
      </c>
      <c r="R218" s="13" t="n">
        <v>56.8</v>
      </c>
      <c r="S218" s="13" t="n">
        <v>15.5</v>
      </c>
      <c r="T218" s="13" t="n">
        <v>33.7</v>
      </c>
      <c r="U218" s="13" t="n">
        <v>32.8</v>
      </c>
      <c r="V218" s="13" t="n">
        <v>82.4</v>
      </c>
      <c r="W218" s="13" t="n">
        <v>5.56</v>
      </c>
    </row>
    <row r="219" customFormat="false" ht="12.8" hidden="false" customHeight="false" outlineLevel="0" collapsed="false">
      <c r="A219" s="1" t="n">
        <v>57.7</v>
      </c>
      <c r="B219" s="1" t="n">
        <v>26.8</v>
      </c>
      <c r="C219" s="1" t="n">
        <v>35.4</v>
      </c>
      <c r="D219" s="1" t="n">
        <v>34.6</v>
      </c>
      <c r="E219" s="1" t="n">
        <v>83.1</v>
      </c>
      <c r="F219" s="27" t="n">
        <v>6.01374687427439</v>
      </c>
      <c r="G219" s="27" t="n">
        <v>6.7</v>
      </c>
      <c r="H219" s="1" t="n">
        <v>0.686253125725608</v>
      </c>
      <c r="K219" s="22"/>
      <c r="M219" s="23"/>
      <c r="P219" s="12" t="n">
        <v>7</v>
      </c>
      <c r="Q219" s="13" t="s">
        <v>91</v>
      </c>
      <c r="R219" s="13" t="n">
        <v>56.3</v>
      </c>
      <c r="S219" s="13" t="n">
        <v>20.8</v>
      </c>
      <c r="T219" s="13" t="n">
        <v>35.5</v>
      </c>
      <c r="U219" s="13" t="n">
        <v>37.1</v>
      </c>
      <c r="V219" s="13" t="n">
        <v>79</v>
      </c>
      <c r="W219" s="13" t="n">
        <v>5.91</v>
      </c>
    </row>
    <row r="220" customFormat="false" ht="12.8" hidden="false" customHeight="false" outlineLevel="0" collapsed="false">
      <c r="A220" s="1" t="n">
        <v>62.1</v>
      </c>
      <c r="B220" s="1" t="n">
        <v>36.2</v>
      </c>
      <c r="C220" s="1" t="n">
        <v>33.2</v>
      </c>
      <c r="D220" s="1" t="n">
        <v>38.8</v>
      </c>
      <c r="E220" s="1" t="n">
        <v>83.4</v>
      </c>
      <c r="F220" s="27" t="n">
        <v>6.25564251196451</v>
      </c>
      <c r="G220" s="27" t="n">
        <v>6.34</v>
      </c>
      <c r="H220" s="1" t="n">
        <v>0.0843574880354856</v>
      </c>
      <c r="K220" s="22"/>
      <c r="M220" s="23"/>
      <c r="P220" s="12" t="n">
        <v>7</v>
      </c>
      <c r="Q220" s="13" t="s">
        <v>92</v>
      </c>
      <c r="R220" s="13" t="n">
        <v>57.5</v>
      </c>
      <c r="S220" s="13" t="n">
        <v>17.9</v>
      </c>
      <c r="T220" s="13" t="n">
        <v>35.2</v>
      </c>
      <c r="U220" s="13" t="n">
        <v>32.7</v>
      </c>
      <c r="V220" s="13" t="n">
        <v>79.8</v>
      </c>
      <c r="W220" s="13" t="n">
        <v>6.11</v>
      </c>
    </row>
    <row r="221" customFormat="false" ht="12.8" hidden="false" customHeight="false" outlineLevel="0" collapsed="false">
      <c r="A221" s="1" t="n">
        <v>65.5</v>
      </c>
      <c r="B221" s="1" t="n">
        <v>29.4</v>
      </c>
      <c r="C221" s="1" t="n">
        <v>34.1</v>
      </c>
      <c r="D221" s="1" t="n">
        <v>38.2</v>
      </c>
      <c r="E221" s="1" t="n">
        <v>81</v>
      </c>
      <c r="F221" s="27" t="n">
        <v>5.9784346944682</v>
      </c>
      <c r="G221" s="27" t="n">
        <v>6.41</v>
      </c>
      <c r="H221" s="1" t="n">
        <v>0.431565305531798</v>
      </c>
      <c r="K221" s="22"/>
      <c r="M221" s="23"/>
      <c r="P221" s="12" t="n">
        <v>7</v>
      </c>
      <c r="Q221" s="13" t="s">
        <v>93</v>
      </c>
      <c r="R221" s="13" t="n">
        <v>58</v>
      </c>
      <c r="S221" s="13" t="n">
        <v>23.6</v>
      </c>
      <c r="T221" s="13" t="n">
        <v>33.7</v>
      </c>
      <c r="U221" s="13" t="n">
        <v>31</v>
      </c>
      <c r="V221" s="13" t="n">
        <v>84.6</v>
      </c>
      <c r="W221" s="13" t="n">
        <v>6.04</v>
      </c>
    </row>
    <row r="222" customFormat="false" ht="12.8" hidden="false" customHeight="false" outlineLevel="0" collapsed="false">
      <c r="A222" s="1" t="n">
        <v>56.6</v>
      </c>
      <c r="B222" s="1" t="n">
        <v>19.3</v>
      </c>
      <c r="C222" s="1" t="n">
        <v>34.7</v>
      </c>
      <c r="D222" s="1" t="n">
        <v>36.8</v>
      </c>
      <c r="E222" s="1" t="n">
        <v>84.2</v>
      </c>
      <c r="F222" s="27" t="n">
        <v>5.67560523198933</v>
      </c>
      <c r="G222" s="27" t="n">
        <v>6.21</v>
      </c>
      <c r="H222" s="1" t="n">
        <v>0.534394768010668</v>
      </c>
      <c r="K222" s="22"/>
      <c r="M222" s="23"/>
      <c r="P222" s="12" t="n">
        <v>7</v>
      </c>
      <c r="Q222" s="13" t="s">
        <v>94</v>
      </c>
      <c r="R222" s="13" t="n">
        <v>71.5</v>
      </c>
      <c r="S222" s="13" t="n">
        <v>25.6</v>
      </c>
      <c r="T222" s="13" t="n">
        <v>33.5</v>
      </c>
      <c r="U222" s="13" t="n">
        <v>35.8</v>
      </c>
      <c r="V222" s="13" t="n">
        <v>86.3</v>
      </c>
      <c r="W222" s="13" t="n">
        <v>6.35</v>
      </c>
    </row>
    <row r="223" customFormat="false" ht="12.8" hidden="false" customHeight="false" outlineLevel="0" collapsed="false">
      <c r="A223" s="1" t="n">
        <v>55.1</v>
      </c>
      <c r="B223" s="1" t="n">
        <v>19.6</v>
      </c>
      <c r="C223" s="1" t="n">
        <v>34.7</v>
      </c>
      <c r="D223" s="1" t="n">
        <v>38.7</v>
      </c>
      <c r="E223" s="1" t="n">
        <v>86.1</v>
      </c>
      <c r="F223" s="27" t="n">
        <v>5.69445778255204</v>
      </c>
      <c r="G223" s="27" t="n">
        <v>6.65</v>
      </c>
      <c r="H223" s="1" t="n">
        <v>0.95554221744796</v>
      </c>
      <c r="K223" s="22"/>
      <c r="M223" s="23"/>
      <c r="P223" s="12" t="n">
        <v>7</v>
      </c>
      <c r="Q223" s="13" t="s">
        <v>95</v>
      </c>
      <c r="R223" s="13" t="n">
        <v>65</v>
      </c>
      <c r="S223" s="13" t="n">
        <v>35.6</v>
      </c>
      <c r="T223" s="13" t="n">
        <v>32.4</v>
      </c>
      <c r="U223" s="13" t="n">
        <v>38.3</v>
      </c>
      <c r="V223" s="13" t="n">
        <v>81.8</v>
      </c>
      <c r="W223" s="13" t="n">
        <v>5.65</v>
      </c>
    </row>
    <row r="224" customFormat="false" ht="12.8" hidden="false" customHeight="false" outlineLevel="0" collapsed="false">
      <c r="A224" s="1" t="n">
        <v>60.1</v>
      </c>
      <c r="B224" s="1" t="n">
        <v>24.5</v>
      </c>
      <c r="C224" s="1" t="n">
        <v>34.2</v>
      </c>
      <c r="D224" s="1" t="n">
        <v>35.8</v>
      </c>
      <c r="E224" s="1" t="n">
        <v>89.3</v>
      </c>
      <c r="F224" s="27" t="n">
        <v>5.83543810360849</v>
      </c>
      <c r="G224" s="27" t="n">
        <v>6.41</v>
      </c>
      <c r="H224" s="1" t="n">
        <v>0.574561896391511</v>
      </c>
      <c r="K224" s="22"/>
      <c r="M224" s="23"/>
      <c r="P224" s="12" t="n">
        <v>7</v>
      </c>
      <c r="Q224" s="13" t="s">
        <v>97</v>
      </c>
      <c r="R224" s="13" t="n">
        <v>59.3</v>
      </c>
      <c r="S224" s="13" t="n">
        <v>21.4</v>
      </c>
      <c r="T224" s="13" t="n">
        <v>33.4</v>
      </c>
      <c r="U224" s="13" t="n">
        <v>36.7</v>
      </c>
      <c r="V224" s="13" t="n">
        <v>81.8</v>
      </c>
      <c r="W224" s="13" t="n">
        <v>5.38</v>
      </c>
    </row>
    <row r="225" customFormat="false" ht="12.8" hidden="false" customHeight="false" outlineLevel="0" collapsed="false">
      <c r="A225" s="1" t="n">
        <v>53.5</v>
      </c>
      <c r="B225" s="1" t="n">
        <v>13.5</v>
      </c>
      <c r="C225" s="1" t="n">
        <v>32.4</v>
      </c>
      <c r="D225" s="1" t="n">
        <v>32.6</v>
      </c>
      <c r="E225" s="1" t="n">
        <v>84.4</v>
      </c>
      <c r="F225" s="27" t="n">
        <v>5.38986757520479</v>
      </c>
      <c r="G225" s="27" t="n">
        <v>6.21</v>
      </c>
      <c r="H225" s="1" t="n">
        <v>0.820132424795214</v>
      </c>
      <c r="K225" s="22"/>
      <c r="M225" s="23"/>
      <c r="P225" s="12" t="n">
        <v>7</v>
      </c>
      <c r="Q225" s="13" t="s">
        <v>98</v>
      </c>
      <c r="R225" s="13" t="n">
        <v>57.1</v>
      </c>
      <c r="S225" s="13" t="n">
        <v>20.2</v>
      </c>
      <c r="T225" s="13" t="n">
        <v>34.4</v>
      </c>
      <c r="U225" s="13" t="n">
        <v>33.7</v>
      </c>
      <c r="V225" s="13" t="n">
        <v>84.6</v>
      </c>
      <c r="W225" s="13" t="n">
        <v>5.83</v>
      </c>
    </row>
    <row r="226" customFormat="false" ht="12.8" hidden="false" customHeight="false" outlineLevel="0" collapsed="false">
      <c r="A226" s="1" t="n">
        <v>61.4</v>
      </c>
      <c r="B226" s="1" t="n">
        <v>28.4</v>
      </c>
      <c r="C226" s="1" t="n">
        <v>33.5</v>
      </c>
      <c r="D226" s="1" t="n">
        <v>34.2</v>
      </c>
      <c r="E226" s="1" t="n">
        <v>84.8</v>
      </c>
      <c r="F226" s="27" t="n">
        <v>5.96656691360891</v>
      </c>
      <c r="G226" s="27" t="n">
        <v>6.38</v>
      </c>
      <c r="H226" s="1" t="n">
        <v>0.413433086391089</v>
      </c>
      <c r="K226" s="22"/>
      <c r="M226" s="23"/>
      <c r="P226" s="12" t="n">
        <v>7</v>
      </c>
      <c r="Q226" s="13" t="s">
        <v>99</v>
      </c>
      <c r="R226" s="13" t="n">
        <v>57</v>
      </c>
      <c r="S226" s="13" t="n">
        <v>27.2</v>
      </c>
      <c r="T226" s="13" t="n">
        <v>35.8</v>
      </c>
      <c r="U226" s="13" t="n">
        <v>31.1</v>
      </c>
      <c r="V226" s="13" t="n">
        <v>77</v>
      </c>
      <c r="W226" s="13" t="n">
        <v>6.16</v>
      </c>
    </row>
    <row r="227" customFormat="false" ht="12.8" hidden="false" customHeight="false" outlineLevel="0" collapsed="false">
      <c r="A227" s="1" t="n">
        <v>63.7</v>
      </c>
      <c r="B227" s="1" t="n">
        <v>22.2</v>
      </c>
      <c r="C227" s="1" t="n">
        <v>34</v>
      </c>
      <c r="D227" s="1" t="n">
        <v>31.4</v>
      </c>
      <c r="E227" s="1" t="n">
        <v>87.1</v>
      </c>
      <c r="F227" s="27" t="n">
        <v>5.71373697282498</v>
      </c>
      <c r="G227" s="27" t="n">
        <v>6.02</v>
      </c>
      <c r="H227" s="1" t="n">
        <v>0.306263027175024</v>
      </c>
      <c r="K227" s="22"/>
      <c r="M227" s="23"/>
      <c r="P227" s="12" t="n">
        <v>7</v>
      </c>
      <c r="Q227" s="13" t="s">
        <v>100</v>
      </c>
      <c r="R227" s="13" t="n">
        <v>55</v>
      </c>
      <c r="S227" s="13" t="n">
        <v>34.1</v>
      </c>
      <c r="T227" s="13" t="n">
        <v>33.5</v>
      </c>
      <c r="U227" s="13" t="n">
        <v>32.5</v>
      </c>
      <c r="V227" s="13" t="n">
        <v>80.6</v>
      </c>
      <c r="W227" s="13" t="n">
        <v>5.95</v>
      </c>
    </row>
    <row r="228" customFormat="false" ht="12.8" hidden="false" customHeight="false" outlineLevel="0" collapsed="false">
      <c r="A228" s="1" t="n">
        <v>64.1</v>
      </c>
      <c r="B228" s="1" t="n">
        <v>24.4</v>
      </c>
      <c r="C228" s="1" t="n">
        <v>32.5</v>
      </c>
      <c r="D228" s="1" t="n">
        <v>33.4</v>
      </c>
      <c r="E228" s="1" t="n">
        <v>86</v>
      </c>
      <c r="F228" s="27" t="n">
        <v>5.73457709832337</v>
      </c>
      <c r="G228" s="27" t="n">
        <v>5.99</v>
      </c>
      <c r="H228" s="1" t="n">
        <v>0.255422901676627</v>
      </c>
      <c r="K228" s="22"/>
      <c r="M228" s="23"/>
      <c r="P228" s="12" t="n">
        <v>7</v>
      </c>
      <c r="Q228" s="13" t="s">
        <v>101</v>
      </c>
      <c r="R228" s="13" t="n">
        <v>63</v>
      </c>
      <c r="S228" s="13" t="n">
        <v>19.2</v>
      </c>
      <c r="T228" s="13" t="n">
        <v>33.2</v>
      </c>
      <c r="U228" s="13" t="n">
        <v>33.7</v>
      </c>
      <c r="V228" s="13" t="n">
        <v>81</v>
      </c>
      <c r="W228" s="13" t="n">
        <v>5.89</v>
      </c>
    </row>
    <row r="229" customFormat="false" ht="12.8" hidden="false" customHeight="false" outlineLevel="0" collapsed="false">
      <c r="A229" s="1" t="n">
        <v>62.9</v>
      </c>
      <c r="B229" s="1" t="n">
        <v>32.3</v>
      </c>
      <c r="C229" s="1" t="n">
        <v>33</v>
      </c>
      <c r="D229" s="1" t="n">
        <v>37.9</v>
      </c>
      <c r="E229" s="1" t="n">
        <v>85.1</v>
      </c>
      <c r="F229" s="27" t="n">
        <v>6.07913195172455</v>
      </c>
      <c r="G229" s="27" t="n">
        <v>6.81</v>
      </c>
      <c r="H229" s="1" t="n">
        <v>0.730868048275455</v>
      </c>
      <c r="K229" s="22"/>
      <c r="M229" s="23"/>
      <c r="P229" s="12" t="n">
        <v>7</v>
      </c>
      <c r="Q229" s="13" t="s">
        <v>102</v>
      </c>
      <c r="R229" s="13" t="n">
        <v>68</v>
      </c>
      <c r="S229" s="13" t="n">
        <v>17.1</v>
      </c>
      <c r="T229" s="13" t="n">
        <v>31</v>
      </c>
      <c r="U229" s="13" t="n">
        <v>29.9</v>
      </c>
      <c r="V229" s="13" t="n">
        <v>79.1</v>
      </c>
      <c r="W229" s="13" t="n">
        <v>6.05</v>
      </c>
    </row>
    <row r="230" customFormat="false" ht="12.8" hidden="false" customHeight="false" outlineLevel="0" collapsed="false">
      <c r="A230" s="1" t="n">
        <v>77.9</v>
      </c>
      <c r="B230" s="1" t="n">
        <v>29.1</v>
      </c>
      <c r="C230" s="1" t="n">
        <v>33.7</v>
      </c>
      <c r="D230" s="1" t="n">
        <v>37.4</v>
      </c>
      <c r="E230" s="1" t="n">
        <v>87.1</v>
      </c>
      <c r="F230" s="27" t="n">
        <v>5.82088411531612</v>
      </c>
      <c r="G230" s="27" t="n">
        <v>6.15</v>
      </c>
      <c r="H230" s="1" t="n">
        <v>0.329115884683881</v>
      </c>
      <c r="K230" s="22"/>
      <c r="M230" s="23"/>
      <c r="P230" s="12" t="n">
        <v>7</v>
      </c>
      <c r="Q230" s="13" t="s">
        <v>103</v>
      </c>
      <c r="R230" s="13" t="n">
        <v>57.9</v>
      </c>
      <c r="S230" s="13" t="n">
        <v>21.5</v>
      </c>
      <c r="T230" s="13" t="n">
        <v>34.1</v>
      </c>
      <c r="U230" s="13" t="n">
        <v>33.3</v>
      </c>
      <c r="V230" s="13" t="n">
        <v>83.9</v>
      </c>
      <c r="W230" s="13" t="n">
        <v>5.85</v>
      </c>
    </row>
    <row r="231" customFormat="false" ht="12.8" hidden="false" customHeight="false" outlineLevel="0" collapsed="false">
      <c r="A231" s="1" t="n">
        <v>59.8</v>
      </c>
      <c r="B231" s="1" t="n">
        <v>27.9</v>
      </c>
      <c r="C231" s="1" t="n">
        <v>33.8</v>
      </c>
      <c r="D231" s="1" t="n">
        <v>31.3</v>
      </c>
      <c r="E231" s="1" t="n">
        <v>84.8</v>
      </c>
      <c r="F231" s="27" t="n">
        <v>5.98515789374755</v>
      </c>
      <c r="G231" s="27" t="n">
        <v>5.48</v>
      </c>
      <c r="H231" s="1" t="n">
        <v>-0.505157893747549</v>
      </c>
      <c r="K231" s="22"/>
      <c r="M231" s="23"/>
      <c r="P231" s="12" t="n">
        <v>7</v>
      </c>
      <c r="Q231" s="13" t="s">
        <v>104</v>
      </c>
      <c r="R231" s="13" t="n">
        <v>58.9</v>
      </c>
      <c r="S231" s="13" t="n">
        <v>24.8</v>
      </c>
      <c r="T231" s="13" t="n">
        <v>34.5</v>
      </c>
      <c r="U231" s="13" t="n">
        <v>34.8</v>
      </c>
      <c r="V231" s="13" t="n">
        <v>85.1</v>
      </c>
      <c r="W231" s="13" t="n">
        <v>6.91</v>
      </c>
    </row>
    <row r="232" customFormat="false" ht="12.8" hidden="false" customHeight="false" outlineLevel="0" collapsed="false">
      <c r="A232" s="1" t="n">
        <v>55.7</v>
      </c>
      <c r="B232" s="1" t="n">
        <v>17.2</v>
      </c>
      <c r="C232" s="1" t="n">
        <v>32.1</v>
      </c>
      <c r="D232" s="1" t="n">
        <v>32.2</v>
      </c>
      <c r="E232" s="1" t="n">
        <v>82.7</v>
      </c>
      <c r="F232" s="27" t="n">
        <v>5.51238457840281</v>
      </c>
      <c r="G232" s="27" t="n">
        <v>5.06</v>
      </c>
      <c r="H232" s="1" t="n">
        <v>-0.452384578402808</v>
      </c>
      <c r="K232" s="22"/>
      <c r="M232" s="23"/>
      <c r="P232" s="12" t="n">
        <v>7</v>
      </c>
      <c r="Q232" s="13" t="s">
        <v>105</v>
      </c>
      <c r="R232" s="13" t="n">
        <v>59.3</v>
      </c>
      <c r="S232" s="13" t="n">
        <v>25.6</v>
      </c>
      <c r="T232" s="13" t="n">
        <v>34.5</v>
      </c>
      <c r="U232" s="13" t="n">
        <v>33.8</v>
      </c>
      <c r="V232" s="13" t="n">
        <v>84.7</v>
      </c>
      <c r="W232" s="13" t="n">
        <v>6.56</v>
      </c>
    </row>
    <row r="233" customFormat="false" ht="12.8" hidden="false" customHeight="false" outlineLevel="0" collapsed="false">
      <c r="A233" s="1" t="n">
        <v>61.7</v>
      </c>
      <c r="B233" s="1" t="n">
        <v>27.6</v>
      </c>
      <c r="C233" s="1" t="n">
        <v>33.6</v>
      </c>
      <c r="D233" s="1" t="n">
        <v>34.6</v>
      </c>
      <c r="E233" s="1" t="n">
        <v>83.1</v>
      </c>
      <c r="F233" s="27" t="n">
        <v>5.93421845082731</v>
      </c>
      <c r="G233" s="27" t="n">
        <v>5.43</v>
      </c>
      <c r="H233" s="1" t="n">
        <v>-0.504218450827311</v>
      </c>
      <c r="K233" s="22"/>
      <c r="M233" s="23"/>
      <c r="P233" s="12" t="n">
        <v>7</v>
      </c>
      <c r="Q233" s="13" t="s">
        <v>106</v>
      </c>
      <c r="R233" s="13" t="n">
        <v>64.1</v>
      </c>
      <c r="S233" s="13" t="n">
        <v>38.3</v>
      </c>
      <c r="T233" s="13" t="n">
        <v>34</v>
      </c>
      <c r="U233" s="13" t="n">
        <v>38.9</v>
      </c>
      <c r="V233" s="13" t="n">
        <v>85.1</v>
      </c>
      <c r="W233" s="13" t="n">
        <v>6.3</v>
      </c>
    </row>
    <row r="234" customFormat="false" ht="12.8" hidden="false" customHeight="false" outlineLevel="0" collapsed="false">
      <c r="A234" s="1" t="n">
        <v>55.5</v>
      </c>
      <c r="B234" s="1" t="n">
        <v>14.5</v>
      </c>
      <c r="C234" s="1" t="n">
        <v>32.3</v>
      </c>
      <c r="D234" s="1" t="n">
        <v>32.6</v>
      </c>
      <c r="E234" s="1" t="n">
        <v>83.8</v>
      </c>
      <c r="F234" s="27" t="n">
        <v>5.40758284163311</v>
      </c>
      <c r="G234" s="27" t="n">
        <v>5.24</v>
      </c>
      <c r="H234" s="1" t="n">
        <v>-0.167582841633108</v>
      </c>
      <c r="K234" s="22"/>
      <c r="M234" s="23"/>
      <c r="P234" s="12" t="n">
        <v>7</v>
      </c>
      <c r="Q234" s="13" t="s">
        <v>107</v>
      </c>
      <c r="R234" s="13" t="n">
        <v>66.6</v>
      </c>
      <c r="S234" s="13" t="n">
        <v>30.8</v>
      </c>
      <c r="T234" s="13" t="n">
        <v>34.3</v>
      </c>
      <c r="U234" s="13" t="n">
        <v>37.5</v>
      </c>
      <c r="V234" s="13" t="n">
        <v>82.8</v>
      </c>
      <c r="W234" s="13" t="n">
        <v>6.35</v>
      </c>
    </row>
    <row r="235" customFormat="false" ht="12.8" hidden="false" customHeight="false" outlineLevel="0" collapsed="false">
      <c r="A235" s="1" t="n">
        <v>48.1</v>
      </c>
      <c r="B235" s="1" t="n">
        <v>9.7</v>
      </c>
      <c r="C235" s="1" t="n">
        <v>33.2</v>
      </c>
      <c r="D235" s="1" t="n">
        <v>30.5</v>
      </c>
      <c r="E235" s="1" t="n">
        <v>83.5</v>
      </c>
      <c r="F235" s="27" t="n">
        <v>5.32772834613871</v>
      </c>
      <c r="G235" s="27" t="n">
        <v>5.03</v>
      </c>
      <c r="H235" s="1" t="n">
        <v>-0.297728346138713</v>
      </c>
      <c r="K235" s="22"/>
      <c r="M235" s="23"/>
      <c r="P235" s="12" t="n">
        <v>7</v>
      </c>
      <c r="Q235" s="13" t="s">
        <v>108</v>
      </c>
      <c r="R235" s="13" t="n">
        <v>60.1</v>
      </c>
      <c r="S235" s="13" t="n">
        <v>20.7</v>
      </c>
      <c r="T235" s="13" t="n">
        <v>34.5</v>
      </c>
      <c r="U235" s="13" t="n">
        <v>34.1</v>
      </c>
      <c r="V235" s="13" t="n">
        <v>85.9</v>
      </c>
      <c r="W235" s="13" t="n">
        <v>6.14</v>
      </c>
    </row>
    <row r="236" customFormat="false" ht="12.8" hidden="false" customHeight="false" outlineLevel="0" collapsed="false">
      <c r="A236" s="1" t="n">
        <v>47.7</v>
      </c>
      <c r="B236" s="1" t="n">
        <v>16</v>
      </c>
      <c r="C236" s="1" t="n">
        <v>33.5</v>
      </c>
      <c r="D236" s="1" t="n">
        <v>32.2</v>
      </c>
      <c r="E236" s="1" t="n">
        <v>83.4</v>
      </c>
      <c r="F236" s="27" t="n">
        <v>5.59951082403911</v>
      </c>
      <c r="G236" s="27" t="n">
        <v>5.1</v>
      </c>
      <c r="H236" s="1" t="n">
        <v>-0.499510824039113</v>
      </c>
      <c r="K236" s="22"/>
      <c r="M236" s="23"/>
      <c r="P236" s="12" t="n">
        <v>7</v>
      </c>
      <c r="Q236" s="13" t="s">
        <v>109</v>
      </c>
      <c r="R236" s="13" t="n">
        <v>51.6</v>
      </c>
      <c r="S236" s="13" t="n">
        <v>21.5</v>
      </c>
      <c r="T236" s="13" t="n">
        <v>34.1</v>
      </c>
      <c r="U236" s="13" t="n">
        <v>39</v>
      </c>
      <c r="V236" s="13" t="n">
        <v>87.5</v>
      </c>
      <c r="W236" s="13" t="n">
        <v>6.64</v>
      </c>
    </row>
    <row r="237" customFormat="false" ht="12.8" hidden="false" customHeight="false" outlineLevel="0" collapsed="false">
      <c r="A237" s="1" t="n">
        <v>53.8</v>
      </c>
      <c r="B237" s="1" t="n">
        <v>11.6</v>
      </c>
      <c r="C237" s="1" t="n">
        <v>34.4</v>
      </c>
      <c r="D237" s="1" t="n">
        <v>32</v>
      </c>
      <c r="E237" s="1" t="n">
        <v>82.3</v>
      </c>
      <c r="F237" s="27" t="n">
        <v>5.39187920815234</v>
      </c>
      <c r="G237" s="27" t="n">
        <v>4.49</v>
      </c>
      <c r="H237" s="1" t="n">
        <v>-0.901879208152337</v>
      </c>
      <c r="K237" s="22"/>
      <c r="M237" s="23"/>
      <c r="P237" s="12" t="n">
        <v>7</v>
      </c>
      <c r="Q237" s="13" t="s">
        <v>110</v>
      </c>
      <c r="R237" s="13" t="n">
        <v>60.2</v>
      </c>
      <c r="S237" s="13" t="n">
        <v>28.8</v>
      </c>
      <c r="T237" s="13" t="n">
        <v>33.9</v>
      </c>
      <c r="U237" s="13" t="n">
        <v>33.9</v>
      </c>
      <c r="V237" s="13" t="n">
        <v>90.1</v>
      </c>
      <c r="W237" s="13" t="n">
        <v>6.4</v>
      </c>
    </row>
    <row r="238" customFormat="false" ht="12.8" hidden="false" customHeight="false" outlineLevel="0" collapsed="false">
      <c r="A238" s="1" t="n">
        <v>48.2</v>
      </c>
      <c r="B238" s="1" t="n">
        <v>13.5</v>
      </c>
      <c r="C238" s="1" t="n">
        <v>33.4</v>
      </c>
      <c r="D238" s="1" t="n">
        <v>31.9</v>
      </c>
      <c r="E238" s="1" t="n">
        <v>82.6</v>
      </c>
      <c r="F238" s="27" t="n">
        <v>5.48826149426592</v>
      </c>
      <c r="G238" s="27" t="n">
        <v>5.08</v>
      </c>
      <c r="H238" s="1" t="n">
        <v>-0.408261494265915</v>
      </c>
      <c r="K238" s="22"/>
      <c r="M238" s="23"/>
      <c r="W238" s="0"/>
    </row>
    <row r="239" customFormat="false" ht="12.8" hidden="false" customHeight="false" outlineLevel="0" collapsed="false">
      <c r="A239" s="1" t="n">
        <v>70.4</v>
      </c>
      <c r="B239" s="1" t="n">
        <v>24.2</v>
      </c>
      <c r="C239" s="1" t="n">
        <v>34.2</v>
      </c>
      <c r="D239" s="1" t="n">
        <v>36.1</v>
      </c>
      <c r="E239" s="1" t="n">
        <v>84.8</v>
      </c>
      <c r="F239" s="27" t="n">
        <v>5.72064561772287</v>
      </c>
      <c r="G239" s="27" t="n">
        <v>5.28</v>
      </c>
      <c r="H239" s="1" t="n">
        <v>-0.440645617722874</v>
      </c>
      <c r="K239" s="22"/>
      <c r="M239" s="23"/>
      <c r="W239" s="0"/>
    </row>
    <row r="240" customFormat="false" ht="12.8" hidden="false" customHeight="false" outlineLevel="0" collapsed="false">
      <c r="A240" s="1" t="n">
        <v>72.3</v>
      </c>
      <c r="B240" s="1" t="n">
        <v>33.2</v>
      </c>
      <c r="C240" s="1" t="n">
        <v>33.1</v>
      </c>
      <c r="D240" s="1" t="n">
        <v>38.5</v>
      </c>
      <c r="E240" s="1" t="n">
        <v>83.8</v>
      </c>
      <c r="F240" s="27" t="n">
        <v>6.02343722510598</v>
      </c>
      <c r="G240" s="27" t="n">
        <v>4.97</v>
      </c>
      <c r="H240" s="1" t="n">
        <v>-1.05343722510598</v>
      </c>
      <c r="K240" s="22"/>
      <c r="M240" s="23"/>
      <c r="W240" s="0"/>
    </row>
    <row r="241" customFormat="false" ht="12.8" hidden="false" customHeight="false" outlineLevel="0" collapsed="false">
      <c r="A241" s="1" t="n">
        <v>67</v>
      </c>
      <c r="B241" s="1" t="n">
        <v>27.5</v>
      </c>
      <c r="C241" s="1" t="n">
        <v>33.6</v>
      </c>
      <c r="D241" s="1" t="n">
        <v>32.8</v>
      </c>
      <c r="E241" s="1" t="n">
        <v>82.9</v>
      </c>
      <c r="F241" s="27" t="n">
        <v>5.88296556502099</v>
      </c>
      <c r="G241" s="27" t="n">
        <v>5.12</v>
      </c>
      <c r="H241" s="1" t="n">
        <v>-0.762965565020988</v>
      </c>
      <c r="K241" s="22"/>
      <c r="M241" s="23"/>
      <c r="W241" s="0"/>
    </row>
    <row r="242" customFormat="false" ht="12.8" hidden="false" customHeight="false" outlineLevel="0" collapsed="false">
      <c r="A242" s="1" t="n">
        <v>67.6</v>
      </c>
      <c r="B242" s="1" t="n">
        <v>24.3</v>
      </c>
      <c r="C242" s="1" t="n">
        <v>32.9</v>
      </c>
      <c r="D242" s="1" t="n">
        <v>33.6</v>
      </c>
      <c r="E242" s="1" t="n">
        <v>81.8</v>
      </c>
      <c r="F242" s="27" t="n">
        <v>5.71366347029775</v>
      </c>
      <c r="G242" s="27" t="n">
        <v>5.43</v>
      </c>
      <c r="H242" s="1" t="n">
        <v>-0.283663470297746</v>
      </c>
      <c r="K242" s="22"/>
      <c r="M242" s="23"/>
      <c r="W242" s="0"/>
    </row>
    <row r="243" customFormat="false" ht="12.8" hidden="false" customHeight="false" outlineLevel="0" collapsed="false">
      <c r="A243" s="1" t="n">
        <v>69</v>
      </c>
      <c r="B243" s="1" t="n">
        <v>22.5</v>
      </c>
      <c r="C243" s="1" t="n">
        <v>33.2</v>
      </c>
      <c r="D243" s="1" t="n">
        <v>33.4</v>
      </c>
      <c r="E243" s="1" t="n">
        <v>82.6</v>
      </c>
      <c r="F243" s="27" t="n">
        <v>5.63651576365968</v>
      </c>
      <c r="G243" s="27" t="n">
        <v>5.4</v>
      </c>
      <c r="H243" s="1" t="n">
        <v>-0.236515763659678</v>
      </c>
      <c r="K243" s="22"/>
      <c r="M243" s="23"/>
      <c r="W243" s="0"/>
    </row>
    <row r="244" customFormat="false" ht="12.8" hidden="false" customHeight="false" outlineLevel="0" collapsed="false">
      <c r="A244" s="1" t="n">
        <v>64.5</v>
      </c>
      <c r="B244" s="1" t="n">
        <v>31.2</v>
      </c>
      <c r="C244" s="1" t="n">
        <v>34</v>
      </c>
      <c r="D244" s="1" t="n">
        <v>36.2</v>
      </c>
      <c r="E244" s="1" t="n">
        <v>84.6</v>
      </c>
      <c r="F244" s="27" t="n">
        <v>6.06393120349149</v>
      </c>
      <c r="G244" s="27" t="n">
        <v>5.28</v>
      </c>
      <c r="H244" s="1" t="n">
        <v>-0.783931203491487</v>
      </c>
      <c r="K244" s="22"/>
      <c r="M244" s="23"/>
      <c r="W244" s="0"/>
    </row>
    <row r="245" customFormat="false" ht="12.8" hidden="false" customHeight="false" outlineLevel="0" collapsed="false">
      <c r="A245" s="1" t="n">
        <v>65.5</v>
      </c>
      <c r="B245" s="1" t="n">
        <v>24.6</v>
      </c>
      <c r="C245" s="1" t="n">
        <v>34.8</v>
      </c>
      <c r="D245" s="1" t="n">
        <v>36.2</v>
      </c>
      <c r="E245" s="1" t="n">
        <v>82.7</v>
      </c>
      <c r="F245" s="27" t="n">
        <v>5.81282413301103</v>
      </c>
      <c r="G245" s="27" t="n">
        <v>5.4</v>
      </c>
      <c r="H245" s="1" t="n">
        <v>-0.41282413301103</v>
      </c>
      <c r="K245" s="22"/>
      <c r="M245" s="23"/>
      <c r="W245" s="0"/>
    </row>
    <row r="246" customFormat="false" ht="12.8" hidden="false" customHeight="false" outlineLevel="0" collapsed="false">
      <c r="A246" s="1" t="n">
        <v>59.7</v>
      </c>
      <c r="B246" s="1" t="n">
        <v>17.7</v>
      </c>
      <c r="C246" s="1" t="n">
        <v>34.3</v>
      </c>
      <c r="D246" s="1" t="n">
        <v>34.6</v>
      </c>
      <c r="E246" s="1" t="n">
        <v>83.8</v>
      </c>
      <c r="F246" s="27" t="n">
        <v>5.5701345333967</v>
      </c>
      <c r="G246" s="27" t="n">
        <v>5.1</v>
      </c>
      <c r="H246" s="1" t="n">
        <v>-0.470134533396704</v>
      </c>
      <c r="K246" s="22"/>
      <c r="M246" s="23"/>
      <c r="W246" s="0"/>
    </row>
    <row r="247" customFormat="false" ht="12.8" hidden="false" customHeight="false" outlineLevel="0" collapsed="false">
      <c r="A247" s="1" t="n">
        <v>57</v>
      </c>
      <c r="B247" s="1" t="n">
        <v>16.8</v>
      </c>
      <c r="C247" s="1" t="n">
        <v>33.2</v>
      </c>
      <c r="D247" s="1" t="n">
        <v>31.1</v>
      </c>
      <c r="E247" s="1" t="n">
        <v>82.6</v>
      </c>
      <c r="F247" s="27" t="n">
        <v>5.53072068180324</v>
      </c>
      <c r="G247" s="27" t="n">
        <v>4.94</v>
      </c>
      <c r="H247" s="1" t="n">
        <v>-0.590720681803237</v>
      </c>
      <c r="K247" s="22"/>
      <c r="M247" s="23"/>
      <c r="W247" s="0"/>
    </row>
    <row r="248" customFormat="false" ht="12.8" hidden="false" customHeight="false" outlineLevel="0" collapsed="false">
      <c r="A248" s="1" t="n">
        <v>64.6</v>
      </c>
      <c r="B248" s="1" t="n">
        <v>18.1</v>
      </c>
      <c r="C248" s="1" t="n">
        <v>33.4</v>
      </c>
      <c r="D248" s="1" t="n">
        <v>34.8</v>
      </c>
      <c r="E248" s="1" t="n">
        <v>82.1</v>
      </c>
      <c r="F248" s="27" t="n">
        <v>5.50151219530119</v>
      </c>
      <c r="G248" s="27" t="n">
        <v>5.22</v>
      </c>
      <c r="H248" s="1" t="n">
        <v>-0.281512195301192</v>
      </c>
      <c r="K248" s="22"/>
      <c r="M248" s="23"/>
      <c r="W248" s="0"/>
    </row>
    <row r="249" customFormat="false" ht="12.8" hidden="false" customHeight="false" outlineLevel="0" collapsed="false">
      <c r="A249" s="1" t="n">
        <v>62.6</v>
      </c>
      <c r="B249" s="1" t="n">
        <v>19.5</v>
      </c>
      <c r="C249" s="1" t="n">
        <v>33.8</v>
      </c>
      <c r="D249" s="1" t="n">
        <v>32.3</v>
      </c>
      <c r="E249" s="1" t="n">
        <v>83.6</v>
      </c>
      <c r="F249" s="27" t="n">
        <v>5.60436001868286</v>
      </c>
      <c r="G249" s="27" t="n">
        <v>5.35</v>
      </c>
      <c r="H249" s="1" t="n">
        <v>-0.254360018682857</v>
      </c>
      <c r="K249" s="22"/>
      <c r="M249" s="23"/>
      <c r="W249" s="0"/>
    </row>
    <row r="250" customFormat="false" ht="12.8" hidden="false" customHeight="false" outlineLevel="0" collapsed="false">
      <c r="A250" s="1" t="n">
        <v>62.8</v>
      </c>
      <c r="B250" s="1" t="n">
        <v>17.8</v>
      </c>
      <c r="C250" s="1" t="n">
        <v>34.8</v>
      </c>
      <c r="D250" s="1" t="n">
        <v>30.5</v>
      </c>
      <c r="E250" s="1" t="n">
        <v>80.3</v>
      </c>
      <c r="F250" s="27" t="n">
        <v>5.58139164010627</v>
      </c>
      <c r="G250" s="27" t="n">
        <v>5.25</v>
      </c>
      <c r="H250" s="1" t="n">
        <v>-0.331391640106273</v>
      </c>
      <c r="K250" s="22"/>
      <c r="M250" s="23"/>
      <c r="W250" s="0"/>
    </row>
    <row r="251" customFormat="false" ht="12.8" hidden="false" customHeight="false" outlineLevel="0" collapsed="false">
      <c r="A251" s="1" t="n">
        <v>50.2</v>
      </c>
      <c r="B251" s="1" t="n">
        <v>13.8</v>
      </c>
      <c r="C251" s="1" t="n">
        <v>34.1</v>
      </c>
      <c r="D251" s="1" t="n">
        <v>31.6</v>
      </c>
      <c r="E251" s="1" t="n">
        <v>80.7</v>
      </c>
      <c r="F251" s="27" t="n">
        <v>5.5111448629565</v>
      </c>
      <c r="G251" s="27" t="n">
        <v>5.34</v>
      </c>
      <c r="H251" s="1" t="n">
        <v>-0.171144862956496</v>
      </c>
      <c r="K251" s="22"/>
      <c r="M251" s="23"/>
      <c r="W251" s="0"/>
    </row>
    <row r="252" customFormat="false" ht="12.8" hidden="false" customHeight="false" outlineLevel="0" collapsed="false">
      <c r="A252" s="1" t="n">
        <v>56.8</v>
      </c>
      <c r="B252" s="1" t="n">
        <v>15.5</v>
      </c>
      <c r="C252" s="1" t="n">
        <v>33.7</v>
      </c>
      <c r="D252" s="1" t="n">
        <v>32.8</v>
      </c>
      <c r="E252" s="1" t="n">
        <v>82.4</v>
      </c>
      <c r="F252" s="27" t="n">
        <v>5.49236486483174</v>
      </c>
      <c r="G252" s="27" t="n">
        <v>5.56</v>
      </c>
      <c r="H252" s="1" t="n">
        <v>0.0676351351682571</v>
      </c>
      <c r="K252" s="22"/>
      <c r="M252" s="23"/>
      <c r="W252" s="0"/>
    </row>
    <row r="253" customFormat="false" ht="12.8" hidden="false" customHeight="false" outlineLevel="0" collapsed="false">
      <c r="A253" s="1" t="n">
        <v>56.3</v>
      </c>
      <c r="B253" s="1" t="n">
        <v>20.8</v>
      </c>
      <c r="C253" s="1" t="n">
        <v>35.5</v>
      </c>
      <c r="D253" s="1" t="n">
        <v>37.1</v>
      </c>
      <c r="E253" s="1" t="n">
        <v>79</v>
      </c>
      <c r="F253" s="27" t="n">
        <v>5.77657564053648</v>
      </c>
      <c r="G253" s="27" t="n">
        <v>5.91</v>
      </c>
      <c r="H253" s="1" t="n">
        <v>0.133424359463517</v>
      </c>
      <c r="K253" s="22"/>
      <c r="M253" s="23"/>
      <c r="W253" s="0"/>
    </row>
    <row r="254" customFormat="false" ht="12.8" hidden="false" customHeight="false" outlineLevel="0" collapsed="false">
      <c r="A254" s="1" t="n">
        <v>57.5</v>
      </c>
      <c r="B254" s="1" t="n">
        <v>17.9</v>
      </c>
      <c r="C254" s="1" t="n">
        <v>35.2</v>
      </c>
      <c r="D254" s="1" t="n">
        <v>32.7</v>
      </c>
      <c r="E254" s="1" t="n">
        <v>79.8</v>
      </c>
      <c r="F254" s="27" t="n">
        <v>5.64773729940593</v>
      </c>
      <c r="G254" s="27" t="n">
        <v>6.11</v>
      </c>
      <c r="H254" s="1" t="n">
        <v>0.462262700594071</v>
      </c>
      <c r="K254" s="22"/>
      <c r="M254" s="23"/>
      <c r="W254" s="0"/>
    </row>
    <row r="255" customFormat="false" ht="12.8" hidden="false" customHeight="false" outlineLevel="0" collapsed="false">
      <c r="A255" s="1" t="n">
        <v>58</v>
      </c>
      <c r="B255" s="1" t="n">
        <v>23.6</v>
      </c>
      <c r="C255" s="1" t="n">
        <v>33.7</v>
      </c>
      <c r="D255" s="1" t="n">
        <v>31</v>
      </c>
      <c r="E255" s="1" t="n">
        <v>84.6</v>
      </c>
      <c r="F255" s="27" t="n">
        <v>5.82197801586664</v>
      </c>
      <c r="G255" s="27" t="n">
        <v>6.04</v>
      </c>
      <c r="H255" s="1" t="n">
        <v>0.218021984133361</v>
      </c>
      <c r="K255" s="22"/>
      <c r="M255" s="23"/>
      <c r="W255" s="0"/>
    </row>
    <row r="256" customFormat="false" ht="12.8" hidden="false" customHeight="false" outlineLevel="0" collapsed="false">
      <c r="A256" s="1" t="n">
        <v>71.5</v>
      </c>
      <c r="B256" s="1" t="n">
        <v>25.6</v>
      </c>
      <c r="C256" s="1" t="n">
        <v>33.5</v>
      </c>
      <c r="D256" s="1" t="n">
        <v>35.8</v>
      </c>
      <c r="E256" s="1" t="n">
        <v>86.3</v>
      </c>
      <c r="F256" s="27" t="n">
        <v>5.73946940482592</v>
      </c>
      <c r="G256" s="27" t="n">
        <v>6.35</v>
      </c>
      <c r="H256" s="1" t="n">
        <v>0.610530595174075</v>
      </c>
      <c r="K256" s="22"/>
      <c r="M256" s="23"/>
      <c r="W256" s="0"/>
    </row>
    <row r="257" customFormat="false" ht="12.8" hidden="false" customHeight="false" outlineLevel="0" collapsed="false">
      <c r="A257" s="1" t="n">
        <v>65</v>
      </c>
      <c r="B257" s="1" t="n">
        <v>35.6</v>
      </c>
      <c r="C257" s="1" t="n">
        <v>32.4</v>
      </c>
      <c r="D257" s="1" t="n">
        <v>38.3</v>
      </c>
      <c r="E257" s="1" t="n">
        <v>81.8</v>
      </c>
      <c r="F257" s="27" t="n">
        <v>6.17242262121151</v>
      </c>
      <c r="G257" s="27" t="n">
        <v>5.65</v>
      </c>
      <c r="H257" s="1" t="n">
        <v>-0.52242262121151</v>
      </c>
      <c r="K257" s="22"/>
      <c r="M257" s="23"/>
      <c r="W257" s="0"/>
    </row>
    <row r="258" customFormat="false" ht="12.8" hidden="false" customHeight="false" outlineLevel="0" collapsed="false">
      <c r="A258" s="1" t="n">
        <v>59.3</v>
      </c>
      <c r="B258" s="1" t="n">
        <v>21.4</v>
      </c>
      <c r="C258" s="1" t="n">
        <v>33.4</v>
      </c>
      <c r="D258" s="1" t="n">
        <v>36.7</v>
      </c>
      <c r="E258" s="1" t="n">
        <v>81.8</v>
      </c>
      <c r="F258" s="27" t="n">
        <v>5.68596095278613</v>
      </c>
      <c r="G258" s="27" t="n">
        <v>5.38</v>
      </c>
      <c r="H258" s="1" t="n">
        <v>-0.305960952786134</v>
      </c>
      <c r="K258" s="22"/>
      <c r="M258" s="23"/>
      <c r="W258" s="0"/>
    </row>
    <row r="259" customFormat="false" ht="12.8" hidden="false" customHeight="false" outlineLevel="0" collapsed="false">
      <c r="A259" s="1" t="n">
        <v>57.1</v>
      </c>
      <c r="B259" s="1" t="n">
        <v>20.2</v>
      </c>
      <c r="C259" s="1" t="n">
        <v>34.4</v>
      </c>
      <c r="D259" s="1" t="n">
        <v>33.7</v>
      </c>
      <c r="E259" s="1" t="n">
        <v>84.6</v>
      </c>
      <c r="F259" s="27" t="n">
        <v>5.70740911162902</v>
      </c>
      <c r="G259" s="27" t="n">
        <v>5.83</v>
      </c>
      <c r="H259" s="1" t="n">
        <v>0.122590888370981</v>
      </c>
      <c r="K259" s="22"/>
      <c r="M259" s="23"/>
      <c r="W259" s="0"/>
    </row>
    <row r="260" customFormat="false" ht="12.8" hidden="false" customHeight="false" outlineLevel="0" collapsed="false">
      <c r="A260" s="1" t="n">
        <v>57</v>
      </c>
      <c r="B260" s="1" t="n">
        <v>27.2</v>
      </c>
      <c r="C260" s="1" t="n">
        <v>35.8</v>
      </c>
      <c r="D260" s="1" t="n">
        <v>31.1</v>
      </c>
      <c r="E260" s="1" t="n">
        <v>77</v>
      </c>
      <c r="F260" s="27" t="n">
        <v>6.07234688652932</v>
      </c>
      <c r="G260" s="27" t="n">
        <v>6.16</v>
      </c>
      <c r="H260" s="1" t="n">
        <v>0.0876531134706831</v>
      </c>
      <c r="K260" s="22"/>
      <c r="M260" s="23"/>
      <c r="W260" s="0"/>
    </row>
    <row r="261" customFormat="false" ht="12.8" hidden="false" customHeight="false" outlineLevel="0" collapsed="false">
      <c r="A261" s="1" t="n">
        <v>55</v>
      </c>
      <c r="B261" s="1" t="n">
        <v>34.1</v>
      </c>
      <c r="C261" s="1" t="n">
        <v>33.5</v>
      </c>
      <c r="D261" s="1" t="n">
        <v>32.5</v>
      </c>
      <c r="E261" s="1" t="n">
        <v>80.6</v>
      </c>
      <c r="F261" s="27" t="n">
        <v>6.27932387295057</v>
      </c>
      <c r="G261" s="27" t="n">
        <v>5.95</v>
      </c>
      <c r="H261" s="1" t="n">
        <v>-0.329323872950571</v>
      </c>
      <c r="K261" s="22"/>
      <c r="M261" s="23"/>
      <c r="W261" s="0"/>
    </row>
    <row r="262" customFormat="false" ht="12.8" hidden="false" customHeight="false" outlineLevel="0" collapsed="false">
      <c r="A262" s="1" t="n">
        <v>63</v>
      </c>
      <c r="B262" s="1" t="n">
        <v>19.2</v>
      </c>
      <c r="C262" s="1" t="n">
        <v>33.2</v>
      </c>
      <c r="D262" s="1" t="n">
        <v>33.7</v>
      </c>
      <c r="E262" s="1" t="n">
        <v>81</v>
      </c>
      <c r="F262" s="27" t="n">
        <v>5.56080426864834</v>
      </c>
      <c r="G262" s="27" t="n">
        <v>5.89</v>
      </c>
      <c r="H262" s="1" t="n">
        <v>0.329195731351665</v>
      </c>
      <c r="K262" s="22"/>
      <c r="M262" s="23"/>
      <c r="W262" s="0"/>
    </row>
    <row r="263" customFormat="false" ht="12.8" hidden="false" customHeight="false" outlineLevel="0" collapsed="false">
      <c r="A263" s="1" t="n">
        <v>68</v>
      </c>
      <c r="B263" s="1" t="n">
        <v>17.1</v>
      </c>
      <c r="C263" s="1" t="n">
        <v>31</v>
      </c>
      <c r="D263" s="1" t="n">
        <v>29.9</v>
      </c>
      <c r="E263" s="1" t="n">
        <v>79.1</v>
      </c>
      <c r="F263" s="27" t="n">
        <v>5.3506182448044</v>
      </c>
      <c r="G263" s="27" t="n">
        <v>6.05</v>
      </c>
      <c r="H263" s="1" t="n">
        <v>0.699381755195601</v>
      </c>
      <c r="K263" s="22"/>
      <c r="M263" s="23"/>
      <c r="W263" s="0"/>
    </row>
    <row r="264" customFormat="false" ht="12.8" hidden="false" customHeight="false" outlineLevel="0" collapsed="false">
      <c r="A264" s="1" t="n">
        <v>57.9</v>
      </c>
      <c r="B264" s="1" t="n">
        <v>21.5</v>
      </c>
      <c r="C264" s="1" t="n">
        <v>34.1</v>
      </c>
      <c r="D264" s="1" t="n">
        <v>33.3</v>
      </c>
      <c r="E264" s="1" t="n">
        <v>83.9</v>
      </c>
      <c r="F264" s="27" t="n">
        <v>5.74348223449395</v>
      </c>
      <c r="G264" s="27" t="n">
        <v>5.85</v>
      </c>
      <c r="H264" s="1" t="n">
        <v>0.106517765506049</v>
      </c>
      <c r="K264" s="22"/>
      <c r="M264" s="23"/>
      <c r="W264" s="0"/>
    </row>
    <row r="265" customFormat="false" ht="12.8" hidden="false" customHeight="false" outlineLevel="0" collapsed="false">
      <c r="A265" s="1" t="n">
        <v>58.9</v>
      </c>
      <c r="B265" s="1" t="n">
        <v>24.8</v>
      </c>
      <c r="C265" s="1" t="n">
        <v>34.5</v>
      </c>
      <c r="D265" s="1" t="n">
        <v>34.8</v>
      </c>
      <c r="E265" s="1" t="n">
        <v>85.1</v>
      </c>
      <c r="F265" s="27" t="n">
        <v>5.87975026648839</v>
      </c>
      <c r="G265" s="27" t="n">
        <v>6.91</v>
      </c>
      <c r="H265" s="1" t="n">
        <v>1.03024973351161</v>
      </c>
      <c r="K265" s="22"/>
      <c r="M265" s="23"/>
      <c r="W265" s="0"/>
    </row>
    <row r="266" customFormat="false" ht="12.8" hidden="false" customHeight="false" outlineLevel="0" collapsed="false">
      <c r="A266" s="1" t="n">
        <v>59.3</v>
      </c>
      <c r="B266" s="1" t="n">
        <v>25.6</v>
      </c>
      <c r="C266" s="1" t="n">
        <v>34.5</v>
      </c>
      <c r="D266" s="1" t="n">
        <v>33.8</v>
      </c>
      <c r="E266" s="1" t="n">
        <v>84.7</v>
      </c>
      <c r="F266" s="27" t="n">
        <v>5.91311852738124</v>
      </c>
      <c r="G266" s="27" t="n">
        <v>6.56</v>
      </c>
      <c r="H266" s="1" t="n">
        <v>0.64688147261876</v>
      </c>
      <c r="K266" s="22"/>
      <c r="M266" s="23"/>
      <c r="W266" s="0"/>
    </row>
    <row r="267" customFormat="false" ht="12.8" hidden="false" customHeight="false" outlineLevel="0" collapsed="false">
      <c r="A267" s="1" t="n">
        <v>64.1</v>
      </c>
      <c r="B267" s="1" t="n">
        <v>38.3</v>
      </c>
      <c r="C267" s="1" t="n">
        <v>34</v>
      </c>
      <c r="D267" s="1" t="n">
        <v>38.9</v>
      </c>
      <c r="E267" s="1" t="n">
        <v>85.1</v>
      </c>
      <c r="F267" s="27" t="n">
        <v>6.35265218875671</v>
      </c>
      <c r="G267" s="27" t="n">
        <v>6.3</v>
      </c>
      <c r="H267" s="1" t="n">
        <v>-0.0526521887567055</v>
      </c>
      <c r="K267" s="22"/>
      <c r="M267" s="23"/>
      <c r="W267" s="0"/>
    </row>
    <row r="268" customFormat="false" ht="12.8" hidden="false" customHeight="false" outlineLevel="0" collapsed="false">
      <c r="A268" s="1" t="n">
        <v>66.6</v>
      </c>
      <c r="B268" s="1" t="n">
        <v>30.8</v>
      </c>
      <c r="C268" s="1" t="n">
        <v>34.3</v>
      </c>
      <c r="D268" s="1" t="n">
        <v>37.5</v>
      </c>
      <c r="E268" s="1" t="n">
        <v>82.8</v>
      </c>
      <c r="F268" s="27" t="n">
        <v>6.03449126773941</v>
      </c>
      <c r="G268" s="27" t="n">
        <v>6.35</v>
      </c>
      <c r="H268" s="1" t="n">
        <v>0.315508732260594</v>
      </c>
      <c r="K268" s="22"/>
      <c r="M268" s="23"/>
      <c r="W268" s="0"/>
    </row>
    <row r="269" customFormat="false" ht="12.8" hidden="false" customHeight="false" outlineLevel="0" collapsed="false">
      <c r="A269" s="1" t="n">
        <v>60.1</v>
      </c>
      <c r="B269" s="1" t="n">
        <v>20.7</v>
      </c>
      <c r="C269" s="1" t="n">
        <v>34.5</v>
      </c>
      <c r="D269" s="1" t="n">
        <v>34.1</v>
      </c>
      <c r="E269" s="1" t="n">
        <v>85.9</v>
      </c>
      <c r="F269" s="27" t="n">
        <v>5.69887346920798</v>
      </c>
      <c r="G269" s="27" t="n">
        <v>6.14</v>
      </c>
      <c r="H269" s="1" t="n">
        <v>0.441126530792016</v>
      </c>
      <c r="K269" s="22"/>
      <c r="M269" s="23"/>
      <c r="W269" s="0"/>
    </row>
    <row r="270" customFormat="false" ht="12.8" hidden="false" customHeight="false" outlineLevel="0" collapsed="false">
      <c r="A270" s="1" t="n">
        <v>51.6</v>
      </c>
      <c r="B270" s="1" t="n">
        <v>21.5</v>
      </c>
      <c r="C270" s="1" t="n">
        <v>34.1</v>
      </c>
      <c r="D270" s="1" t="n">
        <v>39</v>
      </c>
      <c r="E270" s="1" t="n">
        <v>87.5</v>
      </c>
      <c r="F270" s="27" t="n">
        <v>5.78286766043298</v>
      </c>
      <c r="G270" s="27" t="n">
        <v>6.64</v>
      </c>
      <c r="H270" s="1" t="n">
        <v>0.857132339567024</v>
      </c>
      <c r="K270" s="22"/>
      <c r="M270" s="23"/>
      <c r="W270" s="0"/>
    </row>
    <row r="271" customFormat="false" ht="12.8" hidden="false" customHeight="false" outlineLevel="0" collapsed="false">
      <c r="A271" s="1" t="n">
        <v>60.2</v>
      </c>
      <c r="B271" s="1" t="n">
        <v>28.8</v>
      </c>
      <c r="C271" s="1" t="n">
        <v>33.9</v>
      </c>
      <c r="D271" s="1" t="n">
        <v>33.9</v>
      </c>
      <c r="E271" s="1" t="n">
        <v>90.1</v>
      </c>
      <c r="F271" s="27" t="n">
        <v>6.00784223494852</v>
      </c>
      <c r="G271" s="27" t="n">
        <v>6.4</v>
      </c>
      <c r="H271" s="1" t="n">
        <v>0.392157765051481</v>
      </c>
      <c r="K271" s="22"/>
      <c r="M271" s="23"/>
      <c r="W271" s="0"/>
    </row>
    <row r="272" customFormat="false" ht="12.8" hidden="false" customHeight="false" outlineLevel="0" collapsed="false">
      <c r="K272" s="22"/>
      <c r="M272" s="23"/>
      <c r="W272" s="0"/>
    </row>
    <row r="273" customFormat="false" ht="12.8" hidden="false" customHeight="false" outlineLevel="0" collapsed="false">
      <c r="K273" s="22"/>
      <c r="M273" s="23"/>
      <c r="W273" s="0"/>
    </row>
    <row r="274" customFormat="false" ht="12.8" hidden="false" customHeight="false" outlineLevel="0" collapsed="false">
      <c r="K274" s="22"/>
      <c r="M274" s="23"/>
      <c r="W274" s="0"/>
    </row>
    <row r="275" customFormat="false" ht="12.8" hidden="false" customHeight="false" outlineLevel="0" collapsed="false">
      <c r="K275" s="22"/>
      <c r="M275" s="23"/>
      <c r="W275" s="0"/>
    </row>
    <row r="276" customFormat="false" ht="12.8" hidden="false" customHeight="false" outlineLevel="0" collapsed="false">
      <c r="K276" s="22"/>
      <c r="M276" s="23"/>
      <c r="W276" s="0"/>
    </row>
    <row r="277" customFormat="false" ht="12.8" hidden="false" customHeight="false" outlineLevel="0" collapsed="false">
      <c r="K277" s="22"/>
      <c r="M277" s="23"/>
      <c r="W277" s="0"/>
    </row>
    <row r="278" customFormat="false" ht="12.8" hidden="false" customHeight="false" outlineLevel="0" collapsed="false">
      <c r="K278" s="22"/>
      <c r="M278" s="23"/>
      <c r="W278" s="0"/>
    </row>
    <row r="279" customFormat="false" ht="12.8" hidden="false" customHeight="false" outlineLevel="0" collapsed="false">
      <c r="K279" s="22"/>
      <c r="M279" s="23"/>
      <c r="W279" s="0"/>
    </row>
    <row r="280" customFormat="false" ht="12.8" hidden="false" customHeight="false" outlineLevel="0" collapsed="false">
      <c r="K280" s="22"/>
      <c r="M280" s="23"/>
      <c r="W280" s="0"/>
    </row>
    <row r="281" customFormat="false" ht="12.8" hidden="false" customHeight="false" outlineLevel="0" collapsed="false">
      <c r="K281" s="22"/>
      <c r="M281" s="23"/>
      <c r="W281" s="0"/>
    </row>
    <row r="282" customFormat="false" ht="12.8" hidden="false" customHeight="false" outlineLevel="0" collapsed="false">
      <c r="K282" s="22"/>
      <c r="M282" s="23"/>
      <c r="W282" s="0"/>
    </row>
    <row r="283" customFormat="false" ht="12.8" hidden="false" customHeight="false" outlineLevel="0" collapsed="false">
      <c r="K283" s="22"/>
      <c r="M283" s="23"/>
      <c r="W283" s="0"/>
    </row>
    <row r="284" customFormat="false" ht="12.8" hidden="false" customHeight="false" outlineLevel="0" collapsed="false">
      <c r="K284" s="22"/>
      <c r="M284" s="23"/>
      <c r="W284" s="0"/>
    </row>
    <row r="285" customFormat="false" ht="12.8" hidden="false" customHeight="false" outlineLevel="0" collapsed="false">
      <c r="K285" s="22"/>
      <c r="M285" s="23"/>
    </row>
    <row r="286" customFormat="false" ht="12.8" hidden="false" customHeight="false" outlineLevel="0" collapsed="false">
      <c r="K286" s="22"/>
      <c r="M286" s="23"/>
    </row>
    <row r="287" customFormat="false" ht="12.8" hidden="false" customHeight="false" outlineLevel="0" collapsed="false">
      <c r="K287" s="22"/>
      <c r="M287" s="23"/>
    </row>
    <row r="288" customFormat="false" ht="12.8" hidden="false" customHeight="false" outlineLevel="0" collapsed="false">
      <c r="K288" s="22"/>
      <c r="M288" s="23"/>
    </row>
    <row r="289" customFormat="false" ht="12.8" hidden="false" customHeight="false" outlineLevel="0" collapsed="false">
      <c r="K289" s="22"/>
      <c r="M289" s="23"/>
    </row>
    <row r="290" customFormat="false" ht="12.8" hidden="false" customHeight="false" outlineLevel="0" collapsed="false">
      <c r="K290" s="22"/>
      <c r="M290" s="23"/>
    </row>
    <row r="291" customFormat="false" ht="12.8" hidden="false" customHeight="false" outlineLevel="0" collapsed="false">
      <c r="K291" s="22"/>
      <c r="M291" s="23"/>
    </row>
    <row r="292" customFormat="false" ht="12.8" hidden="false" customHeight="false" outlineLevel="0" collapsed="false">
      <c r="K292" s="22"/>
      <c r="M292" s="23"/>
    </row>
    <row r="293" customFormat="false" ht="12.8" hidden="false" customHeight="false" outlineLevel="0" collapsed="false">
      <c r="K293" s="22"/>
      <c r="M293" s="23"/>
    </row>
    <row r="294" customFormat="false" ht="12.8" hidden="false" customHeight="false" outlineLevel="0" collapsed="false">
      <c r="K294" s="22"/>
      <c r="M294" s="23"/>
    </row>
    <row r="295" customFormat="false" ht="12.8" hidden="false" customHeight="false" outlineLevel="0" collapsed="false">
      <c r="K295" s="22"/>
      <c r="M295" s="23"/>
    </row>
    <row r="296" customFormat="false" ht="12.8" hidden="false" customHeight="false" outlineLevel="0" collapsed="false">
      <c r="K296" s="22"/>
      <c r="M296" s="23"/>
    </row>
    <row r="297" customFormat="false" ht="12.8" hidden="false" customHeight="false" outlineLevel="0" collapsed="false">
      <c r="K297" s="22"/>
      <c r="M297" s="23"/>
    </row>
    <row r="298" customFormat="false" ht="12.8" hidden="false" customHeight="false" outlineLevel="0" collapsed="false">
      <c r="K298" s="22"/>
      <c r="M298" s="23"/>
    </row>
    <row r="299" customFormat="false" ht="12.8" hidden="false" customHeight="false" outlineLevel="0" collapsed="false">
      <c r="K299" s="22"/>
      <c r="M299" s="23"/>
    </row>
    <row r="300" customFormat="false" ht="12.8" hidden="false" customHeight="false" outlineLevel="0" collapsed="false">
      <c r="K300" s="22"/>
      <c r="M300" s="23"/>
    </row>
    <row r="301" customFormat="false" ht="12.8" hidden="false" customHeight="false" outlineLevel="0" collapsed="false">
      <c r="K301" s="22"/>
      <c r="M301" s="23"/>
    </row>
    <row r="302" customFormat="false" ht="12.8" hidden="false" customHeight="false" outlineLevel="0" collapsed="false">
      <c r="K302" s="22"/>
      <c r="M302" s="23"/>
    </row>
    <row r="303" customFormat="false" ht="12.8" hidden="false" customHeight="false" outlineLevel="0" collapsed="false">
      <c r="K303" s="22"/>
      <c r="M303" s="23"/>
    </row>
    <row r="304" customFormat="false" ht="12.8" hidden="false" customHeight="false" outlineLevel="0" collapsed="false">
      <c r="K304" s="22"/>
      <c r="M304" s="23"/>
    </row>
    <row r="305" customFormat="false" ht="12.8" hidden="false" customHeight="false" outlineLevel="0" collapsed="false">
      <c r="K305" s="22"/>
      <c r="M305" s="23"/>
    </row>
    <row r="306" customFormat="false" ht="12.8" hidden="false" customHeight="false" outlineLevel="0" collapsed="false">
      <c r="K306" s="22"/>
      <c r="M306" s="23"/>
    </row>
    <row r="307" customFormat="false" ht="12.8" hidden="false" customHeight="false" outlineLevel="0" collapsed="false">
      <c r="K307" s="22"/>
      <c r="M307" s="23"/>
    </row>
    <row r="308" customFormat="false" ht="12.8" hidden="false" customHeight="false" outlineLevel="0" collapsed="false">
      <c r="K308" s="22"/>
      <c r="M308" s="23"/>
    </row>
    <row r="309" customFormat="false" ht="12.8" hidden="false" customHeight="false" outlineLevel="0" collapsed="false">
      <c r="K309" s="22"/>
      <c r="M309" s="23"/>
    </row>
    <row r="310" customFormat="false" ht="12.8" hidden="false" customHeight="false" outlineLevel="0" collapsed="false">
      <c r="K310" s="22"/>
      <c r="M310" s="23"/>
    </row>
    <row r="311" customFormat="false" ht="12.8" hidden="false" customHeight="false" outlineLevel="0" collapsed="false">
      <c r="K311" s="22"/>
      <c r="M311" s="23"/>
    </row>
    <row r="312" customFormat="false" ht="12.8" hidden="false" customHeight="false" outlineLevel="0" collapsed="false">
      <c r="K312" s="22"/>
      <c r="M312" s="23"/>
    </row>
    <row r="313" customFormat="false" ht="12.8" hidden="false" customHeight="false" outlineLevel="0" collapsed="false">
      <c r="K313" s="22"/>
      <c r="M313" s="23"/>
    </row>
    <row r="314" customFormat="false" ht="12.8" hidden="false" customHeight="false" outlineLevel="0" collapsed="false">
      <c r="K314" s="22"/>
      <c r="M314" s="23"/>
    </row>
    <row r="315" customFormat="false" ht="12.8" hidden="false" customHeight="false" outlineLevel="0" collapsed="false">
      <c r="K315" s="22"/>
      <c r="M315" s="23"/>
    </row>
    <row r="316" customFormat="false" ht="12.8" hidden="false" customHeight="false" outlineLevel="0" collapsed="false">
      <c r="K316" s="22"/>
      <c r="M316" s="23"/>
    </row>
    <row r="317" customFormat="false" ht="12.8" hidden="false" customHeight="false" outlineLevel="0" collapsed="false">
      <c r="K317" s="22"/>
      <c r="M317" s="23"/>
    </row>
    <row r="318" customFormat="false" ht="12.8" hidden="false" customHeight="false" outlineLevel="0" collapsed="false">
      <c r="K318" s="22"/>
      <c r="M318" s="23"/>
    </row>
    <row r="319" customFormat="false" ht="12.8" hidden="false" customHeight="false" outlineLevel="0" collapsed="false">
      <c r="K319" s="22"/>
      <c r="M319" s="23"/>
    </row>
    <row r="320" customFormat="false" ht="12.8" hidden="false" customHeight="false" outlineLevel="0" collapsed="false">
      <c r="K320" s="22"/>
      <c r="M320" s="23"/>
    </row>
    <row r="321" customFormat="false" ht="12.8" hidden="false" customHeight="false" outlineLevel="0" collapsed="false">
      <c r="K321" s="22"/>
      <c r="M321" s="23"/>
    </row>
    <row r="322" customFormat="false" ht="12.8" hidden="false" customHeight="false" outlineLevel="0" collapsed="false">
      <c r="K322" s="22"/>
      <c r="M322" s="23"/>
    </row>
    <row r="323" customFormat="false" ht="12.8" hidden="false" customHeight="false" outlineLevel="0" collapsed="false">
      <c r="K323" s="22"/>
      <c r="M323" s="23"/>
    </row>
  </sheetData>
  <mergeCells count="1">
    <mergeCell ref="P1:Q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8.76"/>
    <col collapsed="false" customWidth="true" hidden="false" outlineLevel="0" max="14" min="3" style="1" width="9.87"/>
    <col collapsed="false" customWidth="false" hidden="false" outlineLevel="0" max="16" min="15" style="24" width="11.53"/>
  </cols>
  <sheetData>
    <row r="1" customFormat="false" ht="15.65" hidden="false" customHeight="false" outlineLevel="0" collapsed="false">
      <c r="A1" s="9" t="s">
        <v>33</v>
      </c>
      <c r="B1" s="9"/>
      <c r="C1" s="9" t="n">
        <v>1</v>
      </c>
      <c r="D1" s="9" t="n">
        <v>1</v>
      </c>
      <c r="E1" s="9" t="n">
        <v>1</v>
      </c>
      <c r="F1" s="9" t="n">
        <v>1</v>
      </c>
      <c r="G1" s="9" t="n">
        <v>1</v>
      </c>
      <c r="H1" s="9" t="n">
        <v>1</v>
      </c>
      <c r="I1" s="9" t="n">
        <v>1</v>
      </c>
      <c r="J1" s="9" t="n">
        <v>2</v>
      </c>
      <c r="K1" s="9" t="n">
        <v>2</v>
      </c>
      <c r="L1" s="9" t="n">
        <v>2</v>
      </c>
      <c r="M1" s="9" t="n">
        <v>2</v>
      </c>
      <c r="N1" s="9" t="n">
        <v>2</v>
      </c>
      <c r="O1" s="9" t="n">
        <v>2</v>
      </c>
      <c r="P1" s="9" t="n">
        <v>2</v>
      </c>
    </row>
    <row r="2" customFormat="false" ht="41.75" hidden="false" customHeight="true" outlineLevel="0" collapsed="false">
      <c r="A2" s="10" t="s">
        <v>34</v>
      </c>
      <c r="B2" s="10" t="s">
        <v>35</v>
      </c>
      <c r="C2" s="10" t="s">
        <v>111</v>
      </c>
      <c r="D2" s="10" t="s">
        <v>112</v>
      </c>
      <c r="E2" s="10" t="s">
        <v>113</v>
      </c>
      <c r="F2" s="10" t="s">
        <v>114</v>
      </c>
      <c r="G2" s="10" t="s">
        <v>115</v>
      </c>
      <c r="H2" s="10" t="s">
        <v>116</v>
      </c>
      <c r="I2" s="11" t="s">
        <v>13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40</v>
      </c>
      <c r="O2" s="25" t="s">
        <v>122</v>
      </c>
      <c r="P2" s="25" t="s">
        <v>123</v>
      </c>
    </row>
    <row r="3" customFormat="false" ht="12.8" hidden="false" customHeight="false" outlineLevel="0" collapsed="false">
      <c r="A3" s="12" t="n">
        <v>3</v>
      </c>
      <c r="B3" s="13" t="s">
        <v>42</v>
      </c>
      <c r="C3" s="19" t="n">
        <v>6.33</v>
      </c>
      <c r="D3" s="19" t="n">
        <v>-0.29</v>
      </c>
      <c r="E3" s="19" t="n">
        <v>-0.32</v>
      </c>
      <c r="F3" s="19" t="n">
        <v>4.71</v>
      </c>
      <c r="G3" s="13" t="n">
        <v>0.02</v>
      </c>
      <c r="H3" s="20" t="n">
        <v>0.01</v>
      </c>
      <c r="I3" s="13" t="n">
        <v>10.45</v>
      </c>
      <c r="J3" s="14" t="n">
        <v>48</v>
      </c>
      <c r="K3" s="14" t="n">
        <v>9.9</v>
      </c>
      <c r="L3" s="14" t="n">
        <v>32.5</v>
      </c>
      <c r="M3" s="14" t="n">
        <v>10.6</v>
      </c>
      <c r="N3" s="14" t="n">
        <v>79.6</v>
      </c>
      <c r="O3" s="26" t="n">
        <v>263272</v>
      </c>
      <c r="P3" s="26" t="n">
        <v>4157486</v>
      </c>
    </row>
    <row r="4" customFormat="false" ht="12.8" hidden="false" customHeight="false" outlineLevel="0" collapsed="false">
      <c r="A4" s="12" t="n">
        <v>3</v>
      </c>
      <c r="B4" s="13" t="s">
        <v>45</v>
      </c>
      <c r="C4" s="19" t="n">
        <v>6.36</v>
      </c>
      <c r="D4" s="19" t="n">
        <v>-0.25</v>
      </c>
      <c r="E4" s="19" t="n">
        <v>-0.88</v>
      </c>
      <c r="F4" s="19" t="n">
        <v>4.71</v>
      </c>
      <c r="G4" s="13" t="n">
        <v>0.02</v>
      </c>
      <c r="H4" s="20" t="n">
        <v>0.01</v>
      </c>
      <c r="I4" s="13" t="n">
        <v>9.96</v>
      </c>
      <c r="J4" s="14" t="n">
        <v>55.1</v>
      </c>
      <c r="K4" s="14" t="n">
        <v>17.8</v>
      </c>
      <c r="L4" s="14" t="n">
        <v>32.3</v>
      </c>
      <c r="M4" s="14" t="n">
        <v>10.6</v>
      </c>
      <c r="N4" s="14" t="n">
        <v>80.3</v>
      </c>
      <c r="O4" s="26" t="n">
        <v>59822</v>
      </c>
      <c r="P4" s="26" t="n">
        <v>941128</v>
      </c>
    </row>
    <row r="5" customFormat="false" ht="12.8" hidden="false" customHeight="false" outlineLevel="0" collapsed="false">
      <c r="A5" s="12" t="n">
        <v>3</v>
      </c>
      <c r="B5" s="13" t="s">
        <v>46</v>
      </c>
      <c r="C5" s="19" t="n">
        <v>5.95</v>
      </c>
      <c r="D5" s="19" t="n">
        <v>-0.29</v>
      </c>
      <c r="E5" s="19" t="n">
        <v>-0.62</v>
      </c>
      <c r="F5" s="19" t="n">
        <v>4.71</v>
      </c>
      <c r="G5" s="13" t="n">
        <v>-0.01</v>
      </c>
      <c r="H5" s="20" t="n">
        <v>0</v>
      </c>
      <c r="I5" s="13" t="n">
        <v>9.74</v>
      </c>
      <c r="J5" s="14" t="n">
        <v>57.9</v>
      </c>
      <c r="K5" s="14" t="n">
        <v>14.6</v>
      </c>
      <c r="L5" s="14" t="n">
        <v>32.3</v>
      </c>
      <c r="M5" s="14" t="n">
        <v>11.8</v>
      </c>
      <c r="N5" s="14" t="n">
        <v>83.2</v>
      </c>
      <c r="O5" s="26" t="n">
        <v>54285</v>
      </c>
      <c r="P5" s="26" t="n">
        <v>913048</v>
      </c>
    </row>
    <row r="6" customFormat="false" ht="12.8" hidden="false" customHeight="false" outlineLevel="0" collapsed="false">
      <c r="A6" s="12" t="n">
        <v>3</v>
      </c>
      <c r="B6" s="13" t="s">
        <v>48</v>
      </c>
      <c r="C6" s="19" t="n">
        <v>5.83</v>
      </c>
      <c r="D6" s="19" t="n">
        <v>-0.16</v>
      </c>
      <c r="E6" s="19" t="n">
        <v>-0.34</v>
      </c>
      <c r="F6" s="19" t="n">
        <v>4.71</v>
      </c>
      <c r="G6" s="13" t="n">
        <v>-0.02</v>
      </c>
      <c r="H6" s="20" t="n">
        <v>-0.01</v>
      </c>
      <c r="I6" s="13" t="n">
        <v>10.01</v>
      </c>
      <c r="J6" s="14" t="n">
        <v>60</v>
      </c>
      <c r="K6" s="14" t="n">
        <v>27.4</v>
      </c>
      <c r="L6" s="14" t="n">
        <v>32.7</v>
      </c>
      <c r="M6" s="14" t="n">
        <v>9.9</v>
      </c>
      <c r="N6" s="14" t="n">
        <v>81.1</v>
      </c>
      <c r="O6" s="26" t="n">
        <v>100975</v>
      </c>
      <c r="P6" s="26" t="n">
        <v>1733261</v>
      </c>
    </row>
    <row r="7" customFormat="false" ht="12.8" hidden="false" customHeight="false" outlineLevel="0" collapsed="false">
      <c r="A7" s="12" t="n">
        <v>3</v>
      </c>
      <c r="B7" s="13" t="s">
        <v>49</v>
      </c>
      <c r="C7" s="19" t="n">
        <v>6.92</v>
      </c>
      <c r="D7" s="19" t="n">
        <v>-0.57</v>
      </c>
      <c r="E7" s="19" t="n">
        <v>-0.87</v>
      </c>
      <c r="F7" s="19" t="n">
        <v>4.71</v>
      </c>
      <c r="G7" s="13" t="n">
        <v>-0.02</v>
      </c>
      <c r="H7" s="20" t="n">
        <v>0.01</v>
      </c>
      <c r="I7" s="13" t="n">
        <v>10.16</v>
      </c>
      <c r="J7" s="14" t="n">
        <v>53.8</v>
      </c>
      <c r="K7" s="14" t="n">
        <v>28.7</v>
      </c>
      <c r="L7" s="14" t="n">
        <v>32.3</v>
      </c>
      <c r="M7" s="14" t="n">
        <v>9.2</v>
      </c>
      <c r="N7" s="14" t="n">
        <v>79.3</v>
      </c>
      <c r="O7" s="26" t="n">
        <v>47646</v>
      </c>
      <c r="P7" s="26" t="n">
        <v>688974</v>
      </c>
    </row>
    <row r="8" customFormat="false" ht="12.8" hidden="false" customHeight="false" outlineLevel="0" collapsed="false">
      <c r="A8" s="12" t="n">
        <v>3</v>
      </c>
      <c r="B8" s="13" t="s">
        <v>50</v>
      </c>
      <c r="C8" s="19" t="n">
        <v>6.09</v>
      </c>
      <c r="D8" s="19" t="n">
        <v>-0.25</v>
      </c>
      <c r="E8" s="19" t="n">
        <v>-0.5</v>
      </c>
      <c r="F8" s="19" t="n">
        <v>4.71</v>
      </c>
      <c r="G8" s="13" t="n">
        <v>0.04</v>
      </c>
      <c r="H8" s="20" t="n">
        <v>-0.05</v>
      </c>
      <c r="I8" s="13" t="n">
        <v>10.03</v>
      </c>
      <c r="J8" s="14" t="n">
        <v>73.8</v>
      </c>
      <c r="K8" s="14" t="n">
        <v>24</v>
      </c>
      <c r="L8" s="14" t="n">
        <v>33.6</v>
      </c>
      <c r="M8" s="14" t="n">
        <v>11.5</v>
      </c>
      <c r="N8" s="14" t="n">
        <v>81.2</v>
      </c>
      <c r="O8" s="26" t="n">
        <v>54290</v>
      </c>
      <c r="P8" s="26" t="n">
        <v>892057</v>
      </c>
    </row>
    <row r="9" customFormat="false" ht="12.8" hidden="false" customHeight="false" outlineLevel="0" collapsed="false">
      <c r="A9" s="12" t="n">
        <v>3</v>
      </c>
      <c r="B9" s="13" t="s">
        <v>51</v>
      </c>
      <c r="C9" s="19" t="n">
        <v>5.37</v>
      </c>
      <c r="D9" s="19" t="n">
        <v>-0.14</v>
      </c>
      <c r="E9" s="19" t="n">
        <v>-0.28</v>
      </c>
      <c r="F9" s="19" t="n">
        <v>4.71</v>
      </c>
      <c r="G9" s="13" t="n">
        <v>0</v>
      </c>
      <c r="H9" s="20" t="n">
        <v>-0.02</v>
      </c>
      <c r="I9" s="13" t="n">
        <v>9.64</v>
      </c>
      <c r="J9" s="14" t="n">
        <v>55</v>
      </c>
      <c r="K9" s="14" t="n">
        <v>23.9</v>
      </c>
      <c r="L9" s="14" t="n">
        <v>33.9</v>
      </c>
      <c r="M9" s="14" t="n">
        <v>10.6</v>
      </c>
      <c r="N9" s="14" t="n">
        <v>79.5</v>
      </c>
      <c r="O9" s="26" t="n">
        <v>84452</v>
      </c>
      <c r="P9" s="26" t="n">
        <v>1572590</v>
      </c>
    </row>
    <row r="10" customFormat="false" ht="12.8" hidden="false" customHeight="false" outlineLevel="0" collapsed="false">
      <c r="A10" s="12" t="n">
        <v>3</v>
      </c>
      <c r="B10" s="13" t="s">
        <v>52</v>
      </c>
      <c r="C10" s="19" t="n">
        <v>5.04</v>
      </c>
      <c r="D10" s="19" t="n">
        <v>-0.02</v>
      </c>
      <c r="E10" s="19" t="n">
        <v>0.04</v>
      </c>
      <c r="F10" s="19" t="n">
        <v>4.71</v>
      </c>
      <c r="G10" s="13" t="n">
        <v>-0.03</v>
      </c>
      <c r="H10" s="20" t="n">
        <v>0.01</v>
      </c>
      <c r="I10" s="13" t="n">
        <v>9.74</v>
      </c>
      <c r="J10" s="14" t="n">
        <v>52.8</v>
      </c>
      <c r="K10" s="14" t="n">
        <v>20.2</v>
      </c>
      <c r="L10" s="14" t="n">
        <v>32.4</v>
      </c>
      <c r="M10" s="14" t="n">
        <v>11.4</v>
      </c>
      <c r="N10" s="14" t="n">
        <v>76.6</v>
      </c>
      <c r="O10" s="26" t="n">
        <v>88830</v>
      </c>
      <c r="P10" s="26" t="n">
        <v>1763233</v>
      </c>
    </row>
    <row r="11" customFormat="false" ht="12.8" hidden="false" customHeight="false" outlineLevel="0" collapsed="false">
      <c r="A11" s="12" t="n">
        <v>3</v>
      </c>
      <c r="B11" s="13" t="s">
        <v>53</v>
      </c>
      <c r="C11" s="19" t="n">
        <v>5.25</v>
      </c>
      <c r="D11" s="19" t="n">
        <v>-0.05</v>
      </c>
      <c r="E11" s="19" t="n">
        <v>-0.03</v>
      </c>
      <c r="F11" s="19" t="n">
        <v>4.71</v>
      </c>
      <c r="G11" s="13" t="n">
        <v>-0.01</v>
      </c>
      <c r="H11" s="20" t="n">
        <v>0</v>
      </c>
      <c r="I11" s="13" t="n">
        <v>9.87</v>
      </c>
      <c r="J11" s="14" t="n">
        <v>53.3</v>
      </c>
      <c r="K11" s="14" t="n">
        <v>22.7</v>
      </c>
      <c r="L11" s="14" t="n">
        <v>33.9</v>
      </c>
      <c r="M11" s="14" t="n">
        <v>10</v>
      </c>
      <c r="N11" s="14" t="n">
        <v>76.7</v>
      </c>
      <c r="O11" s="26" t="n">
        <v>69066</v>
      </c>
      <c r="P11" s="26" t="n">
        <v>1315010</v>
      </c>
    </row>
    <row r="12" customFormat="false" ht="12.8" hidden="false" customHeight="false" outlineLevel="0" collapsed="false">
      <c r="A12" s="12" t="n">
        <v>3</v>
      </c>
      <c r="B12" s="13" t="s">
        <v>54</v>
      </c>
      <c r="C12" s="19" t="n">
        <v>5.13</v>
      </c>
      <c r="D12" s="19" t="n">
        <v>-0.02</v>
      </c>
      <c r="E12" s="19" t="n">
        <v>-0.07</v>
      </c>
      <c r="F12" s="19" t="n">
        <v>4.71</v>
      </c>
      <c r="G12" s="13" t="n">
        <v>-0.09</v>
      </c>
      <c r="H12" s="20" t="n">
        <v>0.01</v>
      </c>
      <c r="I12" s="13" t="n">
        <v>9.66</v>
      </c>
      <c r="J12" s="14" t="n">
        <v>51.2</v>
      </c>
      <c r="K12" s="14" t="n">
        <v>13.5</v>
      </c>
      <c r="L12" s="14" t="n">
        <v>33</v>
      </c>
      <c r="M12" s="14" t="n">
        <v>10.3</v>
      </c>
      <c r="N12" s="14" t="n">
        <v>77.8</v>
      </c>
      <c r="O12" s="26" t="n">
        <v>78643</v>
      </c>
      <c r="P12" s="26" t="n">
        <v>1531639</v>
      </c>
    </row>
    <row r="13" customFormat="false" ht="12.8" hidden="false" customHeight="false" outlineLevel="0" collapsed="false">
      <c r="A13" s="12" t="n">
        <v>3</v>
      </c>
      <c r="B13" s="13" t="s">
        <v>56</v>
      </c>
      <c r="C13" s="19" t="n">
        <v>4.91</v>
      </c>
      <c r="D13" s="19" t="n">
        <v>-0.01</v>
      </c>
      <c r="E13" s="19" t="n">
        <v>0.17</v>
      </c>
      <c r="F13" s="19" t="n">
        <v>4.71</v>
      </c>
      <c r="G13" s="13" t="n">
        <v>0.01</v>
      </c>
      <c r="H13" s="20" t="n">
        <v>0.01</v>
      </c>
      <c r="I13" s="13" t="n">
        <v>9.8</v>
      </c>
      <c r="J13" s="14" t="n">
        <v>47</v>
      </c>
      <c r="K13" s="14" t="n">
        <v>8.4</v>
      </c>
      <c r="L13" s="14" t="n">
        <v>31.7</v>
      </c>
      <c r="M13" s="14" t="n">
        <v>10.5</v>
      </c>
      <c r="N13" s="14" t="n">
        <v>77.6</v>
      </c>
      <c r="O13" s="26" t="n">
        <v>174491</v>
      </c>
      <c r="P13" s="26" t="n">
        <v>3555539</v>
      </c>
    </row>
    <row r="14" customFormat="false" ht="12.8" hidden="false" customHeight="false" outlineLevel="0" collapsed="false">
      <c r="A14" s="12" t="n">
        <v>3</v>
      </c>
      <c r="B14" s="13" t="s">
        <v>58</v>
      </c>
      <c r="C14" s="19" t="n">
        <v>5.03</v>
      </c>
      <c r="D14" s="19" t="n">
        <v>-0.11</v>
      </c>
      <c r="E14" s="19" t="n">
        <v>0.16</v>
      </c>
      <c r="F14" s="19" t="n">
        <v>4.71</v>
      </c>
      <c r="G14" s="13" t="n">
        <v>0</v>
      </c>
      <c r="H14" s="20" t="n">
        <v>0.01</v>
      </c>
      <c r="I14" s="13" t="n">
        <v>9.79</v>
      </c>
      <c r="J14" s="14" t="n">
        <v>43.8</v>
      </c>
      <c r="K14" s="14" t="n">
        <v>12.9</v>
      </c>
      <c r="L14" s="14" t="n">
        <v>32.4</v>
      </c>
      <c r="M14" s="14" t="n">
        <v>10.2</v>
      </c>
      <c r="N14" s="14" t="n">
        <v>78</v>
      </c>
      <c r="O14" s="26" t="n">
        <v>125168</v>
      </c>
      <c r="P14" s="26" t="n">
        <v>2489136</v>
      </c>
    </row>
    <row r="15" customFormat="false" ht="12.8" hidden="false" customHeight="false" outlineLevel="0" collapsed="false">
      <c r="A15" s="12" t="n">
        <v>3</v>
      </c>
      <c r="B15" s="13" t="s">
        <v>60</v>
      </c>
      <c r="C15" s="19" t="n">
        <v>4.32</v>
      </c>
      <c r="D15" s="19" t="n">
        <v>0.13</v>
      </c>
      <c r="E15" s="19" t="n">
        <v>0.69</v>
      </c>
      <c r="F15" s="19" t="n">
        <v>4.71</v>
      </c>
      <c r="G15" s="13" t="n">
        <v>-0.02</v>
      </c>
      <c r="H15" s="20" t="n">
        <v>0.01</v>
      </c>
      <c r="I15" s="13" t="n">
        <v>9.84</v>
      </c>
      <c r="J15" s="14" t="n">
        <v>50.5</v>
      </c>
      <c r="K15" s="14" t="n">
        <v>7.5</v>
      </c>
      <c r="L15" s="14" t="n">
        <v>32.9</v>
      </c>
      <c r="M15" s="14" t="n">
        <v>9.9</v>
      </c>
      <c r="N15" s="14" t="n">
        <v>76.3</v>
      </c>
      <c r="O15" s="26" t="n">
        <v>656846</v>
      </c>
      <c r="P15" s="26" t="n">
        <v>15190384</v>
      </c>
    </row>
    <row r="16" customFormat="false" ht="12.8" hidden="false" customHeight="false" outlineLevel="0" collapsed="false">
      <c r="A16" s="12" t="n">
        <v>3</v>
      </c>
      <c r="B16" s="13" t="s">
        <v>62</v>
      </c>
      <c r="C16" s="19" t="n">
        <v>4.85</v>
      </c>
      <c r="D16" s="19" t="n">
        <v>-0.05</v>
      </c>
      <c r="E16" s="19" t="n">
        <v>0.44</v>
      </c>
      <c r="F16" s="19" t="n">
        <v>4.71</v>
      </c>
      <c r="G16" s="13" t="n">
        <v>0.04</v>
      </c>
      <c r="H16" s="20" t="n">
        <v>0.01</v>
      </c>
      <c r="I16" s="13" t="n">
        <v>9.99</v>
      </c>
      <c r="J16" s="14" t="n">
        <v>46.1</v>
      </c>
      <c r="K16" s="14" t="n">
        <v>8.9</v>
      </c>
      <c r="L16" s="14" t="n">
        <v>32.1</v>
      </c>
      <c r="M16" s="14" t="n">
        <v>10.4</v>
      </c>
      <c r="N16" s="14" t="n">
        <v>76.8</v>
      </c>
      <c r="O16" s="26" t="n">
        <v>212200</v>
      </c>
      <c r="P16" s="26" t="n">
        <v>4375221</v>
      </c>
    </row>
    <row r="17" customFormat="false" ht="12.8" hidden="false" customHeight="false" outlineLevel="0" collapsed="false">
      <c r="A17" s="12" t="n">
        <v>3</v>
      </c>
      <c r="B17" s="13" t="s">
        <v>64</v>
      </c>
      <c r="C17" s="19" t="n">
        <v>5.28</v>
      </c>
      <c r="D17" s="19" t="n">
        <v>-0.14</v>
      </c>
      <c r="E17" s="19" t="n">
        <v>-0.32</v>
      </c>
      <c r="F17" s="19" t="n">
        <v>4.71</v>
      </c>
      <c r="G17" s="13" t="n">
        <v>-0.01</v>
      </c>
      <c r="H17" s="20" t="n">
        <v>-0.02</v>
      </c>
      <c r="I17" s="13" t="n">
        <v>9.5</v>
      </c>
      <c r="J17" s="14" t="n">
        <v>66.4</v>
      </c>
      <c r="K17" s="14" t="n">
        <v>17.7</v>
      </c>
      <c r="L17" s="14" t="n">
        <v>33.4</v>
      </c>
      <c r="M17" s="14" t="n">
        <v>10.6</v>
      </c>
      <c r="N17" s="14" t="n">
        <v>79.3</v>
      </c>
      <c r="O17" s="26" t="n">
        <v>100093</v>
      </c>
      <c r="P17" s="26" t="n">
        <v>1895181</v>
      </c>
    </row>
    <row r="18" customFormat="false" ht="12.8" hidden="false" customHeight="false" outlineLevel="0" collapsed="false">
      <c r="A18" s="12" t="n">
        <v>3</v>
      </c>
      <c r="B18" s="13" t="s">
        <v>66</v>
      </c>
      <c r="C18" s="19" t="n">
        <v>4.91</v>
      </c>
      <c r="D18" s="19" t="n">
        <v>-0.09</v>
      </c>
      <c r="E18" s="19" t="n">
        <v>0.13</v>
      </c>
      <c r="F18" s="19" t="n">
        <v>4.71</v>
      </c>
      <c r="G18" s="13" t="n">
        <v>0</v>
      </c>
      <c r="H18" s="20" t="n">
        <v>-0.06</v>
      </c>
      <c r="I18" s="13" t="n">
        <v>9.59</v>
      </c>
      <c r="J18" s="14" t="n">
        <v>66.3</v>
      </c>
      <c r="K18" s="14" t="n">
        <v>29.3</v>
      </c>
      <c r="L18" s="14" t="n">
        <v>31.4</v>
      </c>
      <c r="M18" s="14" t="n">
        <v>14.4</v>
      </c>
      <c r="N18" s="14" t="n">
        <v>78.8</v>
      </c>
      <c r="O18" s="26" t="n">
        <v>51084</v>
      </c>
      <c r="P18" s="26" t="n">
        <v>1041293</v>
      </c>
    </row>
    <row r="19" customFormat="false" ht="12.8" hidden="false" customHeight="false" outlineLevel="0" collapsed="false">
      <c r="A19" s="12" t="n">
        <v>3</v>
      </c>
      <c r="B19" s="13" t="s">
        <v>67</v>
      </c>
      <c r="C19" s="19" t="n">
        <v>5.36</v>
      </c>
      <c r="D19" s="19" t="n">
        <v>-0.03</v>
      </c>
      <c r="E19" s="19" t="n">
        <v>0.02</v>
      </c>
      <c r="F19" s="19" t="n">
        <v>4.71</v>
      </c>
      <c r="G19" s="13" t="n">
        <v>0.04</v>
      </c>
      <c r="H19" s="20" t="n">
        <v>0.01</v>
      </c>
      <c r="I19" s="13" t="n">
        <v>10.11</v>
      </c>
      <c r="J19" s="14" t="n">
        <v>63.7</v>
      </c>
      <c r="K19" s="14" t="n">
        <v>21.1</v>
      </c>
      <c r="L19" s="14" t="n">
        <v>31.5</v>
      </c>
      <c r="M19" s="14" t="n">
        <v>12.1</v>
      </c>
      <c r="N19" s="14" t="n">
        <v>77.8</v>
      </c>
      <c r="O19" s="26" t="n">
        <v>59117</v>
      </c>
      <c r="P19" s="26" t="n">
        <v>1102200</v>
      </c>
    </row>
    <row r="20" customFormat="false" ht="12.8" hidden="false" customHeight="false" outlineLevel="0" collapsed="false">
      <c r="A20" s="12" t="n">
        <v>3</v>
      </c>
      <c r="B20" s="13" t="s">
        <v>69</v>
      </c>
      <c r="C20" s="19" t="n">
        <v>5.42</v>
      </c>
      <c r="D20" s="19" t="n">
        <v>-0.12</v>
      </c>
      <c r="E20" s="19" t="n">
        <v>-0.04</v>
      </c>
      <c r="F20" s="19" t="n">
        <v>4.71</v>
      </c>
      <c r="G20" s="13" t="n">
        <v>0.06</v>
      </c>
      <c r="H20" s="20" t="n">
        <v>-0.04</v>
      </c>
      <c r="I20" s="13" t="n">
        <v>9.98</v>
      </c>
      <c r="J20" s="14" t="n">
        <v>61.2</v>
      </c>
      <c r="K20" s="14" t="n">
        <v>19.6</v>
      </c>
      <c r="L20" s="14" t="n">
        <v>33.7</v>
      </c>
      <c r="M20" s="14" t="n">
        <v>17.3</v>
      </c>
      <c r="N20" s="14" t="n">
        <v>77.5</v>
      </c>
      <c r="O20" s="26" t="n">
        <v>39005</v>
      </c>
      <c r="P20" s="26" t="n">
        <v>719636</v>
      </c>
    </row>
    <row r="21" customFormat="false" ht="12.8" hidden="false" customHeight="false" outlineLevel="0" collapsed="false">
      <c r="A21" s="12" t="n">
        <v>3</v>
      </c>
      <c r="B21" s="13" t="s">
        <v>75</v>
      </c>
      <c r="C21" s="19" t="n">
        <v>5.45</v>
      </c>
      <c r="D21" s="19" t="n">
        <v>-0.14</v>
      </c>
      <c r="E21" s="19" t="n">
        <v>-0.17</v>
      </c>
      <c r="F21" s="19" t="n">
        <v>4.71</v>
      </c>
      <c r="G21" s="13" t="n">
        <v>-0.07</v>
      </c>
      <c r="H21" s="20" t="n">
        <v>0.01</v>
      </c>
      <c r="I21" s="13" t="n">
        <v>9.79</v>
      </c>
      <c r="J21" s="14" t="n">
        <v>65.1</v>
      </c>
      <c r="K21" s="14" t="n">
        <v>18.9</v>
      </c>
      <c r="L21" s="14" t="n">
        <v>31.7</v>
      </c>
      <c r="M21" s="14" t="n">
        <v>9.2</v>
      </c>
      <c r="N21" s="14" t="n">
        <v>74.8</v>
      </c>
      <c r="O21" s="26" t="n">
        <v>32999</v>
      </c>
      <c r="P21" s="26" t="n">
        <v>605717</v>
      </c>
    </row>
    <row r="22" customFormat="false" ht="12.8" hidden="false" customHeight="false" outlineLevel="0" collapsed="false">
      <c r="A22" s="12" t="n">
        <v>3</v>
      </c>
      <c r="B22" s="13" t="s">
        <v>76</v>
      </c>
      <c r="C22" s="19" t="n">
        <v>5.24</v>
      </c>
      <c r="D22" s="19" t="n">
        <v>-0.07</v>
      </c>
      <c r="E22" s="19" t="n">
        <v>-0.21</v>
      </c>
      <c r="F22" s="19" t="n">
        <v>4.71</v>
      </c>
      <c r="G22" s="13" t="n">
        <v>0.04</v>
      </c>
      <c r="H22" s="20" t="n">
        <v>0.01</v>
      </c>
      <c r="I22" s="13" t="n">
        <v>9.71</v>
      </c>
      <c r="J22" s="14" t="n">
        <v>58.7</v>
      </c>
      <c r="K22" s="14" t="n">
        <v>22.5</v>
      </c>
      <c r="L22" s="14" t="n">
        <v>33.1</v>
      </c>
      <c r="M22" s="14" t="n">
        <v>9.9</v>
      </c>
      <c r="N22" s="14" t="n">
        <v>79.1</v>
      </c>
      <c r="O22" s="26" t="n">
        <v>81420</v>
      </c>
      <c r="P22" s="26" t="n">
        <v>1554937</v>
      </c>
    </row>
    <row r="23" customFormat="false" ht="12.8" hidden="false" customHeight="false" outlineLevel="0" collapsed="false">
      <c r="A23" s="12" t="n">
        <v>3</v>
      </c>
      <c r="B23" s="13" t="s">
        <v>78</v>
      </c>
      <c r="C23" s="19" t="n">
        <v>5.19</v>
      </c>
      <c r="D23" s="19" t="n">
        <v>0.01</v>
      </c>
      <c r="E23" s="19" t="n">
        <v>-0.06</v>
      </c>
      <c r="F23" s="19" t="n">
        <v>4.71</v>
      </c>
      <c r="G23" s="13" t="n">
        <v>-0.03</v>
      </c>
      <c r="H23" s="20" t="n">
        <v>0.01</v>
      </c>
      <c r="I23" s="13" t="n">
        <v>9.83</v>
      </c>
      <c r="J23" s="14" t="n">
        <v>57</v>
      </c>
      <c r="K23" s="14" t="n">
        <v>27.4</v>
      </c>
      <c r="L23" s="14" t="n">
        <v>33.6</v>
      </c>
      <c r="M23" s="14" t="n">
        <v>9.6</v>
      </c>
      <c r="N23" s="14" t="n">
        <v>75.5</v>
      </c>
      <c r="O23" s="26" t="n">
        <v>95808</v>
      </c>
      <c r="P23" s="26" t="n">
        <v>1845656</v>
      </c>
    </row>
    <row r="24" customFormat="false" ht="12.8" hidden="false" customHeight="false" outlineLevel="0" collapsed="false">
      <c r="A24" s="12" t="n">
        <v>3</v>
      </c>
      <c r="B24" s="13" t="s">
        <v>80</v>
      </c>
      <c r="C24" s="19" t="n">
        <v>4.94</v>
      </c>
      <c r="D24" s="19" t="n">
        <v>-0.06</v>
      </c>
      <c r="E24" s="19" t="n">
        <v>0.12</v>
      </c>
      <c r="F24" s="19" t="n">
        <v>4.71</v>
      </c>
      <c r="G24" s="13" t="n">
        <v>0.02</v>
      </c>
      <c r="H24" s="20" t="n">
        <v>0.01</v>
      </c>
      <c r="I24" s="13" t="n">
        <v>9.72</v>
      </c>
      <c r="J24" s="14" t="n">
        <v>55.1</v>
      </c>
      <c r="K24" s="14" t="n">
        <v>14.7</v>
      </c>
      <c r="L24" s="14" t="n">
        <v>33.7</v>
      </c>
      <c r="M24" s="14" t="n">
        <v>10.3</v>
      </c>
      <c r="N24" s="14" t="n">
        <v>78.2</v>
      </c>
      <c r="O24" s="26" t="n">
        <v>128212</v>
      </c>
      <c r="P24" s="26" t="n">
        <v>2597504</v>
      </c>
    </row>
    <row r="25" customFormat="false" ht="12.8" hidden="false" customHeight="false" outlineLevel="0" collapsed="false">
      <c r="A25" s="12" t="n">
        <v>3</v>
      </c>
      <c r="B25" s="13" t="s">
        <v>81</v>
      </c>
      <c r="C25" s="19" t="n">
        <v>4.68</v>
      </c>
      <c r="D25" s="19" t="n">
        <v>0.19</v>
      </c>
      <c r="E25" s="19" t="n">
        <v>0.31</v>
      </c>
      <c r="F25" s="19" t="n">
        <v>4.71</v>
      </c>
      <c r="G25" s="13" t="n">
        <v>0.01</v>
      </c>
      <c r="H25" s="20" t="n">
        <v>0.01</v>
      </c>
      <c r="I25" s="13" t="n">
        <v>9.91</v>
      </c>
      <c r="J25" s="14" t="n">
        <v>50.3</v>
      </c>
      <c r="K25" s="14" t="n">
        <v>11.8</v>
      </c>
      <c r="L25" s="14" t="n">
        <v>33.3</v>
      </c>
      <c r="M25" s="14" t="n">
        <v>10.2</v>
      </c>
      <c r="N25" s="14" t="n">
        <v>76.2</v>
      </c>
      <c r="O25" s="26" t="n">
        <v>307234</v>
      </c>
      <c r="P25" s="26" t="n">
        <v>6563438</v>
      </c>
    </row>
    <row r="26" customFormat="false" ht="12.8" hidden="false" customHeight="false" outlineLevel="0" collapsed="false">
      <c r="A26" s="12" t="n">
        <v>3</v>
      </c>
      <c r="B26" s="13" t="s">
        <v>83</v>
      </c>
      <c r="C26" s="19" t="n">
        <v>5.04</v>
      </c>
      <c r="D26" s="19" t="n">
        <v>0.04</v>
      </c>
      <c r="E26" s="19" t="n">
        <v>0.04</v>
      </c>
      <c r="F26" s="19" t="n">
        <v>4.71</v>
      </c>
      <c r="G26" s="13" t="n">
        <v>-0.02</v>
      </c>
      <c r="H26" s="20" t="n">
        <v>0.01</v>
      </c>
      <c r="I26" s="13" t="n">
        <v>9.81</v>
      </c>
      <c r="J26" s="14" t="n">
        <v>58.1</v>
      </c>
      <c r="K26" s="14" t="n">
        <v>15.2</v>
      </c>
      <c r="L26" s="14" t="n">
        <v>32.8</v>
      </c>
      <c r="M26" s="14" t="n">
        <v>12.7</v>
      </c>
      <c r="N26" s="14" t="n">
        <v>76.4</v>
      </c>
      <c r="O26" s="26" t="n">
        <v>64708</v>
      </c>
      <c r="P26" s="26" t="n">
        <v>1283042</v>
      </c>
    </row>
    <row r="27" customFormat="false" ht="12.8" hidden="false" customHeight="false" outlineLevel="0" collapsed="false">
      <c r="A27" s="12" t="n">
        <v>3</v>
      </c>
      <c r="B27" s="13" t="s">
        <v>84</v>
      </c>
      <c r="C27" s="19" t="n">
        <v>5.22</v>
      </c>
      <c r="D27" s="19" t="n">
        <v>0.05</v>
      </c>
      <c r="E27" s="19" t="n">
        <v>-0.15</v>
      </c>
      <c r="F27" s="19" t="n">
        <v>4.71</v>
      </c>
      <c r="G27" s="13" t="n">
        <v>-0.02</v>
      </c>
      <c r="H27" s="20" t="n">
        <v>-0.05</v>
      </c>
      <c r="I27" s="13" t="n">
        <v>9.78</v>
      </c>
      <c r="J27" s="14" t="n">
        <v>57.8</v>
      </c>
      <c r="K27" s="14" t="n">
        <v>23.5</v>
      </c>
      <c r="L27" s="14" t="n">
        <v>35.5</v>
      </c>
      <c r="M27" s="14" t="n">
        <v>10.7</v>
      </c>
      <c r="N27" s="14" t="n">
        <v>78.3</v>
      </c>
      <c r="O27" s="26" t="n">
        <v>44476</v>
      </c>
      <c r="P27" s="26" t="n">
        <v>851288</v>
      </c>
    </row>
    <row r="28" customFormat="false" ht="12.8" hidden="false" customHeight="false" outlineLevel="0" collapsed="false">
      <c r="A28" s="12" t="n">
        <v>3</v>
      </c>
      <c r="B28" s="13" t="s">
        <v>88</v>
      </c>
      <c r="C28" s="19" t="n">
        <v>5.23</v>
      </c>
      <c r="D28" s="19" t="n">
        <v>0.06</v>
      </c>
      <c r="E28" s="19" t="n">
        <v>0.05</v>
      </c>
      <c r="F28" s="19" t="n">
        <v>4.71</v>
      </c>
      <c r="G28" s="13" t="n">
        <v>0.01</v>
      </c>
      <c r="H28" s="20" t="n">
        <v>0</v>
      </c>
      <c r="I28" s="13" t="n">
        <v>10.06</v>
      </c>
      <c r="J28" s="14" t="n">
        <v>55.6</v>
      </c>
      <c r="K28" s="14" t="n">
        <v>15.6</v>
      </c>
      <c r="L28" s="14" t="n">
        <v>34.3</v>
      </c>
      <c r="M28" s="14" t="n">
        <v>10.7</v>
      </c>
      <c r="N28" s="14" t="n">
        <v>74</v>
      </c>
      <c r="O28" s="26" t="n">
        <v>115267</v>
      </c>
      <c r="P28" s="26" t="n">
        <v>2205868</v>
      </c>
    </row>
    <row r="29" customFormat="false" ht="12.8" hidden="false" customHeight="false" outlineLevel="0" collapsed="false">
      <c r="A29" s="12" t="n">
        <v>3</v>
      </c>
      <c r="B29" s="13" t="s">
        <v>89</v>
      </c>
      <c r="C29" s="19" t="n">
        <v>5.22</v>
      </c>
      <c r="D29" s="19" t="n">
        <v>0.17</v>
      </c>
      <c r="E29" s="19" t="n">
        <v>0.16</v>
      </c>
      <c r="F29" s="19" t="n">
        <v>4.71</v>
      </c>
      <c r="G29" s="13" t="n">
        <v>0.02</v>
      </c>
      <c r="H29" s="20" t="n">
        <v>0.01</v>
      </c>
      <c r="I29" s="13" t="n">
        <v>10.29</v>
      </c>
      <c r="J29" s="14" t="n">
        <v>45.2</v>
      </c>
      <c r="K29" s="14" t="n">
        <v>12.5</v>
      </c>
      <c r="L29" s="14" t="n">
        <v>33.5</v>
      </c>
      <c r="M29" s="14" t="n">
        <v>10.9</v>
      </c>
      <c r="N29" s="14" t="n">
        <v>74.3</v>
      </c>
      <c r="O29" s="26" t="n">
        <v>460716</v>
      </c>
      <c r="P29" s="26" t="n">
        <v>8824797</v>
      </c>
    </row>
    <row r="30" customFormat="false" ht="12.8" hidden="false" customHeight="false" outlineLevel="0" collapsed="false">
      <c r="A30" s="12" t="n">
        <v>3</v>
      </c>
      <c r="B30" s="13" t="s">
        <v>90</v>
      </c>
      <c r="C30" s="19" t="n">
        <v>5.47</v>
      </c>
      <c r="D30" s="19" t="n">
        <v>0.03</v>
      </c>
      <c r="E30" s="19" t="n">
        <v>-0.01</v>
      </c>
      <c r="F30" s="19" t="n">
        <v>4.71</v>
      </c>
      <c r="G30" s="13" t="n">
        <v>0.04</v>
      </c>
      <c r="H30" s="20" t="n">
        <v>0.01</v>
      </c>
      <c r="I30" s="13" t="n">
        <v>10.24</v>
      </c>
      <c r="J30" s="14" t="n">
        <v>50.9</v>
      </c>
      <c r="K30" s="14" t="n">
        <v>14.3</v>
      </c>
      <c r="L30" s="14" t="n">
        <v>33.2</v>
      </c>
      <c r="M30" s="14" t="n">
        <v>10.9</v>
      </c>
      <c r="N30" s="14" t="n">
        <v>76.9</v>
      </c>
      <c r="O30" s="26" t="n">
        <v>203120</v>
      </c>
      <c r="P30" s="26" t="n">
        <v>3714083</v>
      </c>
    </row>
    <row r="31" customFormat="false" ht="12.8" hidden="false" customHeight="false" outlineLevel="0" collapsed="false">
      <c r="A31" s="12" t="n">
        <v>3</v>
      </c>
      <c r="B31" s="13" t="s">
        <v>91</v>
      </c>
      <c r="C31" s="19" t="n">
        <v>5.81</v>
      </c>
      <c r="D31" s="19" t="n">
        <v>-0.03</v>
      </c>
      <c r="E31" s="19" t="n">
        <v>-0.44</v>
      </c>
      <c r="F31" s="19" t="n">
        <v>4.71</v>
      </c>
      <c r="G31" s="13" t="n">
        <v>-0.03</v>
      </c>
      <c r="H31" s="20" t="n">
        <v>-0.01</v>
      </c>
      <c r="I31" s="13" t="n">
        <v>10</v>
      </c>
      <c r="J31" s="14" t="n">
        <v>49.6</v>
      </c>
      <c r="K31" s="14" t="n">
        <v>23.5</v>
      </c>
      <c r="L31" s="14" t="n">
        <v>35.4</v>
      </c>
      <c r="M31" s="14" t="n">
        <v>10.8</v>
      </c>
      <c r="N31" s="14" t="n">
        <v>71.7</v>
      </c>
      <c r="O31" s="26" t="n">
        <v>42538</v>
      </c>
      <c r="P31" s="26" t="n">
        <v>732081</v>
      </c>
    </row>
    <row r="32" customFormat="false" ht="12.8" hidden="false" customHeight="false" outlineLevel="0" collapsed="false">
      <c r="A32" s="12" t="n">
        <v>3</v>
      </c>
      <c r="B32" s="13" t="s">
        <v>92</v>
      </c>
      <c r="C32" s="19" t="n">
        <v>5.96</v>
      </c>
      <c r="D32" s="19" t="n">
        <v>-0.01</v>
      </c>
      <c r="E32" s="19" t="n">
        <v>-0.52</v>
      </c>
      <c r="F32" s="19" t="n">
        <v>4.71</v>
      </c>
      <c r="G32" s="13" t="n">
        <v>-0.01</v>
      </c>
      <c r="H32" s="20" t="n">
        <v>-0.01</v>
      </c>
      <c r="I32" s="13" t="n">
        <v>10.11</v>
      </c>
      <c r="J32" s="14" t="n">
        <v>49.4</v>
      </c>
      <c r="K32" s="14" t="n">
        <v>19.6</v>
      </c>
      <c r="L32" s="14" t="n">
        <v>34</v>
      </c>
      <c r="M32" s="14" t="n">
        <v>12.5</v>
      </c>
      <c r="N32" s="14" t="n">
        <v>72.7</v>
      </c>
      <c r="O32" s="26" t="n">
        <v>39639</v>
      </c>
      <c r="P32" s="26" t="n">
        <v>665448</v>
      </c>
    </row>
    <row r="33" customFormat="false" ht="12.8" hidden="false" customHeight="false" outlineLevel="0" collapsed="false">
      <c r="A33" s="12" t="n">
        <v>3</v>
      </c>
      <c r="B33" s="13" t="s">
        <v>93</v>
      </c>
      <c r="C33" s="19" t="n">
        <v>6.14</v>
      </c>
      <c r="D33" s="19" t="n">
        <v>-0.16</v>
      </c>
      <c r="E33" s="19" t="n">
        <v>-0.72</v>
      </c>
      <c r="F33" s="19" t="n">
        <v>4.71</v>
      </c>
      <c r="G33" s="13" t="n">
        <v>-0.01</v>
      </c>
      <c r="H33" s="20" t="n">
        <v>0.01</v>
      </c>
      <c r="I33" s="13" t="n">
        <v>9.97</v>
      </c>
      <c r="J33" s="14" t="n">
        <v>53.1</v>
      </c>
      <c r="K33" s="14" t="n">
        <v>16.1</v>
      </c>
      <c r="L33" s="14" t="n">
        <v>32.8</v>
      </c>
      <c r="M33" s="14" t="n">
        <v>10.4</v>
      </c>
      <c r="N33" s="14" t="n">
        <v>79.1</v>
      </c>
      <c r="O33" s="26" t="n">
        <v>27265</v>
      </c>
      <c r="P33" s="26" t="n">
        <v>444154</v>
      </c>
    </row>
    <row r="34" customFormat="false" ht="12.8" hidden="false" customHeight="false" outlineLevel="0" collapsed="false">
      <c r="A34" s="12" t="n">
        <v>3</v>
      </c>
      <c r="B34" s="13" t="s">
        <v>94</v>
      </c>
      <c r="C34" s="19" t="n">
        <v>6.3</v>
      </c>
      <c r="D34" s="19" t="n">
        <v>-0.29</v>
      </c>
      <c r="E34" s="19" t="n">
        <v>-0.6</v>
      </c>
      <c r="F34" s="19" t="n">
        <v>4.71</v>
      </c>
      <c r="G34" s="13" t="n">
        <v>-0.02</v>
      </c>
      <c r="H34" s="20" t="n">
        <v>-0.06</v>
      </c>
      <c r="I34" s="13" t="n">
        <v>10.03</v>
      </c>
      <c r="J34" s="14" t="n">
        <v>65.3</v>
      </c>
      <c r="K34" s="14" t="n">
        <v>25.8</v>
      </c>
      <c r="L34" s="14" t="n">
        <v>34.2</v>
      </c>
      <c r="M34" s="14" t="n">
        <v>11.2</v>
      </c>
      <c r="N34" s="14" t="n">
        <v>80.6</v>
      </c>
      <c r="O34" s="26" t="n">
        <v>34585</v>
      </c>
      <c r="P34" s="26" t="n">
        <v>549095</v>
      </c>
    </row>
    <row r="35" customFormat="false" ht="12.8" hidden="false" customHeight="false" outlineLevel="0" collapsed="false">
      <c r="A35" s="12" t="n">
        <v>3</v>
      </c>
      <c r="B35" s="13" t="s">
        <v>95</v>
      </c>
      <c r="C35" s="19" t="n">
        <v>5.64</v>
      </c>
      <c r="D35" s="19" t="n">
        <v>0.06</v>
      </c>
      <c r="E35" s="19" t="n">
        <v>-0.2</v>
      </c>
      <c r="F35" s="19" t="n">
        <v>4.71</v>
      </c>
      <c r="G35" s="13" t="n">
        <v>-0.02</v>
      </c>
      <c r="H35" s="20" t="n">
        <v>-0.01</v>
      </c>
      <c r="I35" s="13" t="n">
        <v>10.18</v>
      </c>
      <c r="J35" s="14" t="n">
        <v>56.8</v>
      </c>
      <c r="K35" s="14" t="n">
        <v>31.6</v>
      </c>
      <c r="L35" s="14" t="n">
        <v>32.4</v>
      </c>
      <c r="M35" s="14" t="n">
        <v>11.7</v>
      </c>
      <c r="N35" s="14" t="n">
        <v>76.2</v>
      </c>
      <c r="O35" s="26" t="n">
        <v>96852</v>
      </c>
      <c r="P35" s="26" t="n">
        <v>1716270</v>
      </c>
    </row>
    <row r="36" customFormat="false" ht="12.8" hidden="false" customHeight="false" outlineLevel="0" collapsed="false">
      <c r="A36" s="12" t="n">
        <v>3</v>
      </c>
      <c r="B36" s="13" t="s">
        <v>97</v>
      </c>
      <c r="C36" s="19" t="n">
        <v>5.41</v>
      </c>
      <c r="D36" s="19" t="n">
        <v>0.03</v>
      </c>
      <c r="E36" s="19" t="n">
        <v>-0.12</v>
      </c>
      <c r="F36" s="19" t="n">
        <v>4.71</v>
      </c>
      <c r="G36" s="13" t="n">
        <v>0</v>
      </c>
      <c r="H36" s="20" t="n">
        <v>0.01</v>
      </c>
      <c r="I36" s="13" t="n">
        <v>10.04</v>
      </c>
      <c r="J36" s="14" t="n">
        <v>54.7</v>
      </c>
      <c r="K36" s="14" t="n">
        <v>19.7</v>
      </c>
      <c r="L36" s="14" t="n">
        <v>32.9</v>
      </c>
      <c r="M36" s="14" t="n">
        <v>10.9</v>
      </c>
      <c r="N36" s="14" t="n">
        <v>75.7</v>
      </c>
      <c r="O36" s="26" t="n">
        <v>141824</v>
      </c>
      <c r="P36" s="26" t="n">
        <v>2620369</v>
      </c>
    </row>
    <row r="37" customFormat="false" ht="12.8" hidden="false" customHeight="false" outlineLevel="0" collapsed="false">
      <c r="A37" s="12" t="n">
        <v>3</v>
      </c>
      <c r="B37" s="13" t="s">
        <v>98</v>
      </c>
      <c r="C37" s="19" t="n">
        <v>5.87</v>
      </c>
      <c r="D37" s="19" t="n">
        <v>-0.2</v>
      </c>
      <c r="E37" s="19" t="n">
        <v>-0.15</v>
      </c>
      <c r="F37" s="19" t="n">
        <v>4.71</v>
      </c>
      <c r="G37" s="13" t="n">
        <v>-0.01</v>
      </c>
      <c r="H37" s="20" t="n">
        <v>0.01</v>
      </c>
      <c r="I37" s="13" t="n">
        <v>10.22</v>
      </c>
      <c r="J37" s="14" t="n">
        <v>51.2</v>
      </c>
      <c r="K37" s="14" t="n">
        <v>18.8</v>
      </c>
      <c r="L37" s="14" t="n">
        <v>33.1</v>
      </c>
      <c r="M37" s="14" t="n">
        <v>10.4</v>
      </c>
      <c r="N37" s="14" t="n">
        <v>78.2</v>
      </c>
      <c r="O37" s="26" t="n">
        <v>59991</v>
      </c>
      <c r="P37" s="26" t="n">
        <v>1021985</v>
      </c>
    </row>
    <row r="38" customFormat="false" ht="12.8" hidden="false" customHeight="false" outlineLevel="0" collapsed="false">
      <c r="A38" s="12" t="n">
        <v>3</v>
      </c>
      <c r="B38" s="13" t="s">
        <v>99</v>
      </c>
      <c r="C38" s="19" t="n">
        <v>6.14</v>
      </c>
      <c r="D38" s="19" t="n">
        <v>-0.11</v>
      </c>
      <c r="E38" s="19" t="n">
        <v>-0.43</v>
      </c>
      <c r="F38" s="19" t="n">
        <v>4.71</v>
      </c>
      <c r="G38" s="13" t="n">
        <v>-0.03</v>
      </c>
      <c r="H38" s="20" t="n">
        <v>0.01</v>
      </c>
      <c r="I38" s="13" t="n">
        <v>10.29</v>
      </c>
      <c r="J38" s="14" t="n">
        <v>54.7</v>
      </c>
      <c r="K38" s="14" t="n">
        <v>24.2</v>
      </c>
      <c r="L38" s="14" t="n">
        <v>34</v>
      </c>
      <c r="M38" s="14" t="n">
        <v>10.4</v>
      </c>
      <c r="N38" s="14" t="n">
        <v>68</v>
      </c>
      <c r="O38" s="26" t="n">
        <v>37648</v>
      </c>
      <c r="P38" s="26" t="n">
        <v>612905</v>
      </c>
    </row>
    <row r="39" customFormat="false" ht="12.8" hidden="false" customHeight="false" outlineLevel="0" collapsed="false">
      <c r="A39" s="12" t="n">
        <v>3</v>
      </c>
      <c r="B39" s="13" t="s">
        <v>100</v>
      </c>
      <c r="C39" s="19" t="n">
        <v>6.02</v>
      </c>
      <c r="D39" s="19" t="n">
        <v>-0.07</v>
      </c>
      <c r="E39" s="19" t="n">
        <v>-0.33</v>
      </c>
      <c r="F39" s="19" t="n">
        <v>4.71</v>
      </c>
      <c r="G39" s="13" t="n">
        <v>-0.05</v>
      </c>
      <c r="H39" s="20" t="n">
        <v>0</v>
      </c>
      <c r="I39" s="13" t="n">
        <v>10.28</v>
      </c>
      <c r="J39" s="14" t="n">
        <v>52.3</v>
      </c>
      <c r="K39" s="14" t="n">
        <v>36.1</v>
      </c>
      <c r="L39" s="14" t="n">
        <v>32.5</v>
      </c>
      <c r="M39" s="14" t="n">
        <v>11.6</v>
      </c>
      <c r="N39" s="14" t="n">
        <v>73.8</v>
      </c>
      <c r="O39" s="26" t="n">
        <v>54586</v>
      </c>
      <c r="P39" s="26" t="n">
        <v>906000</v>
      </c>
    </row>
    <row r="40" customFormat="false" ht="12.8" hidden="false" customHeight="false" outlineLevel="0" collapsed="false">
      <c r="A40" s="12" t="n">
        <v>3</v>
      </c>
      <c r="B40" s="13" t="s">
        <v>101</v>
      </c>
      <c r="C40" s="19" t="n">
        <v>5.93</v>
      </c>
      <c r="D40" s="19" t="n">
        <v>0.03</v>
      </c>
      <c r="E40" s="19" t="n">
        <v>-0.51</v>
      </c>
      <c r="F40" s="19" t="n">
        <v>4.71</v>
      </c>
      <c r="G40" s="13" t="n">
        <v>0.06</v>
      </c>
      <c r="H40" s="20" t="n">
        <v>0.01</v>
      </c>
      <c r="I40" s="13" t="n">
        <v>10.22</v>
      </c>
      <c r="J40" s="14" t="n">
        <v>58.3</v>
      </c>
      <c r="K40" s="14" t="n">
        <v>22.1</v>
      </c>
      <c r="L40" s="14" t="n">
        <v>32.2</v>
      </c>
      <c r="M40" s="14" t="n">
        <v>10.6</v>
      </c>
      <c r="N40" s="14" t="n">
        <v>74.1</v>
      </c>
      <c r="O40" s="26" t="n">
        <v>70412</v>
      </c>
      <c r="P40" s="26" t="n">
        <v>1187369</v>
      </c>
    </row>
    <row r="41" customFormat="false" ht="12.8" hidden="false" customHeight="false" outlineLevel="0" collapsed="false">
      <c r="A41" s="12" t="n">
        <v>3</v>
      </c>
      <c r="B41" s="13" t="s">
        <v>102</v>
      </c>
      <c r="C41" s="19" t="n">
        <v>6.1</v>
      </c>
      <c r="D41" s="19" t="n">
        <v>-0.14</v>
      </c>
      <c r="E41" s="19" t="n">
        <v>-0.46</v>
      </c>
      <c r="F41" s="19" t="n">
        <v>4.71</v>
      </c>
      <c r="G41" s="13" t="n">
        <v>-0.04</v>
      </c>
      <c r="H41" s="20" t="n">
        <v>0.01</v>
      </c>
      <c r="I41" s="13" t="n">
        <v>10.17</v>
      </c>
      <c r="J41" s="14" t="n">
        <v>61.2</v>
      </c>
      <c r="K41" s="14" t="n">
        <v>17.7</v>
      </c>
      <c r="L41" s="14" t="n">
        <v>30.6</v>
      </c>
      <c r="M41" s="14" t="n">
        <v>9.4</v>
      </c>
      <c r="N41" s="14" t="n">
        <v>71.7</v>
      </c>
      <c r="O41" s="26" t="n">
        <v>34849</v>
      </c>
      <c r="P41" s="26" t="n">
        <v>571339</v>
      </c>
    </row>
    <row r="42" customFormat="false" ht="12.8" hidden="false" customHeight="false" outlineLevel="0" collapsed="false">
      <c r="A42" s="12" t="n">
        <v>3</v>
      </c>
      <c r="B42" s="13" t="s">
        <v>103</v>
      </c>
      <c r="C42" s="19" t="n">
        <v>5.84</v>
      </c>
      <c r="D42" s="19" t="n">
        <v>0.02</v>
      </c>
      <c r="E42" s="19" t="n">
        <v>-0.3</v>
      </c>
      <c r="F42" s="19" t="n">
        <v>4.71</v>
      </c>
      <c r="G42" s="13" t="n">
        <v>-0.04</v>
      </c>
      <c r="H42" s="20" t="n">
        <v>-0.01</v>
      </c>
      <c r="I42" s="13" t="n">
        <v>10.22</v>
      </c>
      <c r="J42" s="14" t="n">
        <v>51.5</v>
      </c>
      <c r="K42" s="14" t="n">
        <v>17.3</v>
      </c>
      <c r="L42" s="14" t="n">
        <v>33</v>
      </c>
      <c r="M42" s="14" t="n">
        <v>13.5</v>
      </c>
      <c r="N42" s="14" t="n">
        <v>78.6</v>
      </c>
      <c r="O42" s="26" t="n">
        <v>258156</v>
      </c>
      <c r="P42" s="26" t="n">
        <v>4417042</v>
      </c>
    </row>
    <row r="43" customFormat="false" ht="12.8" hidden="false" customHeight="false" outlineLevel="0" collapsed="false">
      <c r="A43" s="12" t="n">
        <v>3</v>
      </c>
      <c r="B43" s="13" t="s">
        <v>104</v>
      </c>
      <c r="C43" s="19" t="n">
        <v>7.05</v>
      </c>
      <c r="D43" s="19" t="n">
        <v>-0.19</v>
      </c>
      <c r="E43" s="19" t="n">
        <v>-0.79</v>
      </c>
      <c r="F43" s="19" t="n">
        <v>4.71</v>
      </c>
      <c r="G43" s="13" t="n">
        <v>-0.07</v>
      </c>
      <c r="H43" s="20" t="n">
        <v>-0.03</v>
      </c>
      <c r="I43" s="13" t="n">
        <v>10.68</v>
      </c>
      <c r="J43" s="14" t="n">
        <v>53.4</v>
      </c>
      <c r="K43" s="14" t="n">
        <v>19.9</v>
      </c>
      <c r="L43" s="14" t="n">
        <v>35.3</v>
      </c>
      <c r="M43" s="14" t="n">
        <v>13.2</v>
      </c>
      <c r="N43" s="14" t="n">
        <v>80.4</v>
      </c>
      <c r="O43" s="26" t="n">
        <v>44483</v>
      </c>
      <c r="P43" s="26" t="n">
        <v>630811</v>
      </c>
    </row>
    <row r="44" customFormat="false" ht="12.8" hidden="false" customHeight="false" outlineLevel="0" collapsed="false">
      <c r="A44" s="12" t="n">
        <v>3</v>
      </c>
      <c r="B44" s="13" t="s">
        <v>105</v>
      </c>
      <c r="C44" s="19" t="n">
        <v>6.58</v>
      </c>
      <c r="D44" s="19" t="n">
        <v>-0.2</v>
      </c>
      <c r="E44" s="19" t="n">
        <v>-0.79</v>
      </c>
      <c r="F44" s="19" t="n">
        <v>4.71</v>
      </c>
      <c r="G44" s="13" t="n">
        <v>-0.01</v>
      </c>
      <c r="H44" s="20" t="n">
        <v>-0.02</v>
      </c>
      <c r="I44" s="13" t="n">
        <v>10.26</v>
      </c>
      <c r="J44" s="14" t="n">
        <v>55.3</v>
      </c>
      <c r="K44" s="14" t="n">
        <v>22.5</v>
      </c>
      <c r="L44" s="14" t="n">
        <v>33.3</v>
      </c>
      <c r="M44" s="14" t="n">
        <v>10.7</v>
      </c>
      <c r="N44" s="14" t="n">
        <v>79.7</v>
      </c>
      <c r="O44" s="26" t="n">
        <v>64644</v>
      </c>
      <c r="P44" s="26" t="n">
        <v>981917</v>
      </c>
    </row>
    <row r="45" customFormat="false" ht="12.8" hidden="false" customHeight="false" outlineLevel="0" collapsed="false">
      <c r="A45" s="12" t="n">
        <v>3</v>
      </c>
      <c r="B45" s="13" t="s">
        <v>106</v>
      </c>
      <c r="C45" s="19" t="n">
        <v>6.33</v>
      </c>
      <c r="D45" s="19" t="n">
        <v>-0.07</v>
      </c>
      <c r="E45" s="19" t="n">
        <v>-0.66</v>
      </c>
      <c r="F45" s="19" t="n">
        <v>4.71</v>
      </c>
      <c r="G45" s="13" t="n">
        <v>0.03</v>
      </c>
      <c r="H45" s="20" t="n">
        <v>-0.03</v>
      </c>
      <c r="I45" s="13" t="n">
        <v>10.29</v>
      </c>
      <c r="J45" s="14" t="n">
        <v>58.5</v>
      </c>
      <c r="K45" s="14" t="n">
        <v>30.1</v>
      </c>
      <c r="L45" s="14" t="n">
        <v>33.2</v>
      </c>
      <c r="M45" s="14" t="n">
        <v>11.1</v>
      </c>
      <c r="N45" s="14" t="n">
        <v>79.6</v>
      </c>
      <c r="O45" s="26" t="n">
        <v>88658</v>
      </c>
      <c r="P45" s="26" t="n">
        <v>1400736</v>
      </c>
    </row>
    <row r="46" customFormat="false" ht="12.8" hidden="false" customHeight="false" outlineLevel="0" collapsed="false">
      <c r="A46" s="12" t="n">
        <v>3</v>
      </c>
      <c r="B46" s="13" t="s">
        <v>107</v>
      </c>
      <c r="C46" s="19" t="n">
        <v>6.41</v>
      </c>
      <c r="D46" s="19" t="n">
        <v>-0.19</v>
      </c>
      <c r="E46" s="19" t="n">
        <v>-0.64</v>
      </c>
      <c r="F46" s="19" t="n">
        <v>4.71</v>
      </c>
      <c r="G46" s="13" t="n">
        <v>0.02</v>
      </c>
      <c r="H46" s="20" t="n">
        <v>-0.01</v>
      </c>
      <c r="I46" s="13" t="n">
        <v>10.3</v>
      </c>
      <c r="J46" s="14" t="n">
        <v>63.8</v>
      </c>
      <c r="K46" s="14" t="n">
        <v>26.5</v>
      </c>
      <c r="L46" s="14" t="n">
        <v>33.7</v>
      </c>
      <c r="M46" s="14" t="n">
        <v>8.5</v>
      </c>
      <c r="N46" s="14" t="n">
        <v>76.9</v>
      </c>
      <c r="O46" s="26" t="n">
        <v>59426</v>
      </c>
      <c r="P46" s="26" t="n">
        <v>927793</v>
      </c>
    </row>
    <row r="47" customFormat="false" ht="12.8" hidden="false" customHeight="false" outlineLevel="0" collapsed="false">
      <c r="A47" s="12" t="n">
        <v>3</v>
      </c>
      <c r="B47" s="13" t="s">
        <v>108</v>
      </c>
      <c r="C47" s="19" t="n">
        <v>6.14</v>
      </c>
      <c r="D47" s="19" t="n">
        <v>-0.08</v>
      </c>
      <c r="E47" s="19" t="n">
        <v>-0.85</v>
      </c>
      <c r="F47" s="19" t="n">
        <v>4.71</v>
      </c>
      <c r="G47" s="13" t="n">
        <v>-0.07</v>
      </c>
      <c r="H47" s="20" t="n">
        <v>-0.02</v>
      </c>
      <c r="I47" s="13" t="n">
        <v>9.83</v>
      </c>
      <c r="J47" s="14" t="n">
        <v>51.9</v>
      </c>
      <c r="K47" s="14" t="n">
        <v>21.7</v>
      </c>
      <c r="L47" s="14" t="n">
        <v>34.2</v>
      </c>
      <c r="M47" s="14" t="n">
        <v>11.3</v>
      </c>
      <c r="N47" s="14" t="n">
        <v>80.5</v>
      </c>
      <c r="O47" s="26" t="n">
        <v>52781</v>
      </c>
      <c r="P47" s="26" t="n">
        <v>859863</v>
      </c>
    </row>
    <row r="48" customFormat="false" ht="12.8" hidden="false" customHeight="false" outlineLevel="0" collapsed="false">
      <c r="A48" s="12" t="n">
        <v>3</v>
      </c>
      <c r="B48" s="13" t="s">
        <v>109</v>
      </c>
      <c r="C48" s="19" t="n">
        <v>6.53</v>
      </c>
      <c r="D48" s="19" t="n">
        <v>-0.05</v>
      </c>
      <c r="E48" s="19" t="n">
        <v>-0.91</v>
      </c>
      <c r="F48" s="19" t="n">
        <v>4.71</v>
      </c>
      <c r="G48" s="13" t="n">
        <v>0.07</v>
      </c>
      <c r="H48" s="20" t="n">
        <v>0.01</v>
      </c>
      <c r="I48" s="13" t="n">
        <v>10.36</v>
      </c>
      <c r="J48" s="14" t="n">
        <v>50.5</v>
      </c>
      <c r="K48" s="14" t="n">
        <v>16.9</v>
      </c>
      <c r="L48" s="14" t="n">
        <v>33.1</v>
      </c>
      <c r="M48" s="14" t="n">
        <v>10.5</v>
      </c>
      <c r="N48" s="14" t="n">
        <v>83</v>
      </c>
      <c r="O48" s="26" t="n">
        <v>84906</v>
      </c>
      <c r="P48" s="26" t="n">
        <v>1299701</v>
      </c>
    </row>
    <row r="49" customFormat="false" ht="12.8" hidden="false" customHeight="false" outlineLevel="0" collapsed="false">
      <c r="A49" s="12" t="n">
        <v>3</v>
      </c>
      <c r="B49" s="13" t="s">
        <v>110</v>
      </c>
      <c r="C49" s="19" t="n">
        <v>6.56</v>
      </c>
      <c r="D49" s="19" t="n">
        <v>0.28</v>
      </c>
      <c r="E49" s="19" t="n">
        <v>-1.58</v>
      </c>
      <c r="F49" s="19" t="n">
        <v>4.71</v>
      </c>
      <c r="G49" s="13" t="n">
        <v>0.01</v>
      </c>
      <c r="H49" s="20" t="n">
        <v>-0.03</v>
      </c>
      <c r="I49" s="13" t="n">
        <v>9.95</v>
      </c>
      <c r="J49" s="14" t="n">
        <v>55.8</v>
      </c>
      <c r="K49" s="14" t="n">
        <v>30.8</v>
      </c>
      <c r="L49" s="14" t="n">
        <v>33.2</v>
      </c>
      <c r="M49" s="14" t="n">
        <v>10.3</v>
      </c>
      <c r="N49" s="14" t="n">
        <v>87.6</v>
      </c>
      <c r="O49" s="26" t="n">
        <v>73263</v>
      </c>
      <c r="P49" s="26" t="n">
        <v>1116244</v>
      </c>
    </row>
    <row r="50" customFormat="false" ht="12.8" hidden="false" customHeight="false" outlineLevel="0" collapsed="false">
      <c r="A50" s="12" t="n">
        <v>4</v>
      </c>
      <c r="B50" s="13" t="s">
        <v>42</v>
      </c>
      <c r="C50" s="13" t="n">
        <v>6.26</v>
      </c>
      <c r="D50" s="13" t="n">
        <v>-0.31</v>
      </c>
      <c r="E50" s="13" t="n">
        <v>-0.26</v>
      </c>
      <c r="F50" s="13" t="n">
        <v>4.71</v>
      </c>
      <c r="G50" s="13" t="n">
        <v>-0.03</v>
      </c>
      <c r="H50" s="13" t="n">
        <v>0.007</v>
      </c>
      <c r="I50" s="13" t="n">
        <v>10.39</v>
      </c>
      <c r="J50" s="13" t="n">
        <v>45</v>
      </c>
      <c r="K50" s="13" t="n">
        <v>9.8</v>
      </c>
      <c r="L50" s="13" t="n">
        <v>31.7</v>
      </c>
      <c r="M50" s="13" t="n">
        <v>9.2</v>
      </c>
      <c r="N50" s="13" t="n">
        <v>81.5</v>
      </c>
      <c r="O50" s="26" t="n">
        <v>263346</v>
      </c>
      <c r="P50" s="26" t="n">
        <v>4204126</v>
      </c>
    </row>
    <row r="51" customFormat="false" ht="12.8" hidden="false" customHeight="false" outlineLevel="0" collapsed="false">
      <c r="A51" s="18" t="n">
        <v>4</v>
      </c>
      <c r="B51" s="13" t="s">
        <v>45</v>
      </c>
      <c r="C51" s="13" t="n">
        <v>6.37</v>
      </c>
      <c r="D51" s="13" t="n">
        <v>-0.3</v>
      </c>
      <c r="E51" s="13" t="n">
        <v>-0.81</v>
      </c>
      <c r="F51" s="13" t="n">
        <v>4.71</v>
      </c>
      <c r="G51" s="13" t="n">
        <v>0.04</v>
      </c>
      <c r="H51" s="13" t="n">
        <v>0.003</v>
      </c>
      <c r="I51" s="13" t="n">
        <v>10.03</v>
      </c>
      <c r="J51" s="13" t="n">
        <v>55.8</v>
      </c>
      <c r="K51" s="13" t="n">
        <v>17.6</v>
      </c>
      <c r="L51" s="13" t="n">
        <v>31.4</v>
      </c>
      <c r="M51" s="13" t="n">
        <v>9.2</v>
      </c>
      <c r="N51" s="13" t="n">
        <v>82.1</v>
      </c>
      <c r="O51" s="26" t="n">
        <v>60429</v>
      </c>
      <c r="P51" s="26" t="n">
        <v>948612</v>
      </c>
    </row>
    <row r="52" customFormat="false" ht="12.8" hidden="false" customHeight="false" outlineLevel="0" collapsed="false">
      <c r="A52" s="12" t="n">
        <v>4</v>
      </c>
      <c r="B52" s="13" t="s">
        <v>46</v>
      </c>
      <c r="C52" s="13" t="n">
        <v>6.01</v>
      </c>
      <c r="D52" s="13" t="n">
        <v>-0.32</v>
      </c>
      <c r="E52" s="13" t="n">
        <v>-0.57</v>
      </c>
      <c r="F52" s="13" t="n">
        <v>4.71</v>
      </c>
      <c r="G52" s="13" t="n">
        <v>0.06</v>
      </c>
      <c r="H52" s="13" t="n">
        <v>0.007</v>
      </c>
      <c r="I52" s="13" t="n">
        <v>9.91</v>
      </c>
      <c r="J52" s="13" t="n">
        <v>55.7</v>
      </c>
      <c r="K52" s="13" t="n">
        <v>14.5</v>
      </c>
      <c r="L52" s="13" t="n">
        <v>31.4</v>
      </c>
      <c r="M52" s="13" t="n">
        <v>9</v>
      </c>
      <c r="N52" s="13" t="n">
        <v>85</v>
      </c>
      <c r="O52" s="26" t="n">
        <v>54837</v>
      </c>
      <c r="P52" s="26" t="n">
        <v>911740</v>
      </c>
    </row>
    <row r="53" customFormat="false" ht="12.8" hidden="false" customHeight="false" outlineLevel="0" collapsed="false">
      <c r="A53" s="18" t="n">
        <v>4</v>
      </c>
      <c r="B53" s="13" t="s">
        <v>48</v>
      </c>
      <c r="C53" s="13" t="n">
        <v>5.91</v>
      </c>
      <c r="D53" s="13" t="n">
        <v>-0.17</v>
      </c>
      <c r="E53" s="13" t="n">
        <v>-0.32</v>
      </c>
      <c r="F53" s="13" t="n">
        <v>4.71</v>
      </c>
      <c r="G53" s="13" t="n">
        <v>0.07</v>
      </c>
      <c r="H53" s="13" t="n">
        <v>-0.017</v>
      </c>
      <c r="I53" s="13" t="n">
        <v>10.18</v>
      </c>
      <c r="J53" s="13" t="n">
        <v>58.5</v>
      </c>
      <c r="K53" s="13" t="n">
        <v>22.9</v>
      </c>
      <c r="L53" s="13" t="n">
        <v>31.6</v>
      </c>
      <c r="M53" s="13" t="n">
        <v>11.6</v>
      </c>
      <c r="N53" s="13" t="n">
        <v>83.1</v>
      </c>
      <c r="O53" s="26" t="n">
        <v>102817</v>
      </c>
      <c r="P53" s="26" t="n">
        <v>1738438</v>
      </c>
    </row>
    <row r="54" customFormat="false" ht="12.8" hidden="false" customHeight="false" outlineLevel="0" collapsed="false">
      <c r="A54" s="12" t="n">
        <v>4</v>
      </c>
      <c r="B54" s="13" t="s">
        <v>49</v>
      </c>
      <c r="C54" s="13" t="n">
        <v>6.99</v>
      </c>
      <c r="D54" s="13" t="n">
        <v>-0.63</v>
      </c>
      <c r="E54" s="13" t="n">
        <v>-0.8</v>
      </c>
      <c r="F54" s="13" t="n">
        <v>4.71</v>
      </c>
      <c r="G54" s="13" t="n">
        <v>0.02</v>
      </c>
      <c r="H54" s="13" t="n">
        <v>-0.028</v>
      </c>
      <c r="I54" s="13" t="n">
        <v>10.27</v>
      </c>
      <c r="J54" s="13" t="n">
        <v>55.9</v>
      </c>
      <c r="K54" s="13" t="n">
        <v>24.4</v>
      </c>
      <c r="L54" s="13" t="n">
        <v>33.2</v>
      </c>
      <c r="M54" s="13" t="n">
        <v>9</v>
      </c>
      <c r="N54" s="13" t="n">
        <v>81.7</v>
      </c>
      <c r="O54" s="26" t="n">
        <v>48267</v>
      </c>
      <c r="P54" s="26" t="n">
        <v>690139</v>
      </c>
    </row>
    <row r="55" customFormat="false" ht="12.8" hidden="false" customHeight="false" outlineLevel="0" collapsed="false">
      <c r="A55" s="18" t="n">
        <v>4</v>
      </c>
      <c r="B55" s="13" t="s">
        <v>50</v>
      </c>
      <c r="C55" s="13" t="n">
        <v>6.1</v>
      </c>
      <c r="D55" s="13" t="n">
        <v>-0.27</v>
      </c>
      <c r="E55" s="13" t="n">
        <v>-0.5</v>
      </c>
      <c r="F55" s="13" t="n">
        <v>4.71</v>
      </c>
      <c r="G55" s="13" t="n">
        <v>0</v>
      </c>
      <c r="H55" s="13" t="n">
        <v>-0.043</v>
      </c>
      <c r="I55" s="13" t="n">
        <v>9.99</v>
      </c>
      <c r="J55" s="13" t="n">
        <v>73</v>
      </c>
      <c r="K55" s="13" t="n">
        <v>22.7</v>
      </c>
      <c r="L55" s="13" t="n">
        <v>33.3</v>
      </c>
      <c r="M55" s="13" t="n">
        <v>10.8</v>
      </c>
      <c r="N55" s="13" t="n">
        <v>83.3</v>
      </c>
      <c r="O55" s="26" t="n">
        <v>54008</v>
      </c>
      <c r="P55" s="26" t="n">
        <v>885561</v>
      </c>
    </row>
    <row r="56" customFormat="false" ht="12.8" hidden="false" customHeight="false" outlineLevel="0" collapsed="false">
      <c r="A56" s="12" t="n">
        <v>4</v>
      </c>
      <c r="B56" s="13" t="s">
        <v>51</v>
      </c>
      <c r="C56" s="13" t="n">
        <v>5.37</v>
      </c>
      <c r="D56" s="13" t="n">
        <v>-0.16</v>
      </c>
      <c r="E56" s="13" t="n">
        <v>-0.27</v>
      </c>
      <c r="F56" s="13" t="n">
        <v>4.71</v>
      </c>
      <c r="G56" s="13" t="n">
        <v>0.03</v>
      </c>
      <c r="H56" s="13" t="n">
        <v>-0.023</v>
      </c>
      <c r="I56" s="13" t="n">
        <v>9.65</v>
      </c>
      <c r="J56" s="13" t="n">
        <v>53.1</v>
      </c>
      <c r="K56" s="13" t="n">
        <v>24.9</v>
      </c>
      <c r="L56" s="13" t="n">
        <v>33.5</v>
      </c>
      <c r="M56" s="13" t="n">
        <v>10.3</v>
      </c>
      <c r="N56" s="13" t="n">
        <v>81.8</v>
      </c>
      <c r="O56" s="26" t="n">
        <v>84085</v>
      </c>
      <c r="P56" s="26" t="n">
        <v>1565241</v>
      </c>
    </row>
    <row r="57" customFormat="false" ht="12.8" hidden="false" customHeight="false" outlineLevel="0" collapsed="false">
      <c r="A57" s="18" t="n">
        <v>4</v>
      </c>
      <c r="B57" s="13" t="s">
        <v>52</v>
      </c>
      <c r="C57" s="13" t="n">
        <v>5.05</v>
      </c>
      <c r="D57" s="13" t="n">
        <v>-0.04</v>
      </c>
      <c r="E57" s="13" t="n">
        <v>0.04</v>
      </c>
      <c r="F57" s="13" t="n">
        <v>4.71</v>
      </c>
      <c r="G57" s="13" t="n">
        <v>-0.01</v>
      </c>
      <c r="H57" s="13" t="n">
        <v>0.007</v>
      </c>
      <c r="I57" s="13" t="n">
        <v>9.77</v>
      </c>
      <c r="J57" s="13" t="n">
        <v>52.3</v>
      </c>
      <c r="K57" s="13" t="n">
        <v>13.9</v>
      </c>
      <c r="L57" s="13" t="n">
        <v>31.7</v>
      </c>
      <c r="M57" s="13" t="n">
        <v>12</v>
      </c>
      <c r="N57" s="13" t="n">
        <v>78.8</v>
      </c>
      <c r="O57" s="26" t="n">
        <v>90280</v>
      </c>
      <c r="P57" s="26" t="n">
        <v>1785993</v>
      </c>
    </row>
    <row r="58" customFormat="false" ht="12.8" hidden="false" customHeight="false" outlineLevel="0" collapsed="false">
      <c r="A58" s="12" t="n">
        <v>4</v>
      </c>
      <c r="B58" s="13" t="s">
        <v>53</v>
      </c>
      <c r="C58" s="13" t="n">
        <v>5.29</v>
      </c>
      <c r="D58" s="13" t="n">
        <v>-0.06</v>
      </c>
      <c r="E58" s="13" t="n">
        <v>-0.05</v>
      </c>
      <c r="F58" s="13" t="n">
        <v>4.71</v>
      </c>
      <c r="G58" s="13" t="n">
        <v>0.04</v>
      </c>
      <c r="H58" s="13" t="n">
        <v>-0.025</v>
      </c>
      <c r="I58" s="13" t="n">
        <v>9.9</v>
      </c>
      <c r="J58" s="13" t="n">
        <v>53.4</v>
      </c>
      <c r="K58" s="13" t="n">
        <v>23.5</v>
      </c>
      <c r="L58" s="13" t="n">
        <v>32.4</v>
      </c>
      <c r="M58" s="13" t="n">
        <v>10.5</v>
      </c>
      <c r="N58" s="13" t="n">
        <v>79.5</v>
      </c>
      <c r="O58" s="26" t="n">
        <v>69589</v>
      </c>
      <c r="P58" s="26" t="n">
        <v>1315809</v>
      </c>
    </row>
    <row r="59" customFormat="false" ht="12.8" hidden="false" customHeight="false" outlineLevel="0" collapsed="false">
      <c r="A59" s="18" t="n">
        <v>4</v>
      </c>
      <c r="B59" s="13" t="s">
        <v>54</v>
      </c>
      <c r="C59" s="13" t="n">
        <v>5.15</v>
      </c>
      <c r="D59" s="13" t="n">
        <v>-0.02</v>
      </c>
      <c r="E59" s="13" t="n">
        <v>-0.08</v>
      </c>
      <c r="F59" s="13" t="n">
        <v>4.71</v>
      </c>
      <c r="G59" s="13" t="n">
        <v>-0.04</v>
      </c>
      <c r="H59" s="13" t="n">
        <v>0.007</v>
      </c>
      <c r="I59" s="13" t="n">
        <v>9.73</v>
      </c>
      <c r="J59" s="13" t="n">
        <v>51.2</v>
      </c>
      <c r="K59" s="13" t="n">
        <v>10.6</v>
      </c>
      <c r="L59" s="13" t="n">
        <v>31.7</v>
      </c>
      <c r="M59" s="13" t="n">
        <v>9.3</v>
      </c>
      <c r="N59" s="13" t="n">
        <v>80.3</v>
      </c>
      <c r="O59" s="26" t="n">
        <v>79022</v>
      </c>
      <c r="P59" s="26" t="n">
        <v>1534239</v>
      </c>
    </row>
    <row r="60" customFormat="false" ht="12.8" hidden="false" customHeight="false" outlineLevel="0" collapsed="false">
      <c r="A60" s="12" t="n">
        <v>4</v>
      </c>
      <c r="B60" s="13" t="s">
        <v>56</v>
      </c>
      <c r="C60" s="13" t="n">
        <v>4.91</v>
      </c>
      <c r="D60" s="13" t="n">
        <v>-0.02</v>
      </c>
      <c r="E60" s="13" t="n">
        <v>0.14</v>
      </c>
      <c r="F60" s="13" t="n">
        <v>4.71</v>
      </c>
      <c r="G60" s="13" t="n">
        <v>-0.04</v>
      </c>
      <c r="H60" s="13" t="n">
        <v>0.007</v>
      </c>
      <c r="I60" s="13" t="n">
        <v>9.71</v>
      </c>
      <c r="J60" s="13" t="n">
        <v>43</v>
      </c>
      <c r="K60" s="13" t="n">
        <v>6.6</v>
      </c>
      <c r="L60" s="13" t="n">
        <v>31.8</v>
      </c>
      <c r="M60" s="13" t="n">
        <v>8.7</v>
      </c>
      <c r="N60" s="13" t="n">
        <v>79.8</v>
      </c>
      <c r="O60" s="26" t="n">
        <v>176671</v>
      </c>
      <c r="P60" s="26" t="n">
        <v>3600244</v>
      </c>
    </row>
    <row r="61" customFormat="false" ht="12.8" hidden="false" customHeight="false" outlineLevel="0" collapsed="false">
      <c r="A61" s="18" t="n">
        <v>4</v>
      </c>
      <c r="B61" s="13" t="s">
        <v>58</v>
      </c>
      <c r="C61" s="13" t="n">
        <v>5.02</v>
      </c>
      <c r="D61" s="13" t="n">
        <v>-0.11</v>
      </c>
      <c r="E61" s="13" t="n">
        <v>0.14</v>
      </c>
      <c r="F61" s="13" t="n">
        <v>4.71</v>
      </c>
      <c r="G61" s="13" t="n">
        <v>-0.01</v>
      </c>
      <c r="H61" s="13" t="n">
        <v>0.007</v>
      </c>
      <c r="I61" s="13" t="n">
        <v>9.76</v>
      </c>
      <c r="J61" s="13" t="n">
        <v>40</v>
      </c>
      <c r="K61" s="13" t="n">
        <v>12.6</v>
      </c>
      <c r="L61" s="13" t="n">
        <v>31.4</v>
      </c>
      <c r="M61" s="13" t="n">
        <v>9.7</v>
      </c>
      <c r="N61" s="13" t="n">
        <v>80.1</v>
      </c>
      <c r="O61" s="26" t="n">
        <v>127132</v>
      </c>
      <c r="P61" s="26" t="n">
        <v>2534172</v>
      </c>
    </row>
    <row r="62" customFormat="false" ht="12.8" hidden="false" customHeight="false" outlineLevel="0" collapsed="false">
      <c r="A62" s="12" t="n">
        <v>4</v>
      </c>
      <c r="B62" s="13" t="s">
        <v>60</v>
      </c>
      <c r="C62" s="13" t="n">
        <v>4.31</v>
      </c>
      <c r="D62" s="13" t="n">
        <v>0.13</v>
      </c>
      <c r="E62" s="13" t="n">
        <v>0.67</v>
      </c>
      <c r="F62" s="13" t="n">
        <v>4.71</v>
      </c>
      <c r="G62" s="13" t="n">
        <v>-0.02</v>
      </c>
      <c r="H62" s="13" t="n">
        <v>0.007</v>
      </c>
      <c r="I62" s="13" t="n">
        <v>9.81</v>
      </c>
      <c r="J62" s="13" t="n">
        <v>47.2</v>
      </c>
      <c r="K62" s="13" t="n">
        <v>7.7</v>
      </c>
      <c r="L62" s="13" t="n">
        <v>32.4</v>
      </c>
      <c r="M62" s="13" t="n">
        <v>9.2</v>
      </c>
      <c r="N62" s="13" t="n">
        <v>78.4</v>
      </c>
      <c r="O62" s="26" t="n">
        <v>672029</v>
      </c>
      <c r="P62" s="26" t="n">
        <v>15579666</v>
      </c>
    </row>
    <row r="63" customFormat="false" ht="12.8" hidden="false" customHeight="false" outlineLevel="0" collapsed="false">
      <c r="A63" s="18" t="n">
        <v>4</v>
      </c>
      <c r="B63" s="13" t="s">
        <v>62</v>
      </c>
      <c r="C63" s="13" t="n">
        <v>4.82</v>
      </c>
      <c r="D63" s="13" t="n">
        <v>-0.06</v>
      </c>
      <c r="E63" s="13" t="n">
        <v>0.41</v>
      </c>
      <c r="F63" s="13" t="n">
        <v>4.71</v>
      </c>
      <c r="G63" s="13" t="n">
        <v>-0.04</v>
      </c>
      <c r="H63" s="13" t="n">
        <v>0.007</v>
      </c>
      <c r="I63" s="13" t="n">
        <v>9.85</v>
      </c>
      <c r="J63" s="13" t="n">
        <v>41.7</v>
      </c>
      <c r="K63" s="13" t="n">
        <v>8.9</v>
      </c>
      <c r="L63" s="13" t="n">
        <v>31.7</v>
      </c>
      <c r="M63" s="13" t="n">
        <v>10.2</v>
      </c>
      <c r="N63" s="13" t="n">
        <v>79</v>
      </c>
      <c r="O63" s="26" t="n">
        <v>214068</v>
      </c>
      <c r="P63" s="26" t="n">
        <v>4443518</v>
      </c>
    </row>
    <row r="64" customFormat="false" ht="12.8" hidden="false" customHeight="false" outlineLevel="0" collapsed="false">
      <c r="A64" s="12" t="n">
        <v>4</v>
      </c>
      <c r="B64" s="13" t="s">
        <v>64</v>
      </c>
      <c r="C64" s="13" t="n">
        <v>5.28</v>
      </c>
      <c r="D64" s="13" t="n">
        <v>-0.14</v>
      </c>
      <c r="E64" s="13" t="n">
        <v>-0.31</v>
      </c>
      <c r="F64" s="13" t="n">
        <v>4.71</v>
      </c>
      <c r="G64" s="13" t="n">
        <v>0</v>
      </c>
      <c r="H64" s="13" t="n">
        <v>-0.032</v>
      </c>
      <c r="I64" s="13" t="n">
        <v>9.51</v>
      </c>
      <c r="J64" s="13" t="n">
        <v>65.2</v>
      </c>
      <c r="K64" s="13" t="n">
        <v>17.5</v>
      </c>
      <c r="L64" s="13" t="n">
        <v>33.1</v>
      </c>
      <c r="M64" s="13" t="n">
        <v>11.1</v>
      </c>
      <c r="N64" s="13" t="n">
        <v>81.5</v>
      </c>
      <c r="O64" s="26" t="n">
        <v>99778</v>
      </c>
      <c r="P64" s="26" t="n">
        <v>1891336</v>
      </c>
    </row>
    <row r="65" customFormat="false" ht="12.8" hidden="false" customHeight="false" outlineLevel="0" collapsed="false">
      <c r="A65" s="18" t="n">
        <v>4</v>
      </c>
      <c r="B65" s="13" t="s">
        <v>66</v>
      </c>
      <c r="C65" s="13" t="n">
        <v>4.88</v>
      </c>
      <c r="D65" s="13" t="n">
        <v>-0.09</v>
      </c>
      <c r="E65" s="13" t="n">
        <v>0.13</v>
      </c>
      <c r="F65" s="13" t="n">
        <v>4.71</v>
      </c>
      <c r="G65" s="13" t="n">
        <v>0.02</v>
      </c>
      <c r="H65" s="13" t="n">
        <v>-0.051</v>
      </c>
      <c r="I65" s="13" t="n">
        <v>9.61</v>
      </c>
      <c r="J65" s="13" t="n">
        <v>67.2</v>
      </c>
      <c r="K65" s="13" t="n">
        <v>27.6</v>
      </c>
      <c r="L65" s="13" t="n">
        <v>31.6</v>
      </c>
      <c r="M65" s="13" t="n">
        <v>15.9</v>
      </c>
      <c r="N65" s="13" t="n">
        <v>80.8</v>
      </c>
      <c r="O65" s="26" t="n">
        <v>50455</v>
      </c>
      <c r="P65" s="26" t="n">
        <v>1033278</v>
      </c>
    </row>
    <row r="66" customFormat="false" ht="12.8" hidden="false" customHeight="false" outlineLevel="0" collapsed="false">
      <c r="A66" s="12" t="n">
        <v>4</v>
      </c>
      <c r="B66" s="13" t="s">
        <v>67</v>
      </c>
      <c r="C66" s="13" t="n">
        <v>5.27</v>
      </c>
      <c r="D66" s="13" t="n">
        <v>-0.03</v>
      </c>
      <c r="E66" s="13" t="n">
        <v>0</v>
      </c>
      <c r="F66" s="13" t="n">
        <v>4.71</v>
      </c>
      <c r="G66" s="13" t="n">
        <v>-0.06</v>
      </c>
      <c r="H66" s="13" t="n">
        <v>0.007</v>
      </c>
      <c r="I66" s="13" t="n">
        <v>9.89</v>
      </c>
      <c r="J66" s="13" t="n">
        <v>61.1</v>
      </c>
      <c r="K66" s="13" t="n">
        <v>15.4</v>
      </c>
      <c r="L66" s="13" t="n">
        <v>31</v>
      </c>
      <c r="M66" s="13" t="n">
        <v>13.1</v>
      </c>
      <c r="N66" s="13" t="n">
        <v>79.5</v>
      </c>
      <c r="O66" s="26" t="n">
        <v>57742</v>
      </c>
      <c r="P66" s="26" t="n">
        <v>1094766</v>
      </c>
    </row>
    <row r="67" customFormat="false" ht="12.8" hidden="false" customHeight="false" outlineLevel="0" collapsed="false">
      <c r="A67" s="18" t="n">
        <v>4</v>
      </c>
      <c r="B67" s="13" t="s">
        <v>69</v>
      </c>
      <c r="C67" s="13" t="n">
        <v>5.4</v>
      </c>
      <c r="D67" s="13" t="n">
        <v>-0.12</v>
      </c>
      <c r="E67" s="13" t="n">
        <v>-0.03</v>
      </c>
      <c r="F67" s="13" t="n">
        <v>4.71</v>
      </c>
      <c r="G67" s="13" t="n">
        <v>0</v>
      </c>
      <c r="H67" s="13" t="n">
        <v>0.007</v>
      </c>
      <c r="I67" s="13" t="n">
        <v>9.96</v>
      </c>
      <c r="J67" s="13" t="n">
        <v>58.3</v>
      </c>
      <c r="K67" s="13" t="n">
        <v>17</v>
      </c>
      <c r="L67" s="13" t="n">
        <v>32.7</v>
      </c>
      <c r="M67" s="13" t="n">
        <v>13.9</v>
      </c>
      <c r="N67" s="13" t="n">
        <v>79.1</v>
      </c>
      <c r="O67" s="26" t="n">
        <v>38956</v>
      </c>
      <c r="P67" s="26" t="n">
        <v>721666</v>
      </c>
    </row>
    <row r="68" customFormat="false" ht="12.8" hidden="false" customHeight="false" outlineLevel="0" collapsed="false">
      <c r="A68" s="12" t="n">
        <v>4</v>
      </c>
      <c r="B68" s="13" t="s">
        <v>75</v>
      </c>
      <c r="C68" s="13" t="n">
        <v>5.37</v>
      </c>
      <c r="D68" s="13" t="n">
        <v>-0.14</v>
      </c>
      <c r="E68" s="13" t="n">
        <v>-0.18</v>
      </c>
      <c r="F68" s="13" t="n">
        <v>4.71</v>
      </c>
      <c r="G68" s="13" t="n">
        <v>-0.09</v>
      </c>
      <c r="H68" s="13" t="n">
        <v>-0.021</v>
      </c>
      <c r="I68" s="13" t="n">
        <v>9.66</v>
      </c>
      <c r="J68" s="13" t="n">
        <v>62.9</v>
      </c>
      <c r="K68" s="13" t="n">
        <v>16.2</v>
      </c>
      <c r="L68" s="28" t="s">
        <v>122</v>
      </c>
      <c r="M68" s="13" t="n">
        <v>10.6</v>
      </c>
      <c r="N68" s="13" t="n">
        <v>78.9</v>
      </c>
      <c r="O68" s="26" t="n">
        <v>32486</v>
      </c>
      <c r="P68" s="26" t="n">
        <v>604719</v>
      </c>
    </row>
    <row r="69" customFormat="false" ht="12.8" hidden="false" customHeight="false" outlineLevel="0" collapsed="false">
      <c r="A69" s="18" t="n">
        <v>4</v>
      </c>
      <c r="B69" s="13" t="s">
        <v>76</v>
      </c>
      <c r="C69" s="13" t="n">
        <v>5.26</v>
      </c>
      <c r="D69" s="13" t="n">
        <v>-0.08</v>
      </c>
      <c r="E69" s="13" t="n">
        <v>-0.24</v>
      </c>
      <c r="F69" s="13" t="n">
        <v>4.71</v>
      </c>
      <c r="G69" s="13" t="n">
        <v>0.03</v>
      </c>
      <c r="H69" s="13" t="n">
        <v>-0.011</v>
      </c>
      <c r="I69" s="13" t="n">
        <v>9.67</v>
      </c>
      <c r="J69" s="13" t="n">
        <v>58.8</v>
      </c>
      <c r="K69" s="13" t="n">
        <v>18.7</v>
      </c>
      <c r="L69" s="13" t="n">
        <v>32.3</v>
      </c>
      <c r="M69" s="13" t="n">
        <v>9.9</v>
      </c>
      <c r="N69" s="13" t="n">
        <v>81.2</v>
      </c>
      <c r="O69" s="26" t="n">
        <v>81622</v>
      </c>
      <c r="P69" s="26" t="n">
        <v>1552317</v>
      </c>
    </row>
    <row r="70" customFormat="false" ht="12.8" hidden="false" customHeight="false" outlineLevel="0" collapsed="false">
      <c r="A70" s="12" t="n">
        <v>4</v>
      </c>
      <c r="B70" s="13" t="s">
        <v>78</v>
      </c>
      <c r="C70" s="13" t="n">
        <v>5.21</v>
      </c>
      <c r="D70" s="13" t="n">
        <v>0.01</v>
      </c>
      <c r="E70" s="13" t="n">
        <v>-0.08</v>
      </c>
      <c r="F70" s="13" t="n">
        <v>4.71</v>
      </c>
      <c r="G70" s="13" t="n">
        <v>-0.04</v>
      </c>
      <c r="H70" s="13" t="n">
        <v>-0.003</v>
      </c>
      <c r="I70" s="13" t="n">
        <v>9.82</v>
      </c>
      <c r="J70" s="13" t="n">
        <v>56.6</v>
      </c>
      <c r="K70" s="13" t="n">
        <v>21.8</v>
      </c>
      <c r="L70" s="13" t="n">
        <v>33.2</v>
      </c>
      <c r="M70" s="13" t="n">
        <v>8.9</v>
      </c>
      <c r="N70" s="13" t="n">
        <v>77.9</v>
      </c>
      <c r="O70" s="26" t="n">
        <v>95830</v>
      </c>
      <c r="P70" s="26" t="n">
        <v>1838464</v>
      </c>
    </row>
    <row r="71" customFormat="false" ht="12.8" hidden="false" customHeight="false" outlineLevel="0" collapsed="false">
      <c r="A71" s="18" t="n">
        <v>4</v>
      </c>
      <c r="B71" s="13" t="s">
        <v>80</v>
      </c>
      <c r="C71" s="13" t="n">
        <v>4.96</v>
      </c>
      <c r="D71" s="13" t="n">
        <v>-0.05</v>
      </c>
      <c r="E71" s="13" t="n">
        <v>0.1</v>
      </c>
      <c r="F71" s="13" t="n">
        <v>4.71</v>
      </c>
      <c r="G71" s="13" t="n">
        <v>0.03</v>
      </c>
      <c r="H71" s="13" t="n">
        <v>-0.02</v>
      </c>
      <c r="I71" s="13" t="n">
        <v>9.75</v>
      </c>
      <c r="J71" s="13" t="n">
        <v>54.6</v>
      </c>
      <c r="K71" s="13" t="n">
        <v>15.6</v>
      </c>
      <c r="L71" s="13" t="n">
        <v>33.5</v>
      </c>
      <c r="M71" s="13" t="n">
        <v>10.5</v>
      </c>
      <c r="N71" s="13" t="n">
        <v>80.4</v>
      </c>
      <c r="O71" s="26" t="n">
        <v>128849</v>
      </c>
      <c r="P71" s="26" t="n">
        <v>2595912</v>
      </c>
    </row>
    <row r="72" customFormat="false" ht="12.8" hidden="false" customHeight="false" outlineLevel="0" collapsed="false">
      <c r="A72" s="12" t="n">
        <v>4</v>
      </c>
      <c r="B72" s="13" t="s">
        <v>81</v>
      </c>
      <c r="C72" s="13" t="n">
        <v>4.71</v>
      </c>
      <c r="D72" s="13" t="n">
        <v>0.2</v>
      </c>
      <c r="E72" s="13" t="n">
        <v>0.27</v>
      </c>
      <c r="F72" s="13" t="n">
        <v>4.71</v>
      </c>
      <c r="G72" s="13" t="n">
        <v>0.02</v>
      </c>
      <c r="H72" s="13" t="n">
        <v>0.007</v>
      </c>
      <c r="I72" s="13" t="n">
        <v>9.93</v>
      </c>
      <c r="J72" s="13" t="n">
        <v>49.7</v>
      </c>
      <c r="K72" s="13" t="n">
        <v>11.2</v>
      </c>
      <c r="L72" s="13" t="n">
        <v>31.8</v>
      </c>
      <c r="M72" s="13" t="n">
        <v>9.8</v>
      </c>
      <c r="N72" s="13" t="n">
        <v>78.3</v>
      </c>
      <c r="O72" s="26" t="n">
        <v>307597</v>
      </c>
      <c r="P72" s="26" t="n">
        <v>6524744</v>
      </c>
    </row>
    <row r="73" customFormat="false" ht="12.8" hidden="false" customHeight="false" outlineLevel="0" collapsed="false">
      <c r="A73" s="18" t="n">
        <v>4</v>
      </c>
      <c r="B73" s="13" t="s">
        <v>83</v>
      </c>
      <c r="C73" s="13" t="n">
        <v>5.08</v>
      </c>
      <c r="D73" s="13" t="n">
        <v>0.03</v>
      </c>
      <c r="E73" s="13" t="n">
        <v>0.03</v>
      </c>
      <c r="F73" s="13" t="n">
        <v>4.71</v>
      </c>
      <c r="G73" s="13" t="n">
        <v>0.05</v>
      </c>
      <c r="H73" s="13" t="n">
        <v>0.007</v>
      </c>
      <c r="I73" s="13" t="n">
        <v>9.91</v>
      </c>
      <c r="J73" s="13" t="n">
        <v>57.7</v>
      </c>
      <c r="K73" s="13" t="n">
        <v>14.4</v>
      </c>
      <c r="L73" s="13" t="n">
        <v>32.4</v>
      </c>
      <c r="M73" s="13" t="n">
        <v>9.6</v>
      </c>
      <c r="N73" s="13" t="n">
        <v>78.3</v>
      </c>
      <c r="O73" s="26" t="n">
        <v>64799</v>
      </c>
      <c r="P73" s="26" t="n">
        <v>1276097</v>
      </c>
    </row>
    <row r="74" customFormat="false" ht="12.8" hidden="false" customHeight="false" outlineLevel="0" collapsed="false">
      <c r="A74" s="12" t="n">
        <v>4</v>
      </c>
      <c r="B74" s="13" t="s">
        <v>84</v>
      </c>
      <c r="C74" s="13" t="n">
        <v>5.2</v>
      </c>
      <c r="D74" s="13" t="n">
        <v>0.07</v>
      </c>
      <c r="E74" s="13" t="n">
        <v>-0.15</v>
      </c>
      <c r="F74" s="13" t="n">
        <v>4.71</v>
      </c>
      <c r="G74" s="13" t="n">
        <v>0.02</v>
      </c>
      <c r="H74" s="13" t="n">
        <v>-0.023</v>
      </c>
      <c r="I74" s="13" t="n">
        <v>9.83</v>
      </c>
      <c r="J74" s="13" t="n">
        <v>57</v>
      </c>
      <c r="K74" s="13" t="n">
        <v>19.8</v>
      </c>
      <c r="L74" s="13" t="n">
        <v>33.9</v>
      </c>
      <c r="M74" s="13" t="n">
        <v>10.9</v>
      </c>
      <c r="N74" s="13" t="n">
        <v>80.3</v>
      </c>
      <c r="O74" s="26" t="n">
        <v>44465</v>
      </c>
      <c r="P74" s="26" t="n">
        <v>855658</v>
      </c>
    </row>
    <row r="75" customFormat="false" ht="12.8" hidden="false" customHeight="false" outlineLevel="0" collapsed="false">
      <c r="A75" s="18" t="n">
        <v>4</v>
      </c>
      <c r="B75" s="13" t="s">
        <v>88</v>
      </c>
      <c r="C75" s="13" t="n">
        <v>5.18</v>
      </c>
      <c r="D75" s="13" t="n">
        <v>0.07</v>
      </c>
      <c r="E75" s="13" t="n">
        <v>0.02</v>
      </c>
      <c r="F75" s="13" t="n">
        <v>4.71</v>
      </c>
      <c r="G75" s="13" t="n">
        <v>-0.04</v>
      </c>
      <c r="H75" s="13" t="n">
        <v>0.007</v>
      </c>
      <c r="I75" s="13" t="n">
        <v>9.95</v>
      </c>
      <c r="J75" s="13" t="n">
        <v>55.9</v>
      </c>
      <c r="K75" s="13" t="n">
        <v>11.3</v>
      </c>
      <c r="L75" s="13" t="n">
        <v>33.7</v>
      </c>
      <c r="M75" s="13" t="n">
        <v>8.9</v>
      </c>
      <c r="N75" s="13" t="n">
        <v>76.1</v>
      </c>
      <c r="O75" s="26" t="n">
        <v>113992</v>
      </c>
      <c r="P75" s="26" t="n">
        <v>2202069</v>
      </c>
    </row>
    <row r="76" customFormat="false" ht="12.8" hidden="false" customHeight="false" outlineLevel="0" collapsed="false">
      <c r="A76" s="12" t="n">
        <v>4</v>
      </c>
      <c r="B76" s="13" t="s">
        <v>89</v>
      </c>
      <c r="C76" s="13" t="n">
        <v>5.18</v>
      </c>
      <c r="D76" s="13" t="n">
        <v>0.18</v>
      </c>
      <c r="E76" s="13" t="n">
        <v>0.15</v>
      </c>
      <c r="F76" s="13" t="n">
        <v>4.71</v>
      </c>
      <c r="G76" s="13" t="n">
        <v>-0.01</v>
      </c>
      <c r="H76" s="13" t="n">
        <v>0.007</v>
      </c>
      <c r="I76" s="13" t="n">
        <v>10.22</v>
      </c>
      <c r="J76" s="13" t="n">
        <v>42.8</v>
      </c>
      <c r="K76" s="13" t="n">
        <v>11.7</v>
      </c>
      <c r="L76" s="13" t="n">
        <v>32.9</v>
      </c>
      <c r="M76" s="13" t="n">
        <v>10.2</v>
      </c>
      <c r="N76" s="13" t="n">
        <v>76.4</v>
      </c>
      <c r="O76" s="26" t="n">
        <v>459474</v>
      </c>
      <c r="P76" s="26" t="n">
        <v>8864152</v>
      </c>
    </row>
    <row r="77" customFormat="false" ht="12.8" hidden="false" customHeight="false" outlineLevel="0" collapsed="false">
      <c r="A77" s="18" t="n">
        <v>4</v>
      </c>
      <c r="B77" s="13" t="s">
        <v>90</v>
      </c>
      <c r="C77" s="13" t="n">
        <v>5.4</v>
      </c>
      <c r="D77" s="13" t="n">
        <v>0.03</v>
      </c>
      <c r="E77" s="13" t="n">
        <v>-0.01</v>
      </c>
      <c r="F77" s="13" t="n">
        <v>4.71</v>
      </c>
      <c r="G77" s="13" t="n">
        <v>-0.01</v>
      </c>
      <c r="H77" s="13" t="n">
        <v>0.007</v>
      </c>
      <c r="I77" s="13" t="n">
        <v>10.13</v>
      </c>
      <c r="J77" s="13" t="n">
        <v>49.1</v>
      </c>
      <c r="K77" s="13" t="n">
        <v>11.5</v>
      </c>
      <c r="L77" s="13" t="n">
        <v>32.6</v>
      </c>
      <c r="M77" s="13" t="n">
        <v>10.6</v>
      </c>
      <c r="N77" s="13" t="n">
        <v>78.9</v>
      </c>
      <c r="O77" s="26" t="n">
        <v>201459</v>
      </c>
      <c r="P77" s="26" t="n">
        <v>3728620</v>
      </c>
    </row>
    <row r="78" customFormat="false" ht="12.8" hidden="false" customHeight="false" outlineLevel="0" collapsed="false">
      <c r="A78" s="12" t="n">
        <v>4</v>
      </c>
      <c r="B78" s="13" t="s">
        <v>91</v>
      </c>
      <c r="C78" s="13" t="n">
        <v>5.79</v>
      </c>
      <c r="D78" s="13" t="n">
        <v>-0.02</v>
      </c>
      <c r="E78" s="13" t="n">
        <v>-0.44</v>
      </c>
      <c r="F78" s="13" t="n">
        <v>4.71</v>
      </c>
      <c r="G78" s="13" t="n">
        <v>-0.07</v>
      </c>
      <c r="H78" s="13" t="n">
        <v>-0.012</v>
      </c>
      <c r="I78" s="13" t="n">
        <v>9.96</v>
      </c>
      <c r="J78" s="13" t="n">
        <v>50.1</v>
      </c>
      <c r="K78" s="13" t="n">
        <v>17.8</v>
      </c>
      <c r="L78" s="13" t="n">
        <v>35.1</v>
      </c>
      <c r="M78" s="13" t="n">
        <v>11.2</v>
      </c>
      <c r="N78" s="13" t="n">
        <v>74</v>
      </c>
      <c r="O78" s="26" t="n">
        <v>42630</v>
      </c>
      <c r="P78" s="26" t="n">
        <v>736213</v>
      </c>
    </row>
    <row r="79" customFormat="false" ht="12.8" hidden="false" customHeight="false" outlineLevel="0" collapsed="false">
      <c r="A79" s="18" t="n">
        <v>4</v>
      </c>
      <c r="B79" s="13" t="s">
        <v>92</v>
      </c>
      <c r="C79" s="13" t="n">
        <v>5.96</v>
      </c>
      <c r="D79" s="13" t="n">
        <v>-0.03</v>
      </c>
      <c r="E79" s="13" t="n">
        <v>-0.48</v>
      </c>
      <c r="F79" s="13" t="n">
        <v>4.71</v>
      </c>
      <c r="G79" s="13" t="n">
        <v>0.03</v>
      </c>
      <c r="H79" s="13" t="n">
        <v>0.003</v>
      </c>
      <c r="I79" s="13" t="n">
        <v>10.18</v>
      </c>
      <c r="J79" s="13" t="n">
        <v>49.8</v>
      </c>
      <c r="K79" s="13" t="n">
        <v>13.7</v>
      </c>
      <c r="L79" s="13" t="n">
        <v>34.8</v>
      </c>
      <c r="M79" s="13" t="n">
        <v>11.4</v>
      </c>
      <c r="N79" s="13" t="n">
        <v>74.8</v>
      </c>
      <c r="O79" s="26" t="n">
        <v>39905</v>
      </c>
      <c r="P79" s="26" t="n">
        <v>670049</v>
      </c>
    </row>
    <row r="80" customFormat="false" ht="12.8" hidden="false" customHeight="false" outlineLevel="0" collapsed="false">
      <c r="A80" s="12" t="n">
        <v>4</v>
      </c>
      <c r="B80" s="13" t="s">
        <v>93</v>
      </c>
      <c r="C80" s="13" t="n">
        <v>6.07</v>
      </c>
      <c r="D80" s="13" t="n">
        <v>-0.15</v>
      </c>
      <c r="E80" s="13" t="n">
        <v>-0.67</v>
      </c>
      <c r="F80" s="13" t="n">
        <v>4.71</v>
      </c>
      <c r="G80" s="13" t="n">
        <v>-0.01</v>
      </c>
      <c r="H80" s="13" t="n">
        <v>0.007</v>
      </c>
      <c r="I80" s="13" t="n">
        <v>9.94</v>
      </c>
      <c r="J80" s="13" t="n">
        <v>50</v>
      </c>
      <c r="K80" s="13" t="n">
        <v>15.8</v>
      </c>
      <c r="L80" s="13" t="n">
        <v>32.6</v>
      </c>
      <c r="M80" s="13" t="n">
        <v>9.4</v>
      </c>
      <c r="N80" s="13" t="n">
        <v>81.2</v>
      </c>
      <c r="O80" s="26" t="n">
        <v>27178</v>
      </c>
      <c r="P80" s="26" t="n">
        <v>448052</v>
      </c>
    </row>
    <row r="81" customFormat="false" ht="12.8" hidden="false" customHeight="false" outlineLevel="0" collapsed="false">
      <c r="A81" s="18" t="n">
        <v>4</v>
      </c>
      <c r="B81" s="13" t="s">
        <v>94</v>
      </c>
      <c r="C81" s="13" t="n">
        <v>6.4</v>
      </c>
      <c r="D81" s="13" t="n">
        <v>-0.29</v>
      </c>
      <c r="E81" s="13" t="n">
        <v>-0.55</v>
      </c>
      <c r="F81" s="13" t="n">
        <v>4.71</v>
      </c>
      <c r="G81" s="13" t="n">
        <v>0.1</v>
      </c>
      <c r="H81" s="13" t="n">
        <v>-0.016</v>
      </c>
      <c r="I81" s="13" t="n">
        <v>10.35</v>
      </c>
      <c r="J81" s="13" t="n">
        <v>64.8</v>
      </c>
      <c r="K81" s="13" t="n">
        <v>23.2</v>
      </c>
      <c r="L81" s="13" t="n">
        <v>32.8</v>
      </c>
      <c r="M81" s="13" t="n">
        <v>8.6</v>
      </c>
      <c r="N81" s="13" t="n">
        <v>82.7</v>
      </c>
      <c r="O81" s="26" t="n">
        <v>35183</v>
      </c>
      <c r="P81" s="26" t="n">
        <v>549545</v>
      </c>
    </row>
    <row r="82" customFormat="false" ht="12.8" hidden="false" customHeight="false" outlineLevel="0" collapsed="false">
      <c r="A82" s="12" t="n">
        <v>4</v>
      </c>
      <c r="B82" s="13" t="s">
        <v>95</v>
      </c>
      <c r="C82" s="13" t="n">
        <v>5.61</v>
      </c>
      <c r="D82" s="13" t="n">
        <v>0.07</v>
      </c>
      <c r="E82" s="13" t="n">
        <v>-0.18</v>
      </c>
      <c r="F82" s="13" t="n">
        <v>4.71</v>
      </c>
      <c r="G82" s="13" t="n">
        <v>0.02</v>
      </c>
      <c r="H82" s="13" t="n">
        <v>0.007</v>
      </c>
      <c r="I82" s="13" t="n">
        <v>10.25</v>
      </c>
      <c r="J82" s="13" t="n">
        <v>56</v>
      </c>
      <c r="K82" s="13" t="n">
        <v>28.8</v>
      </c>
      <c r="L82" s="13" t="n">
        <v>31.6</v>
      </c>
      <c r="M82" s="13" t="n">
        <v>8</v>
      </c>
      <c r="N82" s="13" t="n">
        <v>78.2</v>
      </c>
      <c r="O82" s="26" t="n">
        <v>96862</v>
      </c>
      <c r="P82" s="26" t="n">
        <v>1725304</v>
      </c>
    </row>
    <row r="83" customFormat="false" ht="12.8" hidden="false" customHeight="false" outlineLevel="0" collapsed="false">
      <c r="A83" s="18" t="n">
        <v>4</v>
      </c>
      <c r="B83" s="13" t="s">
        <v>97</v>
      </c>
      <c r="C83" s="13" t="n">
        <v>5.41</v>
      </c>
      <c r="D83" s="13" t="n">
        <v>0.05</v>
      </c>
      <c r="E83" s="13" t="n">
        <v>-0.12</v>
      </c>
      <c r="F83" s="13" t="n">
        <v>4.71</v>
      </c>
      <c r="G83" s="13" t="n">
        <v>0.03</v>
      </c>
      <c r="H83" s="13" t="n">
        <v>0.007</v>
      </c>
      <c r="I83" s="13" t="n">
        <v>10.09</v>
      </c>
      <c r="J83" s="13" t="n">
        <v>53.3</v>
      </c>
      <c r="K83" s="13" t="n">
        <v>15.4</v>
      </c>
      <c r="L83" s="13" t="n">
        <v>31.8</v>
      </c>
      <c r="M83" s="13" t="n">
        <v>8.6</v>
      </c>
      <c r="N83" s="13" t="n">
        <v>77.9</v>
      </c>
      <c r="O83" s="26" t="n">
        <v>142884</v>
      </c>
      <c r="P83" s="26" t="n">
        <v>2638793</v>
      </c>
    </row>
    <row r="84" customFormat="false" ht="12.8" hidden="false" customHeight="false" outlineLevel="0" collapsed="false">
      <c r="A84" s="12" t="n">
        <v>4</v>
      </c>
      <c r="B84" s="13" t="s">
        <v>98</v>
      </c>
      <c r="C84" s="13" t="n">
        <v>5.78</v>
      </c>
      <c r="D84" s="13" t="n">
        <v>-0.2</v>
      </c>
      <c r="E84" s="13" t="n">
        <v>-0.1</v>
      </c>
      <c r="F84" s="13" t="n">
        <v>4.71</v>
      </c>
      <c r="G84" s="13" t="n">
        <v>-0.03</v>
      </c>
      <c r="H84" s="13" t="n">
        <v>-0.011</v>
      </c>
      <c r="I84" s="13" t="n">
        <v>10.15</v>
      </c>
      <c r="J84" s="13" t="n">
        <v>53.4</v>
      </c>
      <c r="K84" s="13" t="n">
        <v>17</v>
      </c>
      <c r="L84" s="13" t="n">
        <v>33</v>
      </c>
      <c r="M84" s="13" t="n">
        <v>8.4</v>
      </c>
      <c r="N84" s="13" t="n">
        <v>81</v>
      </c>
      <c r="O84" s="26" t="n">
        <v>59321</v>
      </c>
      <c r="P84" s="26" t="n">
        <v>1026375</v>
      </c>
    </row>
    <row r="85" customFormat="false" ht="12.8" hidden="false" customHeight="false" outlineLevel="0" collapsed="false">
      <c r="A85" s="18" t="n">
        <v>4</v>
      </c>
      <c r="B85" s="13" t="s">
        <v>99</v>
      </c>
      <c r="C85" s="13" t="n">
        <v>6.17</v>
      </c>
      <c r="D85" s="13" t="n">
        <v>-0.11</v>
      </c>
      <c r="E85" s="13" t="n">
        <v>-0.38</v>
      </c>
      <c r="F85" s="13" t="n">
        <v>4.71</v>
      </c>
      <c r="G85" s="13" t="n">
        <v>0.05</v>
      </c>
      <c r="H85" s="13" t="n">
        <v>-0.023</v>
      </c>
      <c r="I85" s="13" t="n">
        <v>10.43</v>
      </c>
      <c r="J85" s="13" t="n">
        <v>55.2</v>
      </c>
      <c r="K85" s="13" t="n">
        <v>20.3</v>
      </c>
      <c r="L85" s="13" t="n">
        <v>34.7</v>
      </c>
      <c r="M85" s="13" t="n">
        <v>10</v>
      </c>
      <c r="N85" s="13" t="n">
        <v>72.1</v>
      </c>
      <c r="O85" s="26" t="n">
        <v>37882</v>
      </c>
      <c r="P85" s="26" t="n">
        <v>613502</v>
      </c>
    </row>
    <row r="86" customFormat="false" ht="12.8" hidden="false" customHeight="false" outlineLevel="0" collapsed="false">
      <c r="A86" s="12" t="n">
        <v>4</v>
      </c>
      <c r="B86" s="13" t="s">
        <v>100</v>
      </c>
      <c r="C86" s="13" t="n">
        <v>6</v>
      </c>
      <c r="D86" s="13" t="n">
        <v>-0.07</v>
      </c>
      <c r="E86" s="13" t="n">
        <v>-0.3</v>
      </c>
      <c r="F86" s="13" t="n">
        <v>4.71</v>
      </c>
      <c r="G86" s="13" t="n">
        <v>-0.02</v>
      </c>
      <c r="H86" s="13" t="n">
        <v>0.007</v>
      </c>
      <c r="I86" s="13" t="n">
        <v>10.34</v>
      </c>
      <c r="J86" s="13" t="n">
        <v>51.3</v>
      </c>
      <c r="K86" s="13" t="n">
        <v>29.1</v>
      </c>
      <c r="L86" s="13" t="n">
        <v>32.5</v>
      </c>
      <c r="M86" s="13" t="n">
        <v>8.8</v>
      </c>
      <c r="N86" s="13" t="n">
        <v>76.5</v>
      </c>
      <c r="O86" s="26" t="n">
        <v>54780</v>
      </c>
      <c r="P86" s="26" t="n">
        <v>912444</v>
      </c>
    </row>
    <row r="87" customFormat="false" ht="12.8" hidden="false" customHeight="false" outlineLevel="0" collapsed="false">
      <c r="A87" s="18" t="n">
        <v>4</v>
      </c>
      <c r="B87" s="13" t="s">
        <v>101</v>
      </c>
      <c r="C87" s="13" t="n">
        <v>5.89</v>
      </c>
      <c r="D87" s="13" t="n">
        <v>0.03</v>
      </c>
      <c r="E87" s="13" t="n">
        <v>-0.46</v>
      </c>
      <c r="F87" s="13" t="n">
        <v>4.71</v>
      </c>
      <c r="G87" s="13" t="n">
        <v>0.07</v>
      </c>
      <c r="H87" s="13" t="n">
        <v>0.007</v>
      </c>
      <c r="I87" s="13" t="n">
        <v>10.26</v>
      </c>
      <c r="J87" s="13" t="n">
        <v>56.7</v>
      </c>
      <c r="K87" s="13" t="n">
        <v>16.1</v>
      </c>
      <c r="L87" s="13" t="n">
        <v>32.2</v>
      </c>
      <c r="M87" s="13" t="n">
        <v>8.2</v>
      </c>
      <c r="N87" s="13" t="n">
        <v>76.4</v>
      </c>
      <c r="O87" s="26" t="n">
        <v>71082</v>
      </c>
      <c r="P87" s="26" t="n">
        <v>1205892</v>
      </c>
    </row>
    <row r="88" customFormat="false" ht="12.8" hidden="false" customHeight="false" outlineLevel="0" collapsed="false">
      <c r="A88" s="12" t="n">
        <v>4</v>
      </c>
      <c r="B88" s="13" t="s">
        <v>102</v>
      </c>
      <c r="C88" s="13" t="n">
        <v>6.11</v>
      </c>
      <c r="D88" s="13" t="n">
        <v>-0.16</v>
      </c>
      <c r="E88" s="13" t="n">
        <v>-0.38</v>
      </c>
      <c r="F88" s="13" t="n">
        <v>4.71</v>
      </c>
      <c r="G88" s="13" t="n">
        <v>0</v>
      </c>
      <c r="H88" s="13" t="n">
        <v>0.007</v>
      </c>
      <c r="I88" s="13" t="n">
        <v>10.3</v>
      </c>
      <c r="J88" s="13" t="n">
        <v>60.8</v>
      </c>
      <c r="K88" s="13" t="n">
        <v>14.2</v>
      </c>
      <c r="L88" s="13" t="n">
        <v>29.3</v>
      </c>
      <c r="M88" s="13" t="n">
        <v>9.2</v>
      </c>
      <c r="N88" s="13" t="n">
        <v>74.9</v>
      </c>
      <c r="O88" s="26" t="n">
        <v>35120</v>
      </c>
      <c r="P88" s="26" t="n">
        <v>575025</v>
      </c>
    </row>
    <row r="89" customFormat="false" ht="12.8" hidden="false" customHeight="false" outlineLevel="0" collapsed="false">
      <c r="A89" s="18" t="n">
        <v>4</v>
      </c>
      <c r="B89" s="13" t="s">
        <v>103</v>
      </c>
      <c r="C89" s="13" t="n">
        <v>5.79</v>
      </c>
      <c r="D89" s="13" t="n">
        <v>0.05</v>
      </c>
      <c r="E89" s="13" t="n">
        <v>-0.28</v>
      </c>
      <c r="F89" s="13" t="n">
        <v>4.71</v>
      </c>
      <c r="G89" s="13" t="n">
        <v>-0.07</v>
      </c>
      <c r="H89" s="13" t="n">
        <v>0.007</v>
      </c>
      <c r="I89" s="13" t="n">
        <v>10.21</v>
      </c>
      <c r="J89" s="13" t="n">
        <v>50.1</v>
      </c>
      <c r="K89" s="13" t="n">
        <v>14.3</v>
      </c>
      <c r="L89" s="13" t="n">
        <v>32.9</v>
      </c>
      <c r="M89" s="13" t="n">
        <v>12</v>
      </c>
      <c r="N89" s="13" t="n">
        <v>80.5</v>
      </c>
      <c r="O89" s="26" t="n">
        <v>258772</v>
      </c>
      <c r="P89" s="26" t="n">
        <v>4466632</v>
      </c>
    </row>
    <row r="90" customFormat="false" ht="12.8" hidden="false" customHeight="false" outlineLevel="0" collapsed="false">
      <c r="A90" s="12" t="n">
        <v>4</v>
      </c>
      <c r="B90" s="13" t="s">
        <v>104</v>
      </c>
      <c r="C90" s="13" t="n">
        <v>7.13</v>
      </c>
      <c r="D90" s="13" t="n">
        <v>-0.19</v>
      </c>
      <c r="E90" s="13" t="n">
        <v>-0.74</v>
      </c>
      <c r="F90" s="13" t="n">
        <v>4.71</v>
      </c>
      <c r="G90" s="13" t="n">
        <v>0.07</v>
      </c>
      <c r="H90" s="13" t="n">
        <v>0.007</v>
      </c>
      <c r="I90" s="13" t="n">
        <v>11</v>
      </c>
      <c r="J90" s="13" t="n">
        <v>49.3</v>
      </c>
      <c r="K90" s="13" t="n">
        <v>17.9</v>
      </c>
      <c r="L90" s="13" t="n">
        <v>33.4</v>
      </c>
      <c r="M90" s="13" t="n">
        <v>9</v>
      </c>
      <c r="N90" s="13" t="n">
        <v>82</v>
      </c>
      <c r="O90" s="26" t="n">
        <v>45366</v>
      </c>
      <c r="P90" s="26" t="n">
        <v>635941</v>
      </c>
    </row>
    <row r="91" customFormat="false" ht="12.8" hidden="false" customHeight="false" outlineLevel="0" collapsed="false">
      <c r="A91" s="18" t="n">
        <v>4</v>
      </c>
      <c r="B91" s="13" t="s">
        <v>105</v>
      </c>
      <c r="C91" s="13" t="n">
        <v>6.62</v>
      </c>
      <c r="D91" s="13" t="n">
        <v>-0.21</v>
      </c>
      <c r="E91" s="13" t="n">
        <v>-0.74</v>
      </c>
      <c r="F91" s="13" t="n">
        <v>4.71</v>
      </c>
      <c r="G91" s="13" t="n">
        <v>0.09</v>
      </c>
      <c r="H91" s="13" t="n">
        <v>-0.002</v>
      </c>
      <c r="I91" s="13" t="n">
        <v>10.47</v>
      </c>
      <c r="J91" s="13" t="n">
        <v>54</v>
      </c>
      <c r="K91" s="13" t="n">
        <v>21</v>
      </c>
      <c r="L91" s="13" t="n">
        <v>33.1</v>
      </c>
      <c r="M91" s="13" t="n">
        <v>9.1</v>
      </c>
      <c r="N91" s="13" t="n">
        <v>81.6</v>
      </c>
      <c r="O91" s="26" t="n">
        <v>65337</v>
      </c>
      <c r="P91" s="26" t="n">
        <v>987688</v>
      </c>
    </row>
    <row r="92" customFormat="false" ht="12.8" hidden="false" customHeight="false" outlineLevel="0" collapsed="false">
      <c r="A92" s="12" t="n">
        <v>4</v>
      </c>
      <c r="B92" s="13" t="s">
        <v>106</v>
      </c>
      <c r="C92" s="13" t="n">
        <v>6.39</v>
      </c>
      <c r="D92" s="13" t="n">
        <v>-0.06</v>
      </c>
      <c r="E92" s="13" t="n">
        <v>-0.63</v>
      </c>
      <c r="F92" s="13" t="n">
        <v>4.71</v>
      </c>
      <c r="G92" s="13" t="n">
        <v>0.08</v>
      </c>
      <c r="H92" s="13" t="n">
        <v>-0.037</v>
      </c>
      <c r="I92" s="13" t="n">
        <v>10.45</v>
      </c>
      <c r="J92" s="13" t="n">
        <v>57.9</v>
      </c>
      <c r="K92" s="13" t="n">
        <v>29.1</v>
      </c>
      <c r="L92" s="13" t="n">
        <v>32.8</v>
      </c>
      <c r="M92" s="13" t="n">
        <v>11.2</v>
      </c>
      <c r="N92" s="13" t="n">
        <v>81.7</v>
      </c>
      <c r="O92" s="26" t="n">
        <v>90224</v>
      </c>
      <c r="P92" s="26" t="n">
        <v>1412939</v>
      </c>
    </row>
    <row r="93" customFormat="false" ht="12.8" hidden="false" customHeight="false" outlineLevel="0" collapsed="false">
      <c r="A93" s="18" t="n">
        <v>4</v>
      </c>
      <c r="B93" s="13" t="s">
        <v>107</v>
      </c>
      <c r="C93" s="13" t="n">
        <v>6.49</v>
      </c>
      <c r="D93" s="13" t="n">
        <v>-0.21</v>
      </c>
      <c r="E93" s="13" t="n">
        <v>-0.6</v>
      </c>
      <c r="F93" s="13" t="n">
        <v>4.71</v>
      </c>
      <c r="G93" s="13" t="n">
        <v>0.13</v>
      </c>
      <c r="H93" s="13" t="n">
        <v>-0.009</v>
      </c>
      <c r="I93" s="13" t="n">
        <v>10.52</v>
      </c>
      <c r="J93" s="13" t="n">
        <v>61</v>
      </c>
      <c r="K93" s="13" t="n">
        <v>24.3</v>
      </c>
      <c r="L93" s="13" t="n">
        <v>33.1</v>
      </c>
      <c r="M93" s="13" t="n">
        <v>8.9</v>
      </c>
      <c r="N93" s="13" t="n">
        <v>79.3</v>
      </c>
      <c r="O93" s="26" t="n">
        <v>59484</v>
      </c>
      <c r="P93" s="26" t="n">
        <v>915953</v>
      </c>
    </row>
    <row r="94" customFormat="false" ht="12.8" hidden="false" customHeight="false" outlineLevel="0" collapsed="false">
      <c r="A94" s="12" t="n">
        <v>4</v>
      </c>
      <c r="B94" s="13" t="s">
        <v>108</v>
      </c>
      <c r="C94" s="13" t="n">
        <v>6.17</v>
      </c>
      <c r="D94" s="13" t="n">
        <v>-0.08</v>
      </c>
      <c r="E94" s="13" t="n">
        <v>-0.76</v>
      </c>
      <c r="F94" s="13" t="n">
        <v>4.71</v>
      </c>
      <c r="G94" s="13" t="n">
        <v>0.1</v>
      </c>
      <c r="H94" s="13" t="n">
        <v>0.002</v>
      </c>
      <c r="I94" s="13" t="n">
        <v>10.14</v>
      </c>
      <c r="J94" s="13" t="n">
        <v>52.2</v>
      </c>
      <c r="K94" s="13" t="n">
        <v>14.6</v>
      </c>
      <c r="L94" s="13" t="n">
        <v>34.3</v>
      </c>
      <c r="M94" s="13" t="n">
        <v>8.9</v>
      </c>
      <c r="N94" s="13" t="n">
        <v>82.3</v>
      </c>
      <c r="O94" s="26" t="n">
        <v>53924</v>
      </c>
      <c r="P94" s="26" t="n">
        <v>874589</v>
      </c>
    </row>
    <row r="95" customFormat="false" ht="12.8" hidden="false" customHeight="false" outlineLevel="0" collapsed="false">
      <c r="A95" s="18" t="n">
        <v>4</v>
      </c>
      <c r="B95" s="13" t="s">
        <v>109</v>
      </c>
      <c r="C95" s="13" t="n">
        <v>6.62</v>
      </c>
      <c r="D95" s="13" t="n">
        <v>-0.03</v>
      </c>
      <c r="E95" s="13" t="n">
        <v>-0.85</v>
      </c>
      <c r="F95" s="13" t="n">
        <v>4.71</v>
      </c>
      <c r="G95" s="13" t="n">
        <v>0.2</v>
      </c>
      <c r="H95" s="13" t="n">
        <v>0.007</v>
      </c>
      <c r="I95" s="13" t="n">
        <v>10.65</v>
      </c>
      <c r="J95" s="13" t="n">
        <v>49.2</v>
      </c>
      <c r="K95" s="13" t="n">
        <v>12.9</v>
      </c>
      <c r="L95" s="13" t="n">
        <v>32.2</v>
      </c>
      <c r="M95" s="13" t="n">
        <v>9.6</v>
      </c>
      <c r="N95" s="13" t="n">
        <v>84.7</v>
      </c>
      <c r="O95" s="26" t="n">
        <v>87017</v>
      </c>
      <c r="P95" s="26" t="n">
        <v>1314369</v>
      </c>
    </row>
    <row r="96" customFormat="false" ht="12.8" hidden="false" customHeight="false" outlineLevel="0" collapsed="false">
      <c r="A96" s="12" t="n">
        <v>4</v>
      </c>
      <c r="B96" s="13" t="s">
        <v>110</v>
      </c>
      <c r="C96" s="13" t="n">
        <v>6.6</v>
      </c>
      <c r="D96" s="13" t="n">
        <v>0.3</v>
      </c>
      <c r="E96" s="13" t="n">
        <v>-1.56</v>
      </c>
      <c r="F96" s="13" t="n">
        <v>4.71</v>
      </c>
      <c r="G96" s="13" t="n">
        <v>0.06</v>
      </c>
      <c r="H96" s="13" t="n">
        <v>-0.021</v>
      </c>
      <c r="I96" s="13" t="n">
        <v>10.09</v>
      </c>
      <c r="J96" s="13" t="n">
        <v>55.8</v>
      </c>
      <c r="K96" s="13" t="n">
        <v>25.9</v>
      </c>
      <c r="L96" s="13" t="n">
        <v>33.1</v>
      </c>
      <c r="M96" s="13" t="n">
        <v>9.6</v>
      </c>
      <c r="N96" s="13" t="n">
        <v>88.6</v>
      </c>
      <c r="O96" s="26" t="n">
        <v>74355</v>
      </c>
      <c r="P96" s="26" t="n">
        <v>1127250</v>
      </c>
    </row>
    <row r="97" customFormat="false" ht="12.8" hidden="false" customHeight="false" outlineLevel="0" collapsed="false">
      <c r="A97" s="12" t="n">
        <v>5</v>
      </c>
      <c r="B97" s="13" t="s">
        <v>42</v>
      </c>
      <c r="C97" s="13" t="n">
        <v>6.28</v>
      </c>
      <c r="D97" s="13" t="n">
        <v>-0.31</v>
      </c>
      <c r="E97" s="13" t="n">
        <v>-0.26</v>
      </c>
      <c r="F97" s="13" t="n">
        <v>4.64</v>
      </c>
      <c r="G97" s="13" t="n">
        <v>-0.07</v>
      </c>
      <c r="H97" s="13" t="n">
        <v>0.01</v>
      </c>
      <c r="I97" s="13" t="n">
        <v>10.29</v>
      </c>
      <c r="J97" s="13" t="n">
        <v>47.3</v>
      </c>
      <c r="K97" s="13" t="n">
        <v>11.6</v>
      </c>
      <c r="L97" s="13" t="n">
        <v>34.5</v>
      </c>
      <c r="M97" s="13" t="n">
        <v>9.7</v>
      </c>
      <c r="N97" s="13" t="n">
        <v>82.3</v>
      </c>
      <c r="O97" s="26" t="n">
        <v>260585</v>
      </c>
      <c r="P97" s="26" t="n">
        <v>4152138</v>
      </c>
    </row>
    <row r="98" customFormat="false" ht="12.8" hidden="false" customHeight="false" outlineLevel="0" collapsed="false">
      <c r="A98" s="12" t="n">
        <v>5</v>
      </c>
      <c r="B98" s="13" t="s">
        <v>45</v>
      </c>
      <c r="C98" s="13" t="n">
        <v>6.33</v>
      </c>
      <c r="D98" s="13" t="n">
        <v>-0.31</v>
      </c>
      <c r="E98" s="13" t="n">
        <v>-0.8</v>
      </c>
      <c r="F98" s="13" t="n">
        <v>4.64</v>
      </c>
      <c r="G98" s="13" t="n">
        <v>-0.07</v>
      </c>
      <c r="H98" s="13" t="n">
        <v>0.01</v>
      </c>
      <c r="I98" s="13" t="n">
        <v>9.79</v>
      </c>
      <c r="J98" s="13" t="n">
        <v>58.1</v>
      </c>
      <c r="K98" s="13" t="n">
        <v>19.2</v>
      </c>
      <c r="L98" s="13" t="n">
        <v>34.3</v>
      </c>
      <c r="M98" s="13" t="n">
        <v>9.3</v>
      </c>
      <c r="N98" s="13" t="n">
        <v>82.5</v>
      </c>
      <c r="O98" s="26" t="n">
        <v>59480</v>
      </c>
      <c r="P98" s="26" t="n">
        <v>940210</v>
      </c>
    </row>
    <row r="99" customFormat="false" ht="12.8" hidden="false" customHeight="false" outlineLevel="0" collapsed="false">
      <c r="A99" s="12" t="n">
        <v>5</v>
      </c>
      <c r="B99" s="13" t="s">
        <v>46</v>
      </c>
      <c r="C99" s="13" t="n">
        <v>6</v>
      </c>
      <c r="D99" s="13" t="n">
        <v>-0.32</v>
      </c>
      <c r="E99" s="13" t="n">
        <v>-0.57</v>
      </c>
      <c r="F99" s="13" t="n">
        <v>4.64</v>
      </c>
      <c r="G99" s="13" t="n">
        <v>0.01</v>
      </c>
      <c r="H99" s="13" t="n">
        <v>0.01</v>
      </c>
      <c r="I99" s="13" t="n">
        <v>9.77</v>
      </c>
      <c r="J99" s="13" t="n">
        <v>61.1</v>
      </c>
      <c r="K99" s="13" t="n">
        <v>17</v>
      </c>
      <c r="L99" s="13" t="n">
        <v>33.3</v>
      </c>
      <c r="M99" s="13" t="n">
        <v>10.6</v>
      </c>
      <c r="N99" s="13" t="n">
        <v>85.3</v>
      </c>
      <c r="O99" s="26" t="n">
        <v>53818</v>
      </c>
      <c r="P99" s="26" t="n">
        <v>897564</v>
      </c>
    </row>
    <row r="100" customFormat="false" ht="12.8" hidden="false" customHeight="false" outlineLevel="0" collapsed="false">
      <c r="A100" s="12" t="n">
        <v>5</v>
      </c>
      <c r="B100" s="13" t="s">
        <v>48</v>
      </c>
      <c r="C100" s="13" t="n">
        <v>5.91</v>
      </c>
      <c r="D100" s="13" t="n">
        <v>-0.17</v>
      </c>
      <c r="E100" s="13" t="n">
        <v>-0.32</v>
      </c>
      <c r="F100" s="13" t="n">
        <v>4.64</v>
      </c>
      <c r="G100" s="13" t="n">
        <v>0.01</v>
      </c>
      <c r="H100" s="13" t="n">
        <v>-0.012</v>
      </c>
      <c r="I100" s="13" t="n">
        <v>10.05</v>
      </c>
      <c r="J100" s="13" t="n">
        <v>60.6</v>
      </c>
      <c r="K100" s="13" t="n">
        <v>24.3</v>
      </c>
      <c r="L100" s="13" t="n">
        <v>35</v>
      </c>
      <c r="M100" s="13" t="n">
        <v>11.9</v>
      </c>
      <c r="N100" s="13" t="n">
        <v>83.6</v>
      </c>
      <c r="O100" s="26" t="n">
        <v>102022</v>
      </c>
      <c r="P100" s="26" t="n">
        <v>1727024</v>
      </c>
    </row>
    <row r="101" customFormat="false" ht="12.8" hidden="false" customHeight="false" outlineLevel="0" collapsed="false">
      <c r="A101" s="12" t="n">
        <v>5</v>
      </c>
      <c r="B101" s="13" t="s">
        <v>49</v>
      </c>
      <c r="C101" s="13" t="n">
        <v>6.8</v>
      </c>
      <c r="D101" s="13" t="n">
        <v>-0.64</v>
      </c>
      <c r="E101" s="13" t="n">
        <v>-0.76</v>
      </c>
      <c r="F101" s="13" t="n">
        <v>4.64</v>
      </c>
      <c r="G101" s="13" t="n">
        <v>-0.14</v>
      </c>
      <c r="H101" s="13" t="n">
        <v>-0.038</v>
      </c>
      <c r="I101" s="13" t="n">
        <v>9.86</v>
      </c>
      <c r="J101" s="13" t="n">
        <v>59.2</v>
      </c>
      <c r="K101" s="13" t="n">
        <v>36.2</v>
      </c>
      <c r="L101" s="13" t="n">
        <v>34.5</v>
      </c>
      <c r="M101" s="13" t="n">
        <v>9</v>
      </c>
      <c r="N101" s="13" t="n">
        <v>82.5</v>
      </c>
      <c r="O101" s="26" t="n">
        <v>46633</v>
      </c>
      <c r="P101" s="26" t="n">
        <v>686202</v>
      </c>
    </row>
    <row r="102" customFormat="false" ht="12.8" hidden="false" customHeight="false" outlineLevel="0" collapsed="false">
      <c r="A102" s="12" t="n">
        <v>5</v>
      </c>
      <c r="B102" s="13" t="s">
        <v>50</v>
      </c>
      <c r="C102" s="13" t="n">
        <v>6.15</v>
      </c>
      <c r="D102" s="13" t="n">
        <v>-0.28</v>
      </c>
      <c r="E102" s="13" t="n">
        <v>-0.48</v>
      </c>
      <c r="F102" s="13" t="n">
        <v>4.64</v>
      </c>
      <c r="G102" s="13" t="n">
        <v>-0.01</v>
      </c>
      <c r="H102" s="13" t="n">
        <v>-0.043</v>
      </c>
      <c r="I102" s="13" t="n">
        <v>9.98</v>
      </c>
      <c r="J102" s="13" t="n">
        <v>75.1</v>
      </c>
      <c r="K102" s="13" t="n">
        <v>27.3</v>
      </c>
      <c r="L102" s="13" t="n">
        <v>34.7</v>
      </c>
      <c r="M102" s="13" t="n">
        <v>10.5</v>
      </c>
      <c r="N102" s="13" t="n">
        <v>84</v>
      </c>
      <c r="O102" s="26" t="n">
        <v>54051</v>
      </c>
      <c r="P102" s="26" t="n">
        <v>878893</v>
      </c>
    </row>
    <row r="103" customFormat="false" ht="12.8" hidden="false" customHeight="false" outlineLevel="0" collapsed="false">
      <c r="A103" s="12" t="n">
        <v>5</v>
      </c>
      <c r="B103" s="13" t="s">
        <v>51</v>
      </c>
      <c r="C103" s="13" t="n">
        <v>5.42</v>
      </c>
      <c r="D103" s="13" t="n">
        <v>-0.18</v>
      </c>
      <c r="E103" s="13" t="n">
        <v>-0.27</v>
      </c>
      <c r="F103" s="13" t="n">
        <v>4.64</v>
      </c>
      <c r="G103" s="13" t="n">
        <v>-0.06</v>
      </c>
      <c r="H103" s="13" t="n">
        <v>-0.019</v>
      </c>
      <c r="I103" s="13" t="n">
        <v>9.53</v>
      </c>
      <c r="J103" s="13" t="n">
        <v>57.4</v>
      </c>
      <c r="K103" s="13" t="n">
        <v>26.4</v>
      </c>
      <c r="L103" s="13" t="n">
        <v>35.1</v>
      </c>
      <c r="M103" s="14" t="n">
        <v>48</v>
      </c>
      <c r="N103" s="14" t="n">
        <v>9.9</v>
      </c>
      <c r="O103" s="26" t="n">
        <v>83900</v>
      </c>
      <c r="P103" s="26" t="n">
        <v>1547458</v>
      </c>
      <c r="Q103" s="15"/>
    </row>
    <row r="104" customFormat="false" ht="12.8" hidden="false" customHeight="false" outlineLevel="0" collapsed="false">
      <c r="A104" s="12" t="n">
        <v>5</v>
      </c>
      <c r="B104" s="13" t="s">
        <v>52</v>
      </c>
      <c r="C104" s="13" t="n">
        <v>5.12</v>
      </c>
      <c r="D104" s="13" t="n">
        <v>-0.04</v>
      </c>
      <c r="E104" s="13" t="n">
        <v>0.03</v>
      </c>
      <c r="F104" s="13" t="n">
        <v>4.64</v>
      </c>
      <c r="G104" s="13" t="n">
        <v>-0.03</v>
      </c>
      <c r="H104" s="13" t="n">
        <v>0.01</v>
      </c>
      <c r="I104" s="13" t="n">
        <v>9.73</v>
      </c>
      <c r="J104" s="13" t="n">
        <v>55.9</v>
      </c>
      <c r="K104" s="13" t="n">
        <v>14.9</v>
      </c>
      <c r="L104" s="13" t="n">
        <v>33</v>
      </c>
      <c r="M104" s="14" t="n">
        <v>55.1</v>
      </c>
      <c r="N104" s="14" t="n">
        <v>17.8</v>
      </c>
      <c r="O104" s="26" t="n">
        <v>92100</v>
      </c>
      <c r="P104" s="26" t="n">
        <v>1798882</v>
      </c>
      <c r="Q104" s="15"/>
    </row>
    <row r="105" customFormat="false" ht="12.8" hidden="false" customHeight="false" outlineLevel="0" collapsed="false">
      <c r="A105" s="12" t="n">
        <v>5</v>
      </c>
      <c r="B105" s="13" t="s">
        <v>53</v>
      </c>
      <c r="C105" s="13" t="n">
        <v>5.4</v>
      </c>
      <c r="D105" s="13" t="n">
        <v>-0.06</v>
      </c>
      <c r="E105" s="13" t="n">
        <v>-0.05</v>
      </c>
      <c r="F105" s="13" t="n">
        <v>4.64</v>
      </c>
      <c r="G105" s="13" t="n">
        <v>0.04</v>
      </c>
      <c r="H105" s="13" t="n">
        <v>-0.012</v>
      </c>
      <c r="I105" s="13" t="n">
        <v>9.96</v>
      </c>
      <c r="J105" s="13" t="n">
        <v>58.3</v>
      </c>
      <c r="K105" s="13" t="n">
        <v>23.9</v>
      </c>
      <c r="L105" s="13" t="n">
        <v>34.9</v>
      </c>
      <c r="M105" s="14" t="n">
        <v>57.9</v>
      </c>
      <c r="N105" s="14" t="n">
        <v>14.6</v>
      </c>
      <c r="O105" s="26" t="n">
        <v>71292</v>
      </c>
      <c r="P105" s="26" t="n">
        <v>1321217</v>
      </c>
      <c r="Q105" s="15"/>
    </row>
    <row r="106" customFormat="false" ht="12.8" hidden="false" customHeight="false" outlineLevel="0" collapsed="false">
      <c r="A106" s="12" t="n">
        <v>5</v>
      </c>
      <c r="B106" s="13" t="s">
        <v>54</v>
      </c>
      <c r="C106" s="13" t="n">
        <v>5.21</v>
      </c>
      <c r="D106" s="13" t="n">
        <v>-0.02</v>
      </c>
      <c r="E106" s="13" t="n">
        <v>-0.08</v>
      </c>
      <c r="F106" s="13" t="n">
        <v>4.64</v>
      </c>
      <c r="G106" s="13" t="n">
        <v>0</v>
      </c>
      <c r="H106" s="13" t="n">
        <v>0.01</v>
      </c>
      <c r="I106" s="13" t="n">
        <v>9.76</v>
      </c>
      <c r="J106" s="13" t="n">
        <v>54.2</v>
      </c>
      <c r="K106" s="13" t="n">
        <v>12.4</v>
      </c>
      <c r="L106" s="13" t="n">
        <v>33.6</v>
      </c>
      <c r="M106" s="14" t="n">
        <v>60</v>
      </c>
      <c r="N106" s="14" t="n">
        <v>27.4</v>
      </c>
      <c r="O106" s="26" t="n">
        <v>80070</v>
      </c>
      <c r="P106" s="26" t="n">
        <v>1536144</v>
      </c>
      <c r="Q106" s="15"/>
    </row>
    <row r="107" customFormat="false" ht="12.8" hidden="false" customHeight="false" outlineLevel="0" collapsed="false">
      <c r="A107" s="12" t="n">
        <v>5</v>
      </c>
      <c r="B107" s="13" t="s">
        <v>56</v>
      </c>
      <c r="C107" s="13" t="n">
        <v>5.03</v>
      </c>
      <c r="D107" s="13" t="n">
        <v>-0.01</v>
      </c>
      <c r="E107" s="13" t="n">
        <v>0.14</v>
      </c>
      <c r="F107" s="13" t="n">
        <v>4.64</v>
      </c>
      <c r="G107" s="13" t="n">
        <v>0.01</v>
      </c>
      <c r="H107" s="13" t="n">
        <v>0.01</v>
      </c>
      <c r="I107" s="13" t="n">
        <v>9.82</v>
      </c>
      <c r="J107" s="13" t="n">
        <v>48</v>
      </c>
      <c r="K107" s="13" t="n">
        <v>9.4</v>
      </c>
      <c r="L107" s="13" t="n">
        <v>34.4</v>
      </c>
      <c r="M107" s="14" t="n">
        <v>53.8</v>
      </c>
      <c r="N107" s="14" t="n">
        <v>28.7</v>
      </c>
      <c r="O107" s="26" t="n">
        <v>182653</v>
      </c>
      <c r="P107" s="26" t="n">
        <v>3631268</v>
      </c>
      <c r="Q107" s="15"/>
    </row>
    <row r="108" customFormat="false" ht="12.8" hidden="false" customHeight="false" outlineLevel="0" collapsed="false">
      <c r="A108" s="12" t="n">
        <v>5</v>
      </c>
      <c r="B108" s="13" t="s">
        <v>58</v>
      </c>
      <c r="C108" s="13" t="n">
        <v>5.16</v>
      </c>
      <c r="D108" s="13" t="n">
        <v>-0.1</v>
      </c>
      <c r="E108" s="13" t="n">
        <v>0.13</v>
      </c>
      <c r="F108" s="13" t="n">
        <v>4.64</v>
      </c>
      <c r="G108" s="13" t="n">
        <v>0.03</v>
      </c>
      <c r="H108" s="13" t="n">
        <v>0.01</v>
      </c>
      <c r="I108" s="13" t="n">
        <v>9.87</v>
      </c>
      <c r="J108" s="13" t="n">
        <v>44.8</v>
      </c>
      <c r="K108" s="13" t="n">
        <v>14.5</v>
      </c>
      <c r="L108" s="13" t="n">
        <v>34.8</v>
      </c>
      <c r="M108" s="14" t="n">
        <v>73.8</v>
      </c>
      <c r="N108" s="14" t="n">
        <v>24</v>
      </c>
      <c r="O108" s="26" t="n">
        <v>132621</v>
      </c>
      <c r="P108" s="26" t="n">
        <v>2570580</v>
      </c>
      <c r="Q108" s="15"/>
    </row>
    <row r="109" customFormat="false" ht="12.8" hidden="false" customHeight="false" outlineLevel="0" collapsed="false">
      <c r="A109" s="12" t="n">
        <v>5</v>
      </c>
      <c r="B109" s="13" t="s">
        <v>60</v>
      </c>
      <c r="C109" s="13" t="n">
        <v>4.47</v>
      </c>
      <c r="D109" s="13" t="n">
        <v>0.14</v>
      </c>
      <c r="E109" s="13" t="n">
        <v>0.67</v>
      </c>
      <c r="F109" s="13" t="n">
        <v>4.64</v>
      </c>
      <c r="G109" s="13" t="n">
        <v>0.07</v>
      </c>
      <c r="H109" s="13" t="n">
        <v>0.01</v>
      </c>
      <c r="I109" s="13" t="n">
        <v>10</v>
      </c>
      <c r="J109" s="13" t="n">
        <v>51.5</v>
      </c>
      <c r="K109" s="13" t="n">
        <v>8.9</v>
      </c>
      <c r="L109" s="13" t="n">
        <v>35.5</v>
      </c>
      <c r="M109" s="14" t="n">
        <v>55</v>
      </c>
      <c r="N109" s="14" t="n">
        <v>23.9</v>
      </c>
      <c r="O109" s="26" t="n">
        <v>712807</v>
      </c>
      <c r="P109" s="26" t="n">
        <v>15949086</v>
      </c>
      <c r="Q109" s="15"/>
    </row>
    <row r="110" customFormat="false" ht="12.8" hidden="false" customHeight="false" outlineLevel="0" collapsed="false">
      <c r="A110" s="12" t="n">
        <v>5</v>
      </c>
      <c r="B110" s="13" t="s">
        <v>62</v>
      </c>
      <c r="C110" s="13" t="n">
        <v>5</v>
      </c>
      <c r="D110" s="13" t="n">
        <v>-0.06</v>
      </c>
      <c r="E110" s="13" t="n">
        <v>0.39</v>
      </c>
      <c r="F110" s="13" t="n">
        <v>4.64</v>
      </c>
      <c r="G110" s="13" t="n">
        <v>0.03</v>
      </c>
      <c r="H110" s="13" t="n">
        <v>0.01</v>
      </c>
      <c r="I110" s="13" t="n">
        <v>10.02</v>
      </c>
      <c r="J110" s="13" t="n">
        <v>46.5</v>
      </c>
      <c r="K110" s="13" t="n">
        <v>10.5</v>
      </c>
      <c r="L110" s="13" t="n">
        <v>35.1</v>
      </c>
      <c r="M110" s="14" t="n">
        <v>52.8</v>
      </c>
      <c r="N110" s="14" t="n">
        <v>20.2</v>
      </c>
      <c r="O110" s="26" t="n">
        <v>222884</v>
      </c>
      <c r="P110" s="26" t="n">
        <v>4453937</v>
      </c>
      <c r="Q110" s="15"/>
    </row>
    <row r="111" customFormat="false" ht="12.8" hidden="false" customHeight="false" outlineLevel="0" collapsed="false">
      <c r="A111" s="12" t="n">
        <v>5</v>
      </c>
      <c r="B111" s="13" t="s">
        <v>64</v>
      </c>
      <c r="C111" s="13" t="n">
        <v>5.24</v>
      </c>
      <c r="D111" s="13" t="n">
        <v>-0.14</v>
      </c>
      <c r="E111" s="13" t="n">
        <v>-0.3</v>
      </c>
      <c r="F111" s="13" t="n">
        <v>4.64</v>
      </c>
      <c r="G111" s="13" t="n">
        <v>-0.1</v>
      </c>
      <c r="H111" s="13" t="n">
        <v>-0.009</v>
      </c>
      <c r="I111" s="13" t="n">
        <v>9.33</v>
      </c>
      <c r="J111" s="13" t="n">
        <v>67.5</v>
      </c>
      <c r="K111" s="13" t="n">
        <v>21.9</v>
      </c>
      <c r="L111" s="13" t="n">
        <v>34.9</v>
      </c>
      <c r="M111" s="14" t="n">
        <v>53.3</v>
      </c>
      <c r="N111" s="14" t="n">
        <v>22.7</v>
      </c>
      <c r="O111" s="26" t="n">
        <v>98369</v>
      </c>
      <c r="P111" s="26" t="n">
        <v>1876984</v>
      </c>
      <c r="Q111" s="15"/>
    </row>
    <row r="112" customFormat="false" ht="12.8" hidden="false" customHeight="false" outlineLevel="0" collapsed="false">
      <c r="A112" s="12" t="n">
        <v>5</v>
      </c>
      <c r="B112" s="13" t="s">
        <v>66</v>
      </c>
      <c r="C112" s="13" t="n">
        <v>4.94</v>
      </c>
      <c r="D112" s="13" t="n">
        <v>-0.09</v>
      </c>
      <c r="E112" s="13" t="n">
        <v>0.11</v>
      </c>
      <c r="F112" s="13" t="n">
        <v>4.64</v>
      </c>
      <c r="G112" s="13" t="n">
        <v>-0.05</v>
      </c>
      <c r="H112" s="13" t="n">
        <v>0.01</v>
      </c>
      <c r="I112" s="13" t="n">
        <v>9.57</v>
      </c>
      <c r="J112" s="13" t="n">
        <v>69.1</v>
      </c>
      <c r="K112" s="13" t="n">
        <v>33.1</v>
      </c>
      <c r="L112" s="13" t="n">
        <v>33.7</v>
      </c>
      <c r="M112" s="14" t="n">
        <v>51.2</v>
      </c>
      <c r="N112" s="14" t="n">
        <v>13.5</v>
      </c>
      <c r="O112" s="26" t="n">
        <v>50531</v>
      </c>
      <c r="P112" s="26" t="n">
        <v>1021990</v>
      </c>
      <c r="Q112" s="15"/>
    </row>
    <row r="113" customFormat="false" ht="12.8" hidden="false" customHeight="false" outlineLevel="0" collapsed="false">
      <c r="A113" s="12" t="n">
        <v>5</v>
      </c>
      <c r="B113" s="13" t="s">
        <v>67</v>
      </c>
      <c r="C113" s="13" t="n">
        <v>5.26</v>
      </c>
      <c r="D113" s="13" t="n">
        <v>-0.03</v>
      </c>
      <c r="E113" s="13" t="n">
        <v>0</v>
      </c>
      <c r="F113" s="13" t="n">
        <v>4.64</v>
      </c>
      <c r="G113" s="13" t="n">
        <v>-0.19</v>
      </c>
      <c r="H113" s="13" t="n">
        <v>-0.022</v>
      </c>
      <c r="I113" s="13" t="n">
        <v>9.66</v>
      </c>
      <c r="J113" s="13" t="n">
        <v>65.4</v>
      </c>
      <c r="K113" s="13" t="n">
        <v>22.5</v>
      </c>
      <c r="L113" s="13" t="n">
        <v>35.1</v>
      </c>
      <c r="M113" s="14" t="n">
        <v>47</v>
      </c>
      <c r="N113" s="14" t="n">
        <v>8.4</v>
      </c>
      <c r="O113" s="26" t="n">
        <v>57253</v>
      </c>
      <c r="P113" s="26" t="n">
        <v>1087908</v>
      </c>
      <c r="Q113" s="15"/>
    </row>
    <row r="114" customFormat="false" ht="12.8" hidden="false" customHeight="false" outlineLevel="0" collapsed="false">
      <c r="A114" s="12" t="n">
        <v>5</v>
      </c>
      <c r="B114" s="13" t="s">
        <v>69</v>
      </c>
      <c r="C114" s="13" t="n">
        <v>5.47</v>
      </c>
      <c r="D114" s="13" t="n">
        <v>-0.13</v>
      </c>
      <c r="E114" s="13" t="n">
        <v>-0.03</v>
      </c>
      <c r="F114" s="13" t="n">
        <v>4.64</v>
      </c>
      <c r="G114" s="13" t="n">
        <v>-0.03</v>
      </c>
      <c r="H114" s="13" t="n">
        <v>-0.015</v>
      </c>
      <c r="I114" s="13" t="n">
        <v>9.91</v>
      </c>
      <c r="J114" s="13" t="n">
        <v>64.2</v>
      </c>
      <c r="K114" s="13" t="n">
        <v>20.8</v>
      </c>
      <c r="L114" s="13" t="n">
        <v>35.2</v>
      </c>
      <c r="M114" s="14" t="n">
        <v>43.8</v>
      </c>
      <c r="N114" s="14" t="n">
        <v>12.9</v>
      </c>
      <c r="O114" s="26" t="n">
        <v>39053</v>
      </c>
      <c r="P114" s="26" t="n">
        <v>714549</v>
      </c>
      <c r="Q114" s="15"/>
    </row>
    <row r="115" customFormat="false" ht="12.8" hidden="false" customHeight="false" outlineLevel="0" collapsed="false">
      <c r="A115" s="12" t="n">
        <v>5</v>
      </c>
      <c r="B115" s="13" t="s">
        <v>75</v>
      </c>
      <c r="C115" s="13" t="n">
        <v>5.43</v>
      </c>
      <c r="D115" s="13" t="n">
        <v>-0.15</v>
      </c>
      <c r="E115" s="13" t="n">
        <v>-0.16</v>
      </c>
      <c r="F115" s="13" t="n">
        <v>4.64</v>
      </c>
      <c r="G115" s="13" t="n">
        <v>-0.1</v>
      </c>
      <c r="H115" s="13" t="n">
        <v>0.01</v>
      </c>
      <c r="I115" s="13" t="n">
        <v>9.67</v>
      </c>
      <c r="J115" s="13" t="n">
        <v>64.5</v>
      </c>
      <c r="K115" s="13" t="n">
        <v>21</v>
      </c>
      <c r="L115" s="13" t="n">
        <v>33.4</v>
      </c>
      <c r="M115" s="14" t="n">
        <v>50.5</v>
      </c>
      <c r="N115" s="14" t="n">
        <v>7.5</v>
      </c>
      <c r="O115" s="26" t="n">
        <v>32852</v>
      </c>
      <c r="P115" s="26" t="n">
        <v>604696</v>
      </c>
      <c r="Q115" s="15"/>
    </row>
    <row r="116" customFormat="false" ht="12.8" hidden="false" customHeight="false" outlineLevel="0" collapsed="false">
      <c r="A116" s="12" t="n">
        <v>5</v>
      </c>
      <c r="B116" s="13" t="s">
        <v>76</v>
      </c>
      <c r="C116" s="13" t="n">
        <v>5.24</v>
      </c>
      <c r="D116" s="13" t="n">
        <v>-0.08</v>
      </c>
      <c r="E116" s="13" t="n">
        <v>-0.2</v>
      </c>
      <c r="F116" s="13" t="n">
        <v>4.64</v>
      </c>
      <c r="G116" s="13" t="n">
        <v>-0.07</v>
      </c>
      <c r="H116" s="13" t="n">
        <v>-0.037</v>
      </c>
      <c r="I116" s="13" t="n">
        <v>9.49</v>
      </c>
      <c r="J116" s="13" t="n">
        <v>61.4</v>
      </c>
      <c r="K116" s="13" t="n">
        <v>29.8</v>
      </c>
      <c r="L116" s="13" t="n">
        <v>35.2</v>
      </c>
      <c r="M116" s="14" t="n">
        <v>46.1</v>
      </c>
      <c r="N116" s="14" t="n">
        <v>8.9</v>
      </c>
      <c r="O116" s="26" t="n">
        <v>81616</v>
      </c>
      <c r="P116" s="26" t="n">
        <v>1557894</v>
      </c>
      <c r="Q116" s="15"/>
    </row>
    <row r="117" customFormat="false" ht="12.8" hidden="false" customHeight="false" outlineLevel="0" collapsed="false">
      <c r="A117" s="12" t="n">
        <v>5</v>
      </c>
      <c r="B117" s="13" t="s">
        <v>78</v>
      </c>
      <c r="C117" s="13" t="n">
        <v>5.31</v>
      </c>
      <c r="D117" s="13" t="n">
        <v>0.01</v>
      </c>
      <c r="E117" s="13" t="n">
        <v>-0.09</v>
      </c>
      <c r="F117" s="13" t="n">
        <v>4.64</v>
      </c>
      <c r="G117" s="13" t="n">
        <v>0.02</v>
      </c>
      <c r="H117" s="13" t="n">
        <v>-0.084</v>
      </c>
      <c r="I117" s="13" t="n">
        <v>9.8</v>
      </c>
      <c r="J117" s="13" t="n">
        <v>63.4</v>
      </c>
      <c r="K117" s="13" t="n">
        <v>26</v>
      </c>
      <c r="L117" s="13" t="n">
        <v>36.1</v>
      </c>
      <c r="M117" s="14" t="n">
        <v>66.4</v>
      </c>
      <c r="N117" s="14" t="n">
        <v>17.7</v>
      </c>
      <c r="O117" s="26" t="n">
        <v>97411</v>
      </c>
      <c r="P117" s="26" t="n">
        <v>1834181</v>
      </c>
      <c r="Q117" s="15"/>
    </row>
    <row r="118" customFormat="false" ht="12.8" hidden="false" customHeight="false" outlineLevel="0" collapsed="false">
      <c r="A118" s="12" t="n">
        <v>5</v>
      </c>
      <c r="B118" s="13" t="s">
        <v>80</v>
      </c>
      <c r="C118" s="13" t="n">
        <v>5.03</v>
      </c>
      <c r="D118" s="13" t="n">
        <v>-0.04</v>
      </c>
      <c r="E118" s="13" t="n">
        <v>0.11</v>
      </c>
      <c r="F118" s="13" t="n">
        <v>4.64</v>
      </c>
      <c r="G118" s="13" t="n">
        <v>0.03</v>
      </c>
      <c r="H118" s="13" t="n">
        <v>-0.013</v>
      </c>
      <c r="I118" s="13" t="n">
        <v>9.75</v>
      </c>
      <c r="J118" s="13" t="n">
        <v>56.5</v>
      </c>
      <c r="K118" s="13" t="n">
        <v>16.7</v>
      </c>
      <c r="L118" s="13" t="n">
        <v>35.5</v>
      </c>
      <c r="M118" s="14" t="n">
        <v>66.3</v>
      </c>
      <c r="N118" s="14" t="n">
        <v>29.3</v>
      </c>
      <c r="O118" s="26" t="n">
        <v>130669</v>
      </c>
      <c r="P118" s="26" t="n">
        <v>2597581</v>
      </c>
      <c r="Q118" s="15"/>
    </row>
    <row r="119" customFormat="false" ht="12.8" hidden="false" customHeight="false" outlineLevel="0" collapsed="false">
      <c r="A119" s="12" t="n">
        <v>5</v>
      </c>
      <c r="B119" s="13" t="s">
        <v>81</v>
      </c>
      <c r="C119" s="13" t="n">
        <v>4.84</v>
      </c>
      <c r="D119" s="13" t="n">
        <v>0.2</v>
      </c>
      <c r="E119" s="13" t="n">
        <v>0.27</v>
      </c>
      <c r="F119" s="13" t="n">
        <v>4.64</v>
      </c>
      <c r="G119" s="13" t="n">
        <v>0.05</v>
      </c>
      <c r="H119" s="13" t="n">
        <v>0.01</v>
      </c>
      <c r="I119" s="13" t="n">
        <v>10.01</v>
      </c>
      <c r="J119" s="13" t="n">
        <v>53.1</v>
      </c>
      <c r="K119" s="13" t="n">
        <v>13.6</v>
      </c>
      <c r="L119" s="13" t="n">
        <v>34.7</v>
      </c>
      <c r="M119" s="14" t="n">
        <v>63.7</v>
      </c>
      <c r="N119" s="14" t="n">
        <v>21.1</v>
      </c>
      <c r="O119" s="26" t="n">
        <v>315544</v>
      </c>
      <c r="P119" s="26" t="n">
        <v>6515840</v>
      </c>
      <c r="Q119" s="15"/>
    </row>
    <row r="120" customFormat="false" ht="12.8" hidden="false" customHeight="false" outlineLevel="0" collapsed="false">
      <c r="A120" s="12" t="n">
        <v>5</v>
      </c>
      <c r="B120" s="13" t="s">
        <v>83</v>
      </c>
      <c r="C120" s="13" t="n">
        <v>5.15</v>
      </c>
      <c r="D120" s="13" t="n">
        <v>0.01</v>
      </c>
      <c r="E120" s="13" t="n">
        <v>0.01</v>
      </c>
      <c r="F120" s="13" t="n">
        <v>4.64</v>
      </c>
      <c r="G120" s="13" t="n">
        <v>-0.02</v>
      </c>
      <c r="H120" s="13" t="n">
        <v>0.01</v>
      </c>
      <c r="I120" s="13" t="n">
        <v>9.81</v>
      </c>
      <c r="J120" s="13" t="n">
        <v>60.4</v>
      </c>
      <c r="K120" s="13" t="n">
        <v>18.4</v>
      </c>
      <c r="L120" s="13" t="n">
        <v>33.8</v>
      </c>
      <c r="M120" s="14" t="n">
        <v>61.2</v>
      </c>
      <c r="N120" s="14" t="n">
        <v>19.6</v>
      </c>
      <c r="O120" s="26" t="n">
        <v>65231</v>
      </c>
      <c r="P120" s="26" t="n">
        <v>1266416</v>
      </c>
      <c r="Q120" s="15"/>
    </row>
    <row r="121" customFormat="false" ht="12.8" hidden="false" customHeight="false" outlineLevel="0" collapsed="false">
      <c r="A121" s="12" t="n">
        <v>5</v>
      </c>
      <c r="B121" s="13" t="s">
        <v>84</v>
      </c>
      <c r="C121" s="13" t="n">
        <v>5.22</v>
      </c>
      <c r="D121" s="13" t="n">
        <v>0.07</v>
      </c>
      <c r="E121" s="13" t="n">
        <v>-0.15</v>
      </c>
      <c r="F121" s="13" t="n">
        <v>4.64</v>
      </c>
      <c r="G121" s="13" t="n">
        <v>-0.06</v>
      </c>
      <c r="H121" s="13" t="n">
        <v>0.01</v>
      </c>
      <c r="I121" s="13" t="n">
        <v>9.73</v>
      </c>
      <c r="J121" s="13" t="n">
        <v>62.2</v>
      </c>
      <c r="K121" s="13" t="n">
        <v>20.1</v>
      </c>
      <c r="L121" s="13" t="n">
        <v>34.9</v>
      </c>
      <c r="M121" s="14" t="n">
        <v>65.1</v>
      </c>
      <c r="N121" s="14" t="n">
        <v>18.9</v>
      </c>
      <c r="O121" s="26" t="n">
        <v>44716</v>
      </c>
      <c r="P121" s="26" t="n">
        <v>856501</v>
      </c>
      <c r="Q121" s="15"/>
    </row>
    <row r="122" customFormat="false" ht="12.8" hidden="false" customHeight="false" outlineLevel="0" collapsed="false">
      <c r="A122" s="12" t="n">
        <v>5</v>
      </c>
      <c r="B122" s="13" t="s">
        <v>88</v>
      </c>
      <c r="C122" s="13" t="n">
        <v>5.36</v>
      </c>
      <c r="D122" s="13" t="n">
        <v>0.06</v>
      </c>
      <c r="E122" s="13" t="n">
        <v>0.01</v>
      </c>
      <c r="F122" s="13" t="n">
        <v>4.64</v>
      </c>
      <c r="G122" s="13" t="n">
        <v>0.02</v>
      </c>
      <c r="H122" s="13" t="n">
        <v>-0.007</v>
      </c>
      <c r="I122" s="13" t="n">
        <v>10.09</v>
      </c>
      <c r="J122" s="13" t="n">
        <v>58.6</v>
      </c>
      <c r="K122" s="13" t="n">
        <v>17.6</v>
      </c>
      <c r="L122" s="13" t="n">
        <v>36.1</v>
      </c>
      <c r="M122" s="14" t="n">
        <v>58.7</v>
      </c>
      <c r="N122" s="14" t="n">
        <v>22.5</v>
      </c>
      <c r="O122" s="26" t="n">
        <v>117224</v>
      </c>
      <c r="P122" s="26" t="n">
        <v>2187310</v>
      </c>
      <c r="Q122" s="15"/>
    </row>
    <row r="123" customFormat="false" ht="12.8" hidden="false" customHeight="false" outlineLevel="0" collapsed="false">
      <c r="A123" s="12" t="n">
        <v>5</v>
      </c>
      <c r="B123" s="13" t="s">
        <v>89</v>
      </c>
      <c r="C123" s="13" t="n">
        <v>5.33</v>
      </c>
      <c r="D123" s="13" t="n">
        <v>0.17</v>
      </c>
      <c r="E123" s="13" t="n">
        <v>0.13</v>
      </c>
      <c r="F123" s="13" t="n">
        <v>4.64</v>
      </c>
      <c r="G123" s="13" t="n">
        <v>0.01</v>
      </c>
      <c r="H123" s="13" t="n">
        <v>0.01</v>
      </c>
      <c r="I123" s="13" t="n">
        <v>10.29</v>
      </c>
      <c r="J123" s="13" t="n">
        <v>46.8</v>
      </c>
      <c r="K123" s="13" t="n">
        <v>12.6</v>
      </c>
      <c r="L123" s="13" t="n">
        <v>35.5</v>
      </c>
      <c r="M123" s="14" t="n">
        <v>57</v>
      </c>
      <c r="N123" s="14" t="n">
        <v>27.4</v>
      </c>
      <c r="O123" s="26" t="n">
        <v>471510</v>
      </c>
      <c r="P123" s="26" t="n">
        <v>8851712</v>
      </c>
      <c r="Q123" s="15"/>
    </row>
    <row r="124" customFormat="false" ht="12.8" hidden="false" customHeight="false" outlineLevel="0" collapsed="false">
      <c r="A124" s="12" t="n">
        <v>5</v>
      </c>
      <c r="B124" s="13" t="s">
        <v>90</v>
      </c>
      <c r="C124" s="13" t="n">
        <v>5.53</v>
      </c>
      <c r="D124" s="13" t="n">
        <v>0.03</v>
      </c>
      <c r="E124" s="13" t="n">
        <v>-0.02</v>
      </c>
      <c r="F124" s="13" t="n">
        <v>4.64</v>
      </c>
      <c r="G124" s="13" t="n">
        <v>-0.02</v>
      </c>
      <c r="H124" s="13" t="n">
        <v>0.01</v>
      </c>
      <c r="I124" s="13" t="n">
        <v>10.17</v>
      </c>
      <c r="J124" s="13" t="n">
        <v>54</v>
      </c>
      <c r="K124" s="13" t="n">
        <v>15.9</v>
      </c>
      <c r="L124" s="13" t="n">
        <v>34.7</v>
      </c>
      <c r="M124" s="14" t="n">
        <v>55.1</v>
      </c>
      <c r="N124" s="14" t="n">
        <v>14.7</v>
      </c>
      <c r="O124" s="26" t="n">
        <v>205581</v>
      </c>
      <c r="P124" s="26" t="n">
        <v>3716657</v>
      </c>
      <c r="Q124" s="15"/>
    </row>
    <row r="125" customFormat="false" ht="12.8" hidden="false" customHeight="false" outlineLevel="0" collapsed="false">
      <c r="A125" s="12" t="n">
        <v>5</v>
      </c>
      <c r="B125" s="13" t="s">
        <v>91</v>
      </c>
      <c r="C125" s="13" t="n">
        <v>5.96</v>
      </c>
      <c r="D125" s="13" t="n">
        <v>-0.03</v>
      </c>
      <c r="E125" s="13" t="n">
        <v>-0.44</v>
      </c>
      <c r="F125" s="13" t="n">
        <v>4.64</v>
      </c>
      <c r="G125" s="13" t="n">
        <v>0.09</v>
      </c>
      <c r="H125" s="13" t="n">
        <v>-0.077</v>
      </c>
      <c r="I125" s="13" t="n">
        <v>10.14</v>
      </c>
      <c r="J125" s="13" t="n">
        <v>54.7</v>
      </c>
      <c r="K125" s="13" t="n">
        <v>21.4</v>
      </c>
      <c r="L125" s="13" t="n">
        <v>37.2</v>
      </c>
      <c r="M125" s="14" t="n">
        <v>50.3</v>
      </c>
      <c r="N125" s="14" t="n">
        <v>11.8</v>
      </c>
      <c r="O125" s="26" t="n">
        <v>43908</v>
      </c>
      <c r="P125" s="26" t="n">
        <v>737226</v>
      </c>
      <c r="Q125" s="15"/>
    </row>
    <row r="126" customFormat="false" ht="12.8" hidden="false" customHeight="false" outlineLevel="0" collapsed="false">
      <c r="A126" s="12" t="n">
        <v>5</v>
      </c>
      <c r="B126" s="13" t="s">
        <v>92</v>
      </c>
      <c r="C126" s="13" t="n">
        <v>5.95</v>
      </c>
      <c r="D126" s="13" t="n">
        <v>-0.05</v>
      </c>
      <c r="E126" s="13" t="n">
        <v>-0.5</v>
      </c>
      <c r="F126" s="13" t="n">
        <v>4.64</v>
      </c>
      <c r="G126" s="13" t="n">
        <v>-0.09</v>
      </c>
      <c r="H126" s="13" t="n">
        <v>-0.002</v>
      </c>
      <c r="I126" s="13" t="n">
        <v>9.94</v>
      </c>
      <c r="J126" s="13" t="n">
        <v>53.8</v>
      </c>
      <c r="K126" s="13" t="n">
        <v>17.9</v>
      </c>
      <c r="L126" s="13" t="n">
        <v>36</v>
      </c>
      <c r="M126" s="14" t="n">
        <v>58.1</v>
      </c>
      <c r="N126" s="14" t="n">
        <v>15.2</v>
      </c>
      <c r="O126" s="26" t="n">
        <v>39728</v>
      </c>
      <c r="P126" s="26" t="n">
        <v>667772</v>
      </c>
      <c r="Q126" s="15"/>
    </row>
    <row r="127" customFormat="false" ht="12.8" hidden="false" customHeight="false" outlineLevel="0" collapsed="false">
      <c r="A127" s="12" t="n">
        <v>5</v>
      </c>
      <c r="B127" s="13" t="s">
        <v>93</v>
      </c>
      <c r="C127" s="13" t="n">
        <v>6.09</v>
      </c>
      <c r="D127" s="13" t="n">
        <v>-0.16</v>
      </c>
      <c r="E127" s="13" t="n">
        <v>-0.67</v>
      </c>
      <c r="F127" s="13" t="n">
        <v>4.64</v>
      </c>
      <c r="G127" s="13" t="n">
        <v>-0.07</v>
      </c>
      <c r="H127" s="13" t="n">
        <v>-0.018</v>
      </c>
      <c r="I127" s="13" t="n">
        <v>9.82</v>
      </c>
      <c r="J127" s="13" t="n">
        <v>55.5</v>
      </c>
      <c r="K127" s="13" t="n">
        <v>20.4</v>
      </c>
      <c r="L127" s="13" t="n">
        <v>35</v>
      </c>
      <c r="M127" s="14" t="n">
        <v>57.8</v>
      </c>
      <c r="N127" s="14" t="n">
        <v>23.5</v>
      </c>
      <c r="O127" s="26" t="n">
        <v>27148</v>
      </c>
      <c r="P127" s="26" t="n">
        <v>445457</v>
      </c>
      <c r="Q127" s="15"/>
    </row>
    <row r="128" customFormat="false" ht="12.8" hidden="false" customHeight="false" outlineLevel="0" collapsed="false">
      <c r="A128" s="12" t="n">
        <v>5</v>
      </c>
      <c r="B128" s="13" t="s">
        <v>94</v>
      </c>
      <c r="C128" s="13" t="n">
        <v>6.4</v>
      </c>
      <c r="D128" s="13" t="n">
        <v>-0.31</v>
      </c>
      <c r="E128" s="13" t="n">
        <v>-0.55</v>
      </c>
      <c r="F128" s="13" t="n">
        <v>4.64</v>
      </c>
      <c r="G128" s="13" t="n">
        <v>0.07</v>
      </c>
      <c r="H128" s="13" t="n">
        <v>0.01</v>
      </c>
      <c r="I128" s="13" t="n">
        <v>10.26</v>
      </c>
      <c r="J128" s="13" t="n">
        <v>66.8</v>
      </c>
      <c r="K128" s="13" t="n">
        <v>23.5</v>
      </c>
      <c r="L128" s="13" t="n">
        <v>34.4</v>
      </c>
      <c r="M128" s="14" t="n">
        <v>55.6</v>
      </c>
      <c r="N128" s="14" t="n">
        <v>15.6</v>
      </c>
      <c r="O128" s="26" t="n">
        <v>34584</v>
      </c>
      <c r="P128" s="26" t="n">
        <v>540378</v>
      </c>
      <c r="Q128" s="15"/>
    </row>
    <row r="129" customFormat="false" ht="12.8" hidden="false" customHeight="false" outlineLevel="0" collapsed="false">
      <c r="A129" s="12" t="n">
        <v>5</v>
      </c>
      <c r="B129" s="13" t="s">
        <v>95</v>
      </c>
      <c r="C129" s="13" t="n">
        <v>5.61</v>
      </c>
      <c r="D129" s="13" t="n">
        <v>0.07</v>
      </c>
      <c r="E129" s="13" t="n">
        <v>-0.18</v>
      </c>
      <c r="F129" s="13" t="n">
        <v>4.64</v>
      </c>
      <c r="G129" s="13" t="n">
        <v>-0.08</v>
      </c>
      <c r="H129" s="13" t="n">
        <v>0.01</v>
      </c>
      <c r="I129" s="13" t="n">
        <v>10.07</v>
      </c>
      <c r="J129" s="13" t="n">
        <v>57.9</v>
      </c>
      <c r="K129" s="13" t="n">
        <v>35.2</v>
      </c>
      <c r="L129" s="13" t="n">
        <v>33.4</v>
      </c>
      <c r="M129" s="14" t="n">
        <v>45.2</v>
      </c>
      <c r="N129" s="14" t="n">
        <v>12.5</v>
      </c>
      <c r="O129" s="26" t="n">
        <v>95876</v>
      </c>
      <c r="P129" s="26" t="n">
        <v>1709115</v>
      </c>
      <c r="Q129" s="15"/>
    </row>
    <row r="130" customFormat="false" ht="12.8" hidden="false" customHeight="false" outlineLevel="0" collapsed="false">
      <c r="A130" s="12" t="n">
        <v>5</v>
      </c>
      <c r="B130" s="13" t="s">
        <v>97</v>
      </c>
      <c r="C130" s="13" t="n">
        <v>5.43</v>
      </c>
      <c r="D130" s="13" t="n">
        <v>0.04</v>
      </c>
      <c r="E130" s="13" t="n">
        <v>-0.14</v>
      </c>
      <c r="F130" s="13" t="n">
        <v>4.64</v>
      </c>
      <c r="G130" s="13" t="n">
        <v>-0.06</v>
      </c>
      <c r="H130" s="13" t="n">
        <v>0.01</v>
      </c>
      <c r="I130" s="13" t="n">
        <v>9.92</v>
      </c>
      <c r="J130" s="13" t="n">
        <v>56.2</v>
      </c>
      <c r="K130" s="13" t="n">
        <v>18</v>
      </c>
      <c r="L130" s="13" t="n">
        <v>34.5</v>
      </c>
      <c r="M130" s="14" t="n">
        <v>50.9</v>
      </c>
      <c r="N130" s="14" t="n">
        <v>14.3</v>
      </c>
      <c r="O130" s="26" t="n">
        <v>142058</v>
      </c>
      <c r="P130" s="26" t="n">
        <v>2614701</v>
      </c>
      <c r="Q130" s="15"/>
    </row>
    <row r="131" customFormat="false" ht="12.8" hidden="false" customHeight="false" outlineLevel="0" collapsed="false">
      <c r="A131" s="12" t="n">
        <v>5</v>
      </c>
      <c r="B131" s="13" t="s">
        <v>98</v>
      </c>
      <c r="C131" s="13" t="n">
        <v>5.73</v>
      </c>
      <c r="D131" s="13" t="n">
        <v>-0.19</v>
      </c>
      <c r="E131" s="13" t="n">
        <v>-0.1</v>
      </c>
      <c r="F131" s="13" t="n">
        <v>4.64</v>
      </c>
      <c r="G131" s="13" t="n">
        <v>-0.13</v>
      </c>
      <c r="H131" s="13" t="n">
        <v>0.01</v>
      </c>
      <c r="I131" s="13" t="n">
        <v>9.96</v>
      </c>
      <c r="J131" s="13" t="n">
        <v>55.2</v>
      </c>
      <c r="K131" s="13" t="n">
        <v>19.5</v>
      </c>
      <c r="L131" s="13" t="n">
        <v>33.6</v>
      </c>
      <c r="M131" s="14" t="n">
        <v>49.6</v>
      </c>
      <c r="N131" s="14" t="n">
        <v>23.5</v>
      </c>
      <c r="O131" s="26" t="n">
        <v>58250</v>
      </c>
      <c r="P131" s="26" t="n">
        <v>1016043</v>
      </c>
      <c r="Q131" s="15"/>
    </row>
    <row r="132" customFormat="false" ht="12.8" hidden="false" customHeight="false" outlineLevel="0" collapsed="false">
      <c r="A132" s="12" t="n">
        <v>5</v>
      </c>
      <c r="B132" s="13" t="s">
        <v>99</v>
      </c>
      <c r="C132" s="13" t="n">
        <v>6.11</v>
      </c>
      <c r="D132" s="13" t="n">
        <v>-0.12</v>
      </c>
      <c r="E132" s="13" t="n">
        <v>-0.35</v>
      </c>
      <c r="F132" s="13" t="n">
        <v>4.64</v>
      </c>
      <c r="G132" s="13" t="n">
        <v>-0.04</v>
      </c>
      <c r="H132" s="13" t="n">
        <v>0.01</v>
      </c>
      <c r="I132" s="13" t="n">
        <v>10.25</v>
      </c>
      <c r="J132" s="13" t="n">
        <v>54.4</v>
      </c>
      <c r="K132" s="13" t="n">
        <v>27.3</v>
      </c>
      <c r="L132" s="13" t="n">
        <v>36</v>
      </c>
      <c r="M132" s="14" t="n">
        <v>49.4</v>
      </c>
      <c r="N132" s="14" t="n">
        <v>19.6</v>
      </c>
      <c r="O132" s="26" t="n">
        <v>37456</v>
      </c>
      <c r="P132" s="26" t="n">
        <v>613518</v>
      </c>
      <c r="Q132" s="15"/>
    </row>
    <row r="133" customFormat="false" ht="12.8" hidden="false" customHeight="false" outlineLevel="0" collapsed="false">
      <c r="A133" s="12" t="n">
        <v>5</v>
      </c>
      <c r="B133" s="13" t="s">
        <v>100</v>
      </c>
      <c r="C133" s="13" t="n">
        <v>6.05</v>
      </c>
      <c r="D133" s="13" t="n">
        <v>-0.07</v>
      </c>
      <c r="E133" s="13" t="n">
        <v>-0.33</v>
      </c>
      <c r="F133" s="13" t="n">
        <v>4.64</v>
      </c>
      <c r="G133" s="13" t="n">
        <v>-0.04</v>
      </c>
      <c r="H133" s="13" t="n">
        <v>-0.021</v>
      </c>
      <c r="I133" s="13" t="n">
        <v>10.23</v>
      </c>
      <c r="J133" s="13" t="n">
        <v>54.7</v>
      </c>
      <c r="K133" s="13" t="n">
        <v>35.9</v>
      </c>
      <c r="L133" s="13" t="n">
        <v>35.6</v>
      </c>
      <c r="M133" s="14" t="n">
        <v>53.1</v>
      </c>
      <c r="N133" s="14" t="n">
        <v>16.1</v>
      </c>
      <c r="O133" s="26" t="n">
        <v>53089</v>
      </c>
      <c r="P133" s="26" t="n">
        <v>877446</v>
      </c>
      <c r="Q133" s="15"/>
    </row>
    <row r="134" customFormat="false" ht="12.8" hidden="false" customHeight="false" outlineLevel="0" collapsed="false">
      <c r="A134" s="12" t="n">
        <v>5</v>
      </c>
      <c r="B134" s="13" t="s">
        <v>101</v>
      </c>
      <c r="C134" s="13" t="n">
        <v>5.87</v>
      </c>
      <c r="D134" s="13" t="n">
        <v>0.02</v>
      </c>
      <c r="E134" s="13" t="n">
        <v>-0.45</v>
      </c>
      <c r="F134" s="13" t="n">
        <v>4.64</v>
      </c>
      <c r="G134" s="13" t="n">
        <v>-0.08</v>
      </c>
      <c r="H134" s="13" t="n">
        <v>0.01</v>
      </c>
      <c r="I134" s="13" t="n">
        <v>10.01</v>
      </c>
      <c r="J134" s="13" t="n">
        <v>59.2</v>
      </c>
      <c r="K134" s="13" t="n">
        <v>18.9</v>
      </c>
      <c r="L134" s="13" t="n">
        <v>34.3</v>
      </c>
      <c r="M134" s="14" t="n">
        <v>65.3</v>
      </c>
      <c r="N134" s="14" t="n">
        <v>25.8</v>
      </c>
      <c r="O134" s="26" t="n">
        <v>69455</v>
      </c>
      <c r="P134" s="26" t="n">
        <v>1183313</v>
      </c>
      <c r="Q134" s="15"/>
    </row>
    <row r="135" customFormat="false" ht="12.8" hidden="false" customHeight="false" outlineLevel="0" collapsed="false">
      <c r="A135" s="12" t="n">
        <v>5</v>
      </c>
      <c r="B135" s="13" t="s">
        <v>102</v>
      </c>
      <c r="C135" s="13" t="n">
        <v>6.05</v>
      </c>
      <c r="D135" s="13" t="n">
        <v>-0.16</v>
      </c>
      <c r="E135" s="13" t="n">
        <v>-0.38</v>
      </c>
      <c r="F135" s="13" t="n">
        <v>4.64</v>
      </c>
      <c r="G135" s="13" t="n">
        <v>-0.06</v>
      </c>
      <c r="H135" s="13" t="n">
        <v>0.01</v>
      </c>
      <c r="I135" s="13" t="n">
        <v>10.1</v>
      </c>
      <c r="J135" s="13" t="n">
        <v>61.5</v>
      </c>
      <c r="K135" s="13" t="n">
        <v>16.5</v>
      </c>
      <c r="L135" s="13" t="n">
        <v>31.8</v>
      </c>
      <c r="M135" s="14" t="n">
        <v>56.8</v>
      </c>
      <c r="N135" s="14" t="n">
        <v>31.6</v>
      </c>
      <c r="O135" s="26" t="n">
        <v>34481</v>
      </c>
      <c r="P135" s="26" t="n">
        <v>569874</v>
      </c>
      <c r="Q135" s="15"/>
    </row>
    <row r="136" customFormat="false" ht="12.8" hidden="false" customHeight="false" outlineLevel="0" collapsed="false">
      <c r="A136" s="12" t="n">
        <v>5</v>
      </c>
      <c r="B136" s="13" t="s">
        <v>103</v>
      </c>
      <c r="C136" s="13" t="n">
        <v>5.91</v>
      </c>
      <c r="D136" s="13" t="n">
        <v>0.05</v>
      </c>
      <c r="E136" s="13" t="n">
        <v>-0.29</v>
      </c>
      <c r="F136" s="13" t="n">
        <v>4.64</v>
      </c>
      <c r="G136" s="13" t="n">
        <v>0.04</v>
      </c>
      <c r="H136" s="13" t="n">
        <v>0.01</v>
      </c>
      <c r="I136" s="13" t="n">
        <v>10.36</v>
      </c>
      <c r="J136" s="13" t="n">
        <v>52.3</v>
      </c>
      <c r="K136" s="13" t="n">
        <v>14</v>
      </c>
      <c r="L136" s="13" t="n">
        <v>34.5</v>
      </c>
      <c r="M136" s="14" t="n">
        <v>54.7</v>
      </c>
      <c r="N136" s="14" t="n">
        <v>19.7</v>
      </c>
      <c r="O136" s="26" t="n">
        <v>263949</v>
      </c>
      <c r="P136" s="26" t="n">
        <v>4466561</v>
      </c>
      <c r="Q136" s="15"/>
    </row>
    <row r="137" customFormat="false" ht="12.8" hidden="false" customHeight="false" outlineLevel="0" collapsed="false">
      <c r="A137" s="12" t="n">
        <v>5</v>
      </c>
      <c r="B137" s="13" t="s">
        <v>104</v>
      </c>
      <c r="C137" s="13" t="n">
        <v>6.92</v>
      </c>
      <c r="D137" s="13" t="n">
        <v>-0.2</v>
      </c>
      <c r="E137" s="13" t="n">
        <v>-0.71</v>
      </c>
      <c r="F137" s="13" t="n">
        <v>4.64</v>
      </c>
      <c r="G137" s="13" t="n">
        <v>-0.11</v>
      </c>
      <c r="H137" s="13" t="n">
        <v>-0.023</v>
      </c>
      <c r="I137" s="13" t="n">
        <v>10.51</v>
      </c>
      <c r="J137" s="13" t="n">
        <v>55.6</v>
      </c>
      <c r="K137" s="13" t="n">
        <v>18</v>
      </c>
      <c r="L137" s="13" t="n">
        <v>35.1</v>
      </c>
      <c r="M137" s="14" t="n">
        <v>51.2</v>
      </c>
      <c r="N137" s="14" t="n">
        <v>18.8</v>
      </c>
      <c r="O137" s="26" t="n">
        <v>44123</v>
      </c>
      <c r="P137" s="26" t="n">
        <v>637723</v>
      </c>
      <c r="Q137" s="15"/>
    </row>
    <row r="138" customFormat="false" ht="12.8" hidden="false" customHeight="false" outlineLevel="0" collapsed="false">
      <c r="A138" s="12" t="n">
        <v>5</v>
      </c>
      <c r="B138" s="13" t="s">
        <v>105</v>
      </c>
      <c r="C138" s="13" t="n">
        <v>6.6</v>
      </c>
      <c r="D138" s="13" t="n">
        <v>-0.23</v>
      </c>
      <c r="E138" s="13" t="n">
        <v>-0.77</v>
      </c>
      <c r="F138" s="13" t="n">
        <v>4.64</v>
      </c>
      <c r="G138" s="13" t="n">
        <v>-0.04</v>
      </c>
      <c r="H138" s="13" t="n">
        <v>0.002</v>
      </c>
      <c r="I138" s="13" t="n">
        <v>10.21</v>
      </c>
      <c r="J138" s="13" t="n">
        <v>55.8</v>
      </c>
      <c r="K138" s="13" t="n">
        <v>28.1</v>
      </c>
      <c r="L138" s="13" t="n">
        <v>34.4</v>
      </c>
      <c r="M138" s="14" t="n">
        <v>54.7</v>
      </c>
      <c r="N138" s="14" t="n">
        <v>24.2</v>
      </c>
      <c r="O138" s="26" t="n">
        <v>64479</v>
      </c>
      <c r="P138" s="26" t="n">
        <v>976676</v>
      </c>
      <c r="Q138" s="15"/>
    </row>
    <row r="139" customFormat="false" ht="12.8" hidden="false" customHeight="false" outlineLevel="0" collapsed="false">
      <c r="A139" s="12" t="n">
        <v>5</v>
      </c>
      <c r="B139" s="13" t="s">
        <v>106</v>
      </c>
      <c r="C139" s="13" t="n">
        <v>6.4</v>
      </c>
      <c r="D139" s="13" t="n">
        <v>-0.08</v>
      </c>
      <c r="E139" s="13" t="n">
        <v>-0.62</v>
      </c>
      <c r="F139" s="13" t="n">
        <v>4.64</v>
      </c>
      <c r="G139" s="13" t="n">
        <v>0.03</v>
      </c>
      <c r="H139" s="13" t="n">
        <v>-0.047</v>
      </c>
      <c r="I139" s="13" t="n">
        <v>10.32</v>
      </c>
      <c r="J139" s="13" t="n">
        <v>62</v>
      </c>
      <c r="K139" s="13" t="n">
        <v>31.1</v>
      </c>
      <c r="L139" s="13" t="n">
        <v>35</v>
      </c>
      <c r="M139" s="14" t="n">
        <v>52.3</v>
      </c>
      <c r="N139" s="14" t="n">
        <v>36.1</v>
      </c>
      <c r="O139" s="26" t="n">
        <v>90700</v>
      </c>
      <c r="P139" s="26" t="n">
        <v>1418173</v>
      </c>
      <c r="Q139" s="15"/>
    </row>
    <row r="140" customFormat="false" ht="12.8" hidden="false" customHeight="false" outlineLevel="0" collapsed="false">
      <c r="A140" s="12" t="n">
        <v>5</v>
      </c>
      <c r="B140" s="13" t="s">
        <v>107</v>
      </c>
      <c r="C140" s="13" t="n">
        <v>6.43</v>
      </c>
      <c r="D140" s="13" t="n">
        <v>-0.22</v>
      </c>
      <c r="E140" s="13" t="n">
        <v>-0.6</v>
      </c>
      <c r="F140" s="13" t="n">
        <v>4.64</v>
      </c>
      <c r="G140" s="13" t="n">
        <v>-0.03</v>
      </c>
      <c r="H140" s="13" t="n">
        <v>-0.019</v>
      </c>
      <c r="I140" s="13" t="n">
        <v>10.2</v>
      </c>
      <c r="J140" s="13" t="n">
        <v>64.9</v>
      </c>
      <c r="K140" s="13" t="n">
        <v>29.1</v>
      </c>
      <c r="L140" s="13" t="n">
        <v>35.1</v>
      </c>
      <c r="M140" s="14" t="n">
        <v>58.3</v>
      </c>
      <c r="N140" s="14" t="n">
        <v>22.1</v>
      </c>
      <c r="O140" s="26" t="n">
        <v>58609</v>
      </c>
      <c r="P140" s="26" t="n">
        <v>911397</v>
      </c>
      <c r="Q140" s="15"/>
    </row>
    <row r="141" customFormat="false" ht="12.8" hidden="false" customHeight="false" outlineLevel="0" collapsed="false">
      <c r="A141" s="12" t="n">
        <v>5</v>
      </c>
      <c r="B141" s="13" t="s">
        <v>108</v>
      </c>
      <c r="C141" s="13" t="n">
        <v>6.05</v>
      </c>
      <c r="D141" s="13" t="n">
        <v>-0.1</v>
      </c>
      <c r="E141" s="13" t="n">
        <v>-0.75</v>
      </c>
      <c r="F141" s="13" t="n">
        <v>4.64</v>
      </c>
      <c r="G141" s="13" t="n">
        <v>-0.08</v>
      </c>
      <c r="H141" s="13" t="n">
        <v>-0.003</v>
      </c>
      <c r="I141" s="13" t="n">
        <v>9.76</v>
      </c>
      <c r="J141" s="13" t="n">
        <v>55.9</v>
      </c>
      <c r="K141" s="13" t="n">
        <v>15.7</v>
      </c>
      <c r="L141" s="13" t="n">
        <v>34.9</v>
      </c>
      <c r="M141" s="14" t="n">
        <v>61.2</v>
      </c>
      <c r="N141" s="14" t="n">
        <v>17.7</v>
      </c>
      <c r="O141" s="26" t="n">
        <v>53047</v>
      </c>
      <c r="P141" s="26" t="n">
        <v>876540</v>
      </c>
      <c r="Q141" s="15"/>
    </row>
    <row r="142" customFormat="false" ht="12.8" hidden="false" customHeight="false" outlineLevel="0" collapsed="false">
      <c r="A142" s="12" t="n">
        <v>5</v>
      </c>
      <c r="B142" s="13" t="s">
        <v>109</v>
      </c>
      <c r="C142" s="13" t="n">
        <v>6.59</v>
      </c>
      <c r="D142" s="13" t="n">
        <v>-0.06</v>
      </c>
      <c r="E142" s="13" t="n">
        <v>-0.88</v>
      </c>
      <c r="F142" s="13" t="n">
        <v>4.64</v>
      </c>
      <c r="G142" s="13" t="n">
        <v>0.02</v>
      </c>
      <c r="H142" s="13" t="n">
        <v>-0.056</v>
      </c>
      <c r="I142" s="13" t="n">
        <v>10.26</v>
      </c>
      <c r="J142" s="13" t="n">
        <v>49</v>
      </c>
      <c r="K142" s="13" t="n">
        <v>16</v>
      </c>
      <c r="L142" s="13" t="n">
        <v>34.6</v>
      </c>
      <c r="M142" s="14" t="n">
        <v>51.5</v>
      </c>
      <c r="N142" s="14" t="n">
        <v>17.3</v>
      </c>
      <c r="O142" s="26" t="n">
        <v>86609</v>
      </c>
      <c r="P142" s="26" t="n">
        <v>1313787</v>
      </c>
      <c r="Q142" s="15"/>
    </row>
    <row r="143" customFormat="false" ht="12.8" hidden="false" customHeight="false" outlineLevel="0" collapsed="false">
      <c r="A143" s="12" t="n">
        <v>5</v>
      </c>
      <c r="B143" s="13" t="s">
        <v>110</v>
      </c>
      <c r="C143" s="13" t="n">
        <v>6.64</v>
      </c>
      <c r="D143" s="13" t="n">
        <v>0.25</v>
      </c>
      <c r="E143" s="13" t="n">
        <v>-1.59</v>
      </c>
      <c r="F143" s="13" t="n">
        <v>4.64</v>
      </c>
      <c r="G143" s="13" t="n">
        <v>-0.04</v>
      </c>
      <c r="H143" s="13" t="n">
        <v>-0.011</v>
      </c>
      <c r="I143" s="13" t="n">
        <v>9.89</v>
      </c>
      <c r="J143" s="13" t="n">
        <v>57.8</v>
      </c>
      <c r="K143" s="13" t="n">
        <v>28.9</v>
      </c>
      <c r="L143" s="13" t="n">
        <v>34.4</v>
      </c>
      <c r="M143" s="14" t="n">
        <v>53.4</v>
      </c>
      <c r="N143" s="14" t="n">
        <v>19.9</v>
      </c>
      <c r="O143" s="26" t="n">
        <v>75141</v>
      </c>
      <c r="P143" s="26" t="n">
        <v>1132470</v>
      </c>
      <c r="Q143" s="15"/>
    </row>
    <row r="144" customFormat="false" ht="12.8" hidden="false" customHeight="false" outlineLevel="0" collapsed="false">
      <c r="A144" s="12" t="n">
        <v>6</v>
      </c>
      <c r="B144" s="13" t="s">
        <v>42</v>
      </c>
      <c r="C144" s="13" t="n">
        <v>6.26</v>
      </c>
      <c r="D144" s="13" t="n">
        <v>-0.31</v>
      </c>
      <c r="E144" s="13" t="n">
        <v>-0.25</v>
      </c>
      <c r="F144" s="13" t="n">
        <v>4.6</v>
      </c>
      <c r="G144" s="13" t="n">
        <v>-0.1</v>
      </c>
      <c r="H144" s="13" t="n">
        <v>0.01</v>
      </c>
      <c r="I144" s="13" t="n">
        <v>10.21</v>
      </c>
      <c r="J144" s="13" t="n">
        <v>49.1</v>
      </c>
      <c r="K144" s="13" t="n">
        <v>11.7</v>
      </c>
      <c r="L144" s="13" t="n">
        <v>32.7</v>
      </c>
      <c r="M144" s="14" t="n">
        <v>55.3</v>
      </c>
      <c r="N144" s="14" t="n">
        <v>22.5</v>
      </c>
      <c r="O144" s="26" t="n">
        <v>264810</v>
      </c>
      <c r="P144" s="26" t="n">
        <v>4227914</v>
      </c>
      <c r="Q144" s="15"/>
    </row>
    <row r="145" customFormat="false" ht="12.8" hidden="false" customHeight="false" outlineLevel="0" collapsed="false">
      <c r="A145" s="12" t="n">
        <v>6</v>
      </c>
      <c r="B145" s="13" t="s">
        <v>45</v>
      </c>
      <c r="C145" s="13" t="n">
        <v>6.26</v>
      </c>
      <c r="D145" s="13" t="n">
        <v>-0.32</v>
      </c>
      <c r="E145" s="13" t="n">
        <v>-0.81</v>
      </c>
      <c r="F145" s="13" t="n">
        <v>4.6</v>
      </c>
      <c r="G145" s="13" t="n">
        <v>-0.25</v>
      </c>
      <c r="H145" s="13" t="n">
        <v>0.01</v>
      </c>
      <c r="I145" s="13" t="n">
        <v>9.49</v>
      </c>
      <c r="J145" s="13" t="n">
        <v>61.1</v>
      </c>
      <c r="K145" s="13" t="n">
        <v>22.2</v>
      </c>
      <c r="L145" s="13" t="n">
        <v>32.2</v>
      </c>
      <c r="M145" s="14" t="n">
        <v>58.5</v>
      </c>
      <c r="N145" s="14" t="n">
        <v>30.1</v>
      </c>
      <c r="O145" s="26" t="n">
        <v>59661</v>
      </c>
      <c r="P145" s="26" t="n">
        <v>952661</v>
      </c>
      <c r="Q145" s="15"/>
    </row>
    <row r="146" customFormat="false" ht="12.8" hidden="false" customHeight="false" outlineLevel="0" collapsed="false">
      <c r="A146" s="12" t="n">
        <v>6</v>
      </c>
      <c r="B146" s="13" t="s">
        <v>46</v>
      </c>
      <c r="C146" s="13" t="n">
        <v>6.04</v>
      </c>
      <c r="D146" s="13" t="n">
        <v>-0.32</v>
      </c>
      <c r="E146" s="13" t="n">
        <v>-0.6</v>
      </c>
      <c r="F146" s="13" t="n">
        <v>4.6</v>
      </c>
      <c r="G146" s="13" t="n">
        <v>-0.1</v>
      </c>
      <c r="H146" s="13" t="n">
        <v>0.01</v>
      </c>
      <c r="I146" s="13" t="n">
        <v>9.63</v>
      </c>
      <c r="J146" s="13" t="n">
        <v>62.5</v>
      </c>
      <c r="K146" s="13" t="n">
        <v>21.7</v>
      </c>
      <c r="L146" s="13" t="n">
        <v>33.5</v>
      </c>
      <c r="M146" s="14" t="n">
        <v>63.8</v>
      </c>
      <c r="N146" s="14" t="n">
        <v>26.5</v>
      </c>
      <c r="O146" s="26" t="n">
        <v>54389</v>
      </c>
      <c r="P146" s="26" t="n">
        <v>899989</v>
      </c>
      <c r="Q146" s="15"/>
    </row>
    <row r="147" customFormat="false" ht="12.8" hidden="false" customHeight="false" outlineLevel="0" collapsed="false">
      <c r="A147" s="12" t="n">
        <v>6</v>
      </c>
      <c r="B147" s="13" t="s">
        <v>48</v>
      </c>
      <c r="C147" s="13" t="n">
        <v>5.98</v>
      </c>
      <c r="D147" s="13" t="n">
        <v>-0.17</v>
      </c>
      <c r="E147" s="13" t="n">
        <v>-0.34</v>
      </c>
      <c r="F147" s="13" t="n">
        <v>4.6</v>
      </c>
      <c r="G147" s="13" t="n">
        <v>-0.07</v>
      </c>
      <c r="H147" s="13" t="n">
        <v>0.01</v>
      </c>
      <c r="I147" s="13" t="n">
        <v>10.01</v>
      </c>
      <c r="J147" s="13" t="n">
        <v>64.4</v>
      </c>
      <c r="K147" s="13" t="n">
        <v>22.9</v>
      </c>
      <c r="L147" s="13" t="n">
        <v>33.1</v>
      </c>
      <c r="M147" s="14" t="n">
        <v>51.9</v>
      </c>
      <c r="N147" s="14" t="n">
        <v>21.7</v>
      </c>
      <c r="O147" s="26" t="n">
        <v>103900</v>
      </c>
      <c r="P147" s="26" t="n">
        <v>1737952</v>
      </c>
      <c r="Q147" s="15"/>
    </row>
    <row r="148" customFormat="false" ht="12.8" hidden="false" customHeight="false" outlineLevel="0" collapsed="false">
      <c r="A148" s="12" t="n">
        <v>6</v>
      </c>
      <c r="B148" s="13" t="s">
        <v>49</v>
      </c>
      <c r="C148" s="13" t="n">
        <v>6.83</v>
      </c>
      <c r="D148" s="13" t="n">
        <v>-0.62</v>
      </c>
      <c r="E148" s="13" t="n">
        <v>-0.75</v>
      </c>
      <c r="F148" s="13" t="n">
        <v>4.6</v>
      </c>
      <c r="G148" s="13" t="n">
        <v>-0.21</v>
      </c>
      <c r="H148" s="13" t="n">
        <v>-0.005</v>
      </c>
      <c r="I148" s="13" t="n">
        <v>9.85</v>
      </c>
      <c r="J148" s="13" t="n">
        <v>61.2</v>
      </c>
      <c r="K148" s="13" t="n">
        <v>31.9</v>
      </c>
      <c r="L148" s="13" t="n">
        <v>34.3</v>
      </c>
      <c r="M148" s="14" t="n">
        <v>50.5</v>
      </c>
      <c r="N148" s="14" t="n">
        <v>16.9</v>
      </c>
      <c r="O148" s="26" t="n">
        <v>47407</v>
      </c>
      <c r="P148" s="26" t="n">
        <v>694027</v>
      </c>
      <c r="Q148" s="15"/>
    </row>
    <row r="149" customFormat="false" ht="12.8" hidden="false" customHeight="false" outlineLevel="0" collapsed="false">
      <c r="A149" s="12" t="n">
        <v>6</v>
      </c>
      <c r="B149" s="13" t="s">
        <v>50</v>
      </c>
      <c r="C149" s="13" t="n">
        <v>6.2</v>
      </c>
      <c r="D149" s="13" t="n">
        <v>-0.29</v>
      </c>
      <c r="E149" s="13" t="n">
        <v>-0.49</v>
      </c>
      <c r="F149" s="13" t="n">
        <v>4.6</v>
      </c>
      <c r="G149" s="13" t="n">
        <v>-0.02</v>
      </c>
      <c r="H149" s="13" t="n">
        <v>-0.152</v>
      </c>
      <c r="I149" s="13" t="n">
        <v>9.84</v>
      </c>
      <c r="J149" s="13" t="n">
        <v>77.3</v>
      </c>
      <c r="K149" s="13" t="n">
        <v>25.7</v>
      </c>
      <c r="L149" s="13" t="n">
        <v>34.4</v>
      </c>
      <c r="M149" s="14" t="n">
        <v>55.8</v>
      </c>
      <c r="N149" s="14" t="n">
        <v>30.8</v>
      </c>
      <c r="O149" s="26" t="n">
        <v>55000</v>
      </c>
      <c r="P149" s="26" t="n">
        <v>887512</v>
      </c>
      <c r="Q149" s="15"/>
    </row>
    <row r="150" customFormat="false" ht="12.8" hidden="false" customHeight="false" outlineLevel="0" collapsed="false">
      <c r="A150" s="12" t="n">
        <v>6</v>
      </c>
      <c r="B150" s="13" t="s">
        <v>51</v>
      </c>
      <c r="C150" s="13" t="n">
        <v>5.49</v>
      </c>
      <c r="D150" s="13" t="n">
        <v>-0.19</v>
      </c>
      <c r="E150" s="13" t="n">
        <v>-0.28</v>
      </c>
      <c r="F150" s="13" t="n">
        <v>4.6</v>
      </c>
      <c r="G150" s="13" t="n">
        <v>-0.04</v>
      </c>
      <c r="H150" s="13" t="n">
        <v>0.01</v>
      </c>
      <c r="I150" s="13" t="n">
        <v>9.59</v>
      </c>
      <c r="J150" s="13" t="n">
        <v>58.2</v>
      </c>
      <c r="K150" s="13" t="n">
        <v>26.7</v>
      </c>
      <c r="L150" s="13" t="n">
        <v>34</v>
      </c>
      <c r="M150" s="13" t="n">
        <v>34.2</v>
      </c>
      <c r="N150" s="13" t="n">
        <v>83.3</v>
      </c>
      <c r="O150" s="26" t="n">
        <v>86140</v>
      </c>
      <c r="P150" s="26" t="n">
        <v>1567957</v>
      </c>
    </row>
    <row r="151" customFormat="false" ht="12.8" hidden="false" customHeight="false" outlineLevel="0" collapsed="false">
      <c r="A151" s="12" t="n">
        <v>6</v>
      </c>
      <c r="B151" s="13" t="s">
        <v>52</v>
      </c>
      <c r="C151" s="13" t="n">
        <v>5.13</v>
      </c>
      <c r="D151" s="13" t="n">
        <v>-0.04</v>
      </c>
      <c r="E151" s="13" t="n">
        <v>0.03</v>
      </c>
      <c r="F151" s="13" t="n">
        <v>4.6</v>
      </c>
      <c r="G151" s="13" t="n">
        <v>-0.06</v>
      </c>
      <c r="H151" s="13" t="n">
        <v>0.01</v>
      </c>
      <c r="I151" s="13" t="n">
        <v>9.66</v>
      </c>
      <c r="J151" s="13" t="n">
        <v>55.5</v>
      </c>
      <c r="K151" s="13" t="n">
        <v>15</v>
      </c>
      <c r="L151" s="13" t="n">
        <v>33.3</v>
      </c>
      <c r="M151" s="13" t="n">
        <v>35.2</v>
      </c>
      <c r="N151" s="13" t="n">
        <v>80.8</v>
      </c>
      <c r="O151" s="26" t="n">
        <v>94602</v>
      </c>
      <c r="P151" s="26" t="n">
        <v>1843584</v>
      </c>
    </row>
    <row r="152" customFormat="false" ht="12.8" hidden="false" customHeight="false" outlineLevel="0" collapsed="false">
      <c r="A152" s="12" t="n">
        <v>6</v>
      </c>
      <c r="B152" s="13" t="s">
        <v>53</v>
      </c>
      <c r="C152" s="13" t="n">
        <v>5.4</v>
      </c>
      <c r="D152" s="13" t="n">
        <v>-0.07</v>
      </c>
      <c r="E152" s="13" t="n">
        <v>-0.06</v>
      </c>
      <c r="F152" s="13" t="n">
        <v>4.6</v>
      </c>
      <c r="G152" s="13" t="n">
        <v>-0.03</v>
      </c>
      <c r="H152" s="13" t="n">
        <v>-0.048</v>
      </c>
      <c r="I152" s="13" t="n">
        <v>9.79</v>
      </c>
      <c r="J152" s="13" t="n">
        <v>61</v>
      </c>
      <c r="K152" s="13" t="n">
        <v>25.4</v>
      </c>
      <c r="L152" s="13" t="n">
        <v>34.4</v>
      </c>
      <c r="M152" s="13" t="n">
        <v>36.6</v>
      </c>
      <c r="N152" s="13" t="n">
        <v>81.4</v>
      </c>
      <c r="O152" s="26" t="n">
        <v>72874</v>
      </c>
      <c r="P152" s="26" t="n">
        <v>1349925</v>
      </c>
    </row>
    <row r="153" customFormat="false" ht="12.8" hidden="false" customHeight="false" outlineLevel="0" collapsed="false">
      <c r="A153" s="12" t="n">
        <v>6</v>
      </c>
      <c r="B153" s="13" t="s">
        <v>54</v>
      </c>
      <c r="C153" s="13" t="n">
        <v>5.28</v>
      </c>
      <c r="D153" s="13" t="n">
        <v>-0.02</v>
      </c>
      <c r="E153" s="13" t="n">
        <v>-0.08</v>
      </c>
      <c r="F153" s="13" t="n">
        <v>4.6</v>
      </c>
      <c r="G153" s="13" t="n">
        <v>0.02</v>
      </c>
      <c r="H153" s="13" t="n">
        <v>0.01</v>
      </c>
      <c r="I153" s="13" t="n">
        <v>9.81</v>
      </c>
      <c r="J153" s="13" t="n">
        <v>55.2</v>
      </c>
      <c r="K153" s="13" t="n">
        <v>13.2</v>
      </c>
      <c r="L153" s="13" t="n">
        <v>33</v>
      </c>
      <c r="M153" s="13" t="n">
        <v>33.7</v>
      </c>
      <c r="N153" s="13" t="n">
        <v>82</v>
      </c>
      <c r="O153" s="26" t="n">
        <v>83505</v>
      </c>
      <c r="P153" s="26" t="n">
        <v>1581951</v>
      </c>
    </row>
    <row r="154" customFormat="false" ht="12.8" hidden="false" customHeight="false" outlineLevel="0" collapsed="false">
      <c r="A154" s="12" t="n">
        <v>6</v>
      </c>
      <c r="B154" s="13" t="s">
        <v>56</v>
      </c>
      <c r="C154" s="13" t="n">
        <v>5.03</v>
      </c>
      <c r="D154" s="13" t="n">
        <v>-0.01</v>
      </c>
      <c r="E154" s="13" t="n">
        <v>0.13</v>
      </c>
      <c r="F154" s="13" t="n">
        <v>4.6</v>
      </c>
      <c r="G154" s="13" t="n">
        <v>0.01</v>
      </c>
      <c r="H154" s="13" t="n">
        <v>0.01</v>
      </c>
      <c r="I154" s="13" t="n">
        <v>9.78</v>
      </c>
      <c r="J154" s="13" t="n">
        <v>49.8</v>
      </c>
      <c r="K154" s="13" t="n">
        <v>8.4</v>
      </c>
      <c r="L154" s="13" t="n">
        <v>33.7</v>
      </c>
      <c r="M154" s="13" t="n">
        <v>32.2</v>
      </c>
      <c r="N154" s="13" t="n">
        <v>81.6</v>
      </c>
      <c r="O154" s="26" t="n">
        <v>188060</v>
      </c>
      <c r="P154" s="26" t="n">
        <v>3738565</v>
      </c>
    </row>
    <row r="155" customFormat="false" ht="12.8" hidden="false" customHeight="false" outlineLevel="0" collapsed="false">
      <c r="A155" s="12" t="n">
        <v>6</v>
      </c>
      <c r="B155" s="13" t="s">
        <v>58</v>
      </c>
      <c r="C155" s="13" t="n">
        <v>5.12</v>
      </c>
      <c r="D155" s="13" t="n">
        <v>-0.08</v>
      </c>
      <c r="E155" s="13" t="n">
        <v>0.12</v>
      </c>
      <c r="F155" s="13" t="n">
        <v>4.6</v>
      </c>
      <c r="G155" s="13" t="n">
        <v>0</v>
      </c>
      <c r="H155" s="13" t="n">
        <v>0.01</v>
      </c>
      <c r="I155" s="13" t="n">
        <v>9.77</v>
      </c>
      <c r="J155" s="13" t="n">
        <v>46.9</v>
      </c>
      <c r="K155" s="13" t="n">
        <v>14.4</v>
      </c>
      <c r="L155" s="13" t="n">
        <v>34.2</v>
      </c>
      <c r="M155" s="13" t="n">
        <v>32.2</v>
      </c>
      <c r="N155" s="13" t="n">
        <v>81.7</v>
      </c>
      <c r="O155" s="26" t="n">
        <v>136480</v>
      </c>
      <c r="P155" s="26" t="n">
        <v>2664244</v>
      </c>
    </row>
    <row r="156" customFormat="false" ht="12.8" hidden="false" customHeight="false" outlineLevel="0" collapsed="false">
      <c r="A156" s="12" t="n">
        <v>6</v>
      </c>
      <c r="B156" s="13" t="s">
        <v>60</v>
      </c>
      <c r="C156" s="13" t="n">
        <v>4.48</v>
      </c>
      <c r="D156" s="13" t="n">
        <v>0.16</v>
      </c>
      <c r="E156" s="13" t="n">
        <v>0.66</v>
      </c>
      <c r="F156" s="13" t="n">
        <v>4.6</v>
      </c>
      <c r="G156" s="13" t="n">
        <v>0.07</v>
      </c>
      <c r="H156" s="13" t="n">
        <v>0.01</v>
      </c>
      <c r="I156" s="13" t="n">
        <v>9.98</v>
      </c>
      <c r="J156" s="13" t="n">
        <v>53.1</v>
      </c>
      <c r="K156" s="13" t="n">
        <v>9.5</v>
      </c>
      <c r="L156" s="13" t="n">
        <v>35.2</v>
      </c>
      <c r="M156" s="13" t="n">
        <v>34.1</v>
      </c>
      <c r="N156" s="13" t="n">
        <v>80.4</v>
      </c>
      <c r="O156" s="26" t="n">
        <v>761325</v>
      </c>
      <c r="P156" s="26" t="n">
        <v>16979358</v>
      </c>
    </row>
    <row r="157" customFormat="false" ht="12.8" hidden="false" customHeight="false" outlineLevel="0" collapsed="false">
      <c r="A157" s="12" t="n">
        <v>6</v>
      </c>
      <c r="B157" s="13" t="s">
        <v>62</v>
      </c>
      <c r="C157" s="13" t="n">
        <v>5.02</v>
      </c>
      <c r="D157" s="13" t="n">
        <v>-0.06</v>
      </c>
      <c r="E157" s="13" t="n">
        <v>0.38</v>
      </c>
      <c r="F157" s="13" t="n">
        <v>4.6</v>
      </c>
      <c r="G157" s="13" t="n">
        <v>0.06</v>
      </c>
      <c r="H157" s="13" t="n">
        <v>0.01</v>
      </c>
      <c r="I157" s="13" t="n">
        <v>10.02</v>
      </c>
      <c r="J157" s="13" t="n">
        <v>48.2</v>
      </c>
      <c r="K157" s="13" t="n">
        <v>10.4</v>
      </c>
      <c r="L157" s="13" t="n">
        <v>34</v>
      </c>
      <c r="M157" s="13" t="n">
        <v>33.9</v>
      </c>
      <c r="N157" s="13" t="n">
        <v>80.9</v>
      </c>
      <c r="O157" s="26" t="n">
        <v>230550</v>
      </c>
      <c r="P157" s="26" t="n">
        <v>4589964</v>
      </c>
    </row>
    <row r="158" customFormat="false" ht="12.8" hidden="false" customHeight="false" outlineLevel="0" collapsed="false">
      <c r="A158" s="12" t="n">
        <v>6</v>
      </c>
      <c r="B158" s="13" t="s">
        <v>64</v>
      </c>
      <c r="C158" s="13" t="n">
        <v>5.31</v>
      </c>
      <c r="D158" s="13" t="n">
        <v>-0.14</v>
      </c>
      <c r="E158" s="13" t="n">
        <v>-0.31</v>
      </c>
      <c r="F158" s="13" t="n">
        <v>4.6</v>
      </c>
      <c r="G158" s="13" t="n">
        <v>-0.08</v>
      </c>
      <c r="H158" s="13" t="n">
        <v>-0.02</v>
      </c>
      <c r="I158" s="13" t="n">
        <v>9.35</v>
      </c>
      <c r="J158" s="13" t="n">
        <v>69.9</v>
      </c>
      <c r="K158" s="13" t="n">
        <v>22</v>
      </c>
      <c r="L158" s="13" t="n">
        <v>33.5</v>
      </c>
      <c r="M158" s="13" t="n">
        <v>38.6</v>
      </c>
      <c r="N158" s="13" t="n">
        <v>82.9</v>
      </c>
      <c r="O158" s="26" t="n">
        <v>101185</v>
      </c>
      <c r="P158" s="26" t="n">
        <v>1905525</v>
      </c>
    </row>
    <row r="159" customFormat="false" ht="12.8" hidden="false" customHeight="false" outlineLevel="0" collapsed="false">
      <c r="A159" s="12" t="n">
        <v>6</v>
      </c>
      <c r="B159" s="13" t="s">
        <v>66</v>
      </c>
      <c r="C159" s="13" t="n">
        <v>4.98</v>
      </c>
      <c r="D159" s="13" t="n">
        <v>-0.07</v>
      </c>
      <c r="E159" s="13" t="n">
        <v>0.12</v>
      </c>
      <c r="F159" s="13" t="n">
        <v>4.6</v>
      </c>
      <c r="G159" s="13" t="n">
        <v>0</v>
      </c>
      <c r="H159" s="13" t="n">
        <v>-0.01</v>
      </c>
      <c r="I159" s="13" t="n">
        <v>9.62</v>
      </c>
      <c r="J159" s="13" t="n">
        <v>71.8</v>
      </c>
      <c r="K159" s="13" t="n">
        <v>31.9</v>
      </c>
      <c r="L159" s="13" t="n">
        <v>33.5</v>
      </c>
      <c r="M159" s="13" t="n">
        <v>39.4</v>
      </c>
      <c r="N159" s="13" t="n">
        <v>81.9</v>
      </c>
      <c r="O159" s="26" t="n">
        <v>52167</v>
      </c>
      <c r="P159" s="26" t="n">
        <v>1046674</v>
      </c>
    </row>
    <row r="160" customFormat="false" ht="12.8" hidden="false" customHeight="false" outlineLevel="0" collapsed="false">
      <c r="A160" s="12" t="n">
        <v>6</v>
      </c>
      <c r="B160" s="13" t="s">
        <v>67</v>
      </c>
      <c r="C160" s="13" t="n">
        <v>5.33</v>
      </c>
      <c r="D160" s="13" t="n">
        <v>-0.02</v>
      </c>
      <c r="E160" s="13" t="n">
        <v>0.03</v>
      </c>
      <c r="F160" s="13" t="n">
        <v>4.6</v>
      </c>
      <c r="G160" s="13" t="n">
        <v>-0.01</v>
      </c>
      <c r="H160" s="13" t="n">
        <v>0.01</v>
      </c>
      <c r="I160" s="13" t="n">
        <v>9.94</v>
      </c>
      <c r="J160" s="13" t="n">
        <v>66.6</v>
      </c>
      <c r="K160" s="13" t="n">
        <v>23.7</v>
      </c>
      <c r="L160" s="13" t="n">
        <v>33.9</v>
      </c>
      <c r="M160" s="13" t="n">
        <v>36</v>
      </c>
      <c r="N160" s="13" t="n">
        <v>81</v>
      </c>
      <c r="O160" s="26" t="n">
        <v>59465</v>
      </c>
      <c r="P160" s="26" t="n">
        <v>1115104</v>
      </c>
    </row>
    <row r="161" customFormat="false" ht="12.8" hidden="false" customHeight="false" outlineLevel="0" collapsed="false">
      <c r="A161" s="12" t="n">
        <v>6</v>
      </c>
      <c r="B161" s="13" t="s">
        <v>69</v>
      </c>
      <c r="C161" s="13" t="n">
        <v>5.58</v>
      </c>
      <c r="D161" s="13" t="n">
        <v>-0.14</v>
      </c>
      <c r="E161" s="13" t="n">
        <v>-0.03</v>
      </c>
      <c r="F161" s="13" t="n">
        <v>4.6</v>
      </c>
      <c r="G161" s="13" t="n">
        <v>0.05</v>
      </c>
      <c r="H161" s="13" t="n">
        <v>0.01</v>
      </c>
      <c r="I161" s="13" t="n">
        <v>10.07</v>
      </c>
      <c r="J161" s="13" t="n">
        <v>65.4</v>
      </c>
      <c r="K161" s="13" t="n">
        <v>21.9</v>
      </c>
      <c r="L161" s="13" t="n">
        <v>34.2</v>
      </c>
      <c r="M161" s="13" t="n">
        <v>35.7</v>
      </c>
      <c r="N161" s="13" t="n">
        <v>79.9</v>
      </c>
      <c r="O161" s="26" t="n">
        <v>40444</v>
      </c>
      <c r="P161" s="26" t="n">
        <v>724415</v>
      </c>
    </row>
    <row r="162" customFormat="false" ht="12.8" hidden="false" customHeight="false" outlineLevel="0" collapsed="false">
      <c r="A162" s="12" t="n">
        <v>6</v>
      </c>
      <c r="B162" s="13" t="s">
        <v>75</v>
      </c>
      <c r="C162" s="13" t="n">
        <v>5.54</v>
      </c>
      <c r="D162" s="13" t="n">
        <v>-0.15</v>
      </c>
      <c r="E162" s="13" t="n">
        <v>-0.14</v>
      </c>
      <c r="F162" s="13" t="n">
        <v>4.6</v>
      </c>
      <c r="G162" s="13" t="n">
        <v>0.08</v>
      </c>
      <c r="H162" s="13" t="n">
        <v>0.01</v>
      </c>
      <c r="I162" s="13" t="n">
        <v>9.94</v>
      </c>
      <c r="J162" s="13" t="n">
        <v>67.8</v>
      </c>
      <c r="K162" s="13" t="n">
        <v>18.7</v>
      </c>
      <c r="L162" s="13" t="n">
        <v>33.3</v>
      </c>
      <c r="M162" s="13" t="n">
        <v>31.8</v>
      </c>
      <c r="N162" s="13" t="n">
        <v>80.8</v>
      </c>
      <c r="O162" s="26" t="n">
        <v>34540</v>
      </c>
      <c r="P162" s="26" t="n">
        <v>623933</v>
      </c>
    </row>
    <row r="163" customFormat="false" ht="12.8" hidden="false" customHeight="false" outlineLevel="0" collapsed="false">
      <c r="A163" s="12" t="n">
        <v>6</v>
      </c>
      <c r="B163" s="13" t="s">
        <v>76</v>
      </c>
      <c r="C163" s="13" t="n">
        <v>5.27</v>
      </c>
      <c r="D163" s="13" t="n">
        <v>-0.08</v>
      </c>
      <c r="E163" s="13" t="n">
        <v>-0.17</v>
      </c>
      <c r="F163" s="13" t="n">
        <v>4.6</v>
      </c>
      <c r="G163" s="13" t="n">
        <v>-0.04</v>
      </c>
      <c r="H163" s="13" t="n">
        <v>-0.028</v>
      </c>
      <c r="I163" s="13" t="n">
        <v>9.55</v>
      </c>
      <c r="J163" s="13" t="n">
        <v>64</v>
      </c>
      <c r="K163" s="13" t="n">
        <v>29.4</v>
      </c>
      <c r="L163" s="13" t="n">
        <v>34.6</v>
      </c>
      <c r="M163" s="13" t="n">
        <v>36.3</v>
      </c>
      <c r="N163" s="13" t="n">
        <v>82.6</v>
      </c>
      <c r="O163" s="26" t="n">
        <v>83868</v>
      </c>
      <c r="P163" s="26" t="n">
        <v>1592275</v>
      </c>
    </row>
    <row r="164" customFormat="false" ht="12.8" hidden="false" customHeight="false" outlineLevel="0" collapsed="false">
      <c r="A164" s="12" t="n">
        <v>6</v>
      </c>
      <c r="B164" s="13" t="s">
        <v>78</v>
      </c>
      <c r="C164" s="13" t="n">
        <v>5.38</v>
      </c>
      <c r="D164" s="13" t="n">
        <v>0</v>
      </c>
      <c r="E164" s="13" t="n">
        <v>-0.09</v>
      </c>
      <c r="F164" s="13" t="n">
        <v>4.6</v>
      </c>
      <c r="G164" s="13" t="n">
        <v>0.03</v>
      </c>
      <c r="H164" s="13" t="n">
        <v>-0.016</v>
      </c>
      <c r="I164" s="13" t="n">
        <v>9.91</v>
      </c>
      <c r="J164" s="13" t="n">
        <v>64.8</v>
      </c>
      <c r="K164" s="13" t="n">
        <v>25.5</v>
      </c>
      <c r="L164" s="13" t="n">
        <v>34.9</v>
      </c>
      <c r="M164" s="13" t="n">
        <v>35.9</v>
      </c>
      <c r="N164" s="13" t="n">
        <v>80.4</v>
      </c>
      <c r="O164" s="26" t="n">
        <v>101465</v>
      </c>
      <c r="P164" s="26" t="n">
        <v>1885222</v>
      </c>
    </row>
    <row r="165" customFormat="false" ht="12.8" hidden="false" customHeight="false" outlineLevel="0" collapsed="false">
      <c r="A165" s="12" t="n">
        <v>6</v>
      </c>
      <c r="B165" s="13" t="s">
        <v>80</v>
      </c>
      <c r="C165" s="13" t="n">
        <v>5.13</v>
      </c>
      <c r="D165" s="13" t="n">
        <v>-0.04</v>
      </c>
      <c r="E165" s="13" t="n">
        <v>0.1</v>
      </c>
      <c r="F165" s="13" t="n">
        <v>4.6</v>
      </c>
      <c r="G165" s="13" t="n">
        <v>0.05</v>
      </c>
      <c r="H165" s="13" t="n">
        <v>0.01</v>
      </c>
      <c r="I165" s="13" t="n">
        <v>9.85</v>
      </c>
      <c r="J165" s="13" t="n">
        <v>59.4</v>
      </c>
      <c r="K165" s="13" t="n">
        <v>16.7</v>
      </c>
      <c r="L165" s="13" t="n">
        <v>34.7</v>
      </c>
      <c r="M165" s="13" t="n">
        <v>35.3</v>
      </c>
      <c r="N165" s="13" t="n">
        <v>82.1</v>
      </c>
      <c r="O165" s="26" t="n">
        <v>136672</v>
      </c>
      <c r="P165" s="26" t="n">
        <v>2662054</v>
      </c>
    </row>
    <row r="166" customFormat="false" ht="12.8" hidden="false" customHeight="false" outlineLevel="0" collapsed="false">
      <c r="A166" s="12" t="n">
        <v>6</v>
      </c>
      <c r="B166" s="13" t="s">
        <v>81</v>
      </c>
      <c r="C166" s="13" t="n">
        <v>4.92</v>
      </c>
      <c r="D166" s="13" t="n">
        <v>0.19</v>
      </c>
      <c r="E166" s="13" t="n">
        <v>0.25</v>
      </c>
      <c r="F166" s="13" t="n">
        <v>4.6</v>
      </c>
      <c r="G166" s="13" t="n">
        <v>0.05</v>
      </c>
      <c r="H166" s="13" t="n">
        <v>0.01</v>
      </c>
      <c r="I166" s="13" t="n">
        <v>10.02</v>
      </c>
      <c r="J166" s="13" t="n">
        <v>55.8</v>
      </c>
      <c r="K166" s="13" t="n">
        <v>14.5</v>
      </c>
      <c r="L166" s="13" t="n">
        <v>33.4</v>
      </c>
      <c r="M166" s="13" t="n">
        <v>35.8</v>
      </c>
      <c r="N166" s="13" t="n">
        <v>80.6</v>
      </c>
      <c r="O166" s="26" t="n">
        <v>329576</v>
      </c>
      <c r="P166" s="26" t="n">
        <v>6698766</v>
      </c>
    </row>
    <row r="167" customFormat="false" ht="12.8" hidden="false" customHeight="false" outlineLevel="0" collapsed="false">
      <c r="A167" s="12" t="n">
        <v>6</v>
      </c>
      <c r="B167" s="13" t="s">
        <v>83</v>
      </c>
      <c r="C167" s="13" t="n">
        <v>5.26</v>
      </c>
      <c r="D167" s="13" t="n">
        <v>0.02</v>
      </c>
      <c r="E167" s="13" t="n">
        <v>0.01</v>
      </c>
      <c r="F167" s="13" t="n">
        <v>4.6</v>
      </c>
      <c r="G167" s="13" t="n">
        <v>0.04</v>
      </c>
      <c r="H167" s="13" t="n">
        <v>0.01</v>
      </c>
      <c r="I167" s="13" t="n">
        <v>9.94</v>
      </c>
      <c r="J167" s="13" t="n">
        <v>64.4</v>
      </c>
      <c r="K167" s="13" t="n">
        <v>15.4</v>
      </c>
      <c r="L167" s="13" t="n">
        <v>34</v>
      </c>
      <c r="M167" s="13" t="n">
        <v>35.1</v>
      </c>
      <c r="N167" s="13" t="n">
        <v>80.2</v>
      </c>
      <c r="O167" s="26" t="n">
        <v>68133</v>
      </c>
      <c r="P167" s="26" t="n">
        <v>1294559</v>
      </c>
    </row>
    <row r="168" customFormat="false" ht="12.8" hidden="false" customHeight="false" outlineLevel="0" collapsed="false">
      <c r="A168" s="12" t="n">
        <v>6</v>
      </c>
      <c r="B168" s="13" t="s">
        <v>84</v>
      </c>
      <c r="C168" s="13" t="n">
        <v>5.32</v>
      </c>
      <c r="D168" s="13" t="n">
        <v>0.07</v>
      </c>
      <c r="E168" s="13" t="n">
        <v>-0.14</v>
      </c>
      <c r="F168" s="13" t="n">
        <v>4.6</v>
      </c>
      <c r="G168" s="13" t="n">
        <v>0.02</v>
      </c>
      <c r="H168" s="13" t="n">
        <v>0.01</v>
      </c>
      <c r="I168" s="13" t="n">
        <v>9.89</v>
      </c>
      <c r="J168" s="13" t="n">
        <v>61.9</v>
      </c>
      <c r="K168" s="13" t="n">
        <v>20.2</v>
      </c>
      <c r="L168" s="13" t="n">
        <v>34.5</v>
      </c>
      <c r="M168" s="13" t="n">
        <v>33.5</v>
      </c>
      <c r="N168" s="13" t="n">
        <v>81.9</v>
      </c>
      <c r="O168" s="26" t="n">
        <v>46931</v>
      </c>
      <c r="P168" s="26" t="n">
        <v>881793</v>
      </c>
    </row>
    <row r="169" customFormat="false" ht="12.8" hidden="false" customHeight="false" outlineLevel="0" collapsed="false">
      <c r="A169" s="12" t="n">
        <v>6</v>
      </c>
      <c r="B169" s="13" t="s">
        <v>88</v>
      </c>
      <c r="C169" s="13" t="n">
        <v>5.36</v>
      </c>
      <c r="D169" s="13" t="n">
        <v>0.06</v>
      </c>
      <c r="E169" s="13" t="n">
        <v>0.03</v>
      </c>
      <c r="F169" s="13" t="n">
        <v>4.6</v>
      </c>
      <c r="G169" s="13" t="n">
        <v>0.06</v>
      </c>
      <c r="H169" s="13" t="n">
        <v>0.01</v>
      </c>
      <c r="I169" s="13" t="n">
        <v>10.13</v>
      </c>
      <c r="J169" s="13" t="n">
        <v>60.9</v>
      </c>
      <c r="K169" s="13" t="n">
        <v>17.1</v>
      </c>
      <c r="L169" s="13" t="n">
        <v>35.5</v>
      </c>
      <c r="M169" s="13" t="n">
        <v>32.2</v>
      </c>
      <c r="N169" s="13" t="n">
        <v>78</v>
      </c>
      <c r="O169" s="26" t="n">
        <v>120732</v>
      </c>
      <c r="P169" s="26" t="n">
        <v>2251207</v>
      </c>
    </row>
    <row r="170" customFormat="false" ht="12.8" hidden="false" customHeight="false" outlineLevel="0" collapsed="false">
      <c r="A170" s="12" t="n">
        <v>6</v>
      </c>
      <c r="B170" s="13" t="s">
        <v>89</v>
      </c>
      <c r="C170" s="13" t="n">
        <v>5.39</v>
      </c>
      <c r="D170" s="13" t="n">
        <v>0.17</v>
      </c>
      <c r="E170" s="13" t="n">
        <v>0.13</v>
      </c>
      <c r="F170" s="13" t="n">
        <v>4.6</v>
      </c>
      <c r="G170" s="13" t="n">
        <v>0.05</v>
      </c>
      <c r="H170" s="13" t="n">
        <v>0.01</v>
      </c>
      <c r="I170" s="13" t="n">
        <v>10.34</v>
      </c>
      <c r="J170" s="13" t="n">
        <v>49.8</v>
      </c>
      <c r="K170" s="13" t="n">
        <v>12.8</v>
      </c>
      <c r="L170" s="13" t="n">
        <v>35</v>
      </c>
      <c r="M170" s="13" t="n">
        <v>33.8</v>
      </c>
      <c r="N170" s="13" t="n">
        <v>78.5</v>
      </c>
      <c r="O170" s="26" t="n">
        <v>493557</v>
      </c>
      <c r="P170" s="26" t="n">
        <v>9163429</v>
      </c>
    </row>
    <row r="171" customFormat="false" ht="12.8" hidden="false" customHeight="false" outlineLevel="0" collapsed="false">
      <c r="A171" s="12" t="n">
        <v>6</v>
      </c>
      <c r="B171" s="13" t="s">
        <v>90</v>
      </c>
      <c r="C171" s="13" t="n">
        <v>5.56</v>
      </c>
      <c r="D171" s="13" t="n">
        <v>0.02</v>
      </c>
      <c r="E171" s="13" t="n">
        <v>-0.03</v>
      </c>
      <c r="F171" s="13" t="n">
        <v>4.6</v>
      </c>
      <c r="G171" s="13" t="n">
        <v>0.01</v>
      </c>
      <c r="H171" s="13" t="n">
        <v>0.01</v>
      </c>
      <c r="I171" s="13" t="n">
        <v>10.18</v>
      </c>
      <c r="J171" s="13" t="n">
        <v>56.6</v>
      </c>
      <c r="K171" s="13" t="n">
        <v>15.2</v>
      </c>
      <c r="L171" s="13" t="n">
        <v>34.5</v>
      </c>
      <c r="M171" s="13" t="n">
        <v>33.6</v>
      </c>
      <c r="N171" s="13" t="n">
        <v>80.5</v>
      </c>
      <c r="O171" s="26" t="n">
        <v>211290</v>
      </c>
      <c r="P171" s="26" t="n">
        <v>3801063</v>
      </c>
    </row>
    <row r="172" customFormat="false" ht="12.8" hidden="false" customHeight="false" outlineLevel="0" collapsed="false">
      <c r="A172" s="12" t="n">
        <v>6</v>
      </c>
      <c r="B172" s="13" t="s">
        <v>91</v>
      </c>
      <c r="C172" s="13" t="n">
        <v>6</v>
      </c>
      <c r="D172" s="13" t="n">
        <v>-0.02</v>
      </c>
      <c r="E172" s="13" t="n">
        <v>-0.43</v>
      </c>
      <c r="F172" s="13" t="n">
        <v>4.6</v>
      </c>
      <c r="G172" s="13" t="n">
        <v>0.09</v>
      </c>
      <c r="H172" s="13" t="n">
        <v>-0.023</v>
      </c>
      <c r="I172" s="13" t="n">
        <v>10.22</v>
      </c>
      <c r="J172" s="13" t="n">
        <v>56.8</v>
      </c>
      <c r="K172" s="13" t="n">
        <v>22.6</v>
      </c>
      <c r="L172" s="13" t="n">
        <v>36.7</v>
      </c>
      <c r="M172" s="13" t="n">
        <v>35.9</v>
      </c>
      <c r="N172" s="13" t="n">
        <v>76.6</v>
      </c>
      <c r="O172" s="26" t="n">
        <v>45338</v>
      </c>
      <c r="P172" s="26" t="n">
        <v>755288</v>
      </c>
    </row>
    <row r="173" customFormat="false" ht="12.8" hidden="false" customHeight="false" outlineLevel="0" collapsed="false">
      <c r="A173" s="12" t="n">
        <v>6</v>
      </c>
      <c r="B173" s="13" t="s">
        <v>92</v>
      </c>
      <c r="C173" s="13" t="n">
        <v>6.03</v>
      </c>
      <c r="D173" s="13" t="n">
        <v>-0.06</v>
      </c>
      <c r="E173" s="13" t="n">
        <v>-0.5</v>
      </c>
      <c r="F173" s="13" t="n">
        <v>4.6</v>
      </c>
      <c r="G173" s="13" t="n">
        <v>-0.08</v>
      </c>
      <c r="H173" s="13" t="n">
        <v>0.01</v>
      </c>
      <c r="I173" s="13" t="n">
        <v>10</v>
      </c>
      <c r="J173" s="13" t="n">
        <v>56.3</v>
      </c>
      <c r="K173" s="13" t="n">
        <v>15.3</v>
      </c>
      <c r="L173" s="13" t="n">
        <v>34.7</v>
      </c>
      <c r="M173" s="13" t="n">
        <v>34.6</v>
      </c>
      <c r="N173" s="13" t="n">
        <v>77.4</v>
      </c>
      <c r="O173" s="26" t="n">
        <v>41033</v>
      </c>
      <c r="P173" s="26" t="n">
        <v>680197</v>
      </c>
    </row>
    <row r="174" customFormat="false" ht="12.8" hidden="false" customHeight="false" outlineLevel="0" collapsed="false">
      <c r="A174" s="12" t="n">
        <v>6</v>
      </c>
      <c r="B174" s="13" t="s">
        <v>93</v>
      </c>
      <c r="C174" s="13" t="n">
        <v>6.04</v>
      </c>
      <c r="D174" s="13" t="n">
        <v>-0.16</v>
      </c>
      <c r="E174" s="13" t="n">
        <v>-0.67</v>
      </c>
      <c r="F174" s="13" t="n">
        <v>4.6</v>
      </c>
      <c r="G174" s="13" t="n">
        <v>-0.14</v>
      </c>
      <c r="H174" s="13" t="n">
        <v>0.01</v>
      </c>
      <c r="I174" s="13" t="n">
        <v>9.68</v>
      </c>
      <c r="J174" s="13" t="n">
        <v>57.1</v>
      </c>
      <c r="K174" s="13" t="n">
        <v>21.9</v>
      </c>
      <c r="L174" s="13" t="n">
        <v>33.7</v>
      </c>
      <c r="M174" s="13" t="n">
        <v>33.5</v>
      </c>
      <c r="N174" s="13" t="n">
        <v>82.8</v>
      </c>
      <c r="O174" s="26" t="n">
        <v>27288</v>
      </c>
      <c r="P174" s="26" t="n">
        <v>451788</v>
      </c>
    </row>
    <row r="175" customFormat="false" ht="12.8" hidden="false" customHeight="false" outlineLevel="0" collapsed="false">
      <c r="A175" s="12" t="n">
        <v>6</v>
      </c>
      <c r="B175" s="13" t="s">
        <v>94</v>
      </c>
      <c r="C175" s="13" t="n">
        <v>6.36</v>
      </c>
      <c r="D175" s="13" t="n">
        <v>-0.29</v>
      </c>
      <c r="E175" s="13" t="n">
        <v>-0.55</v>
      </c>
      <c r="F175" s="13" t="n">
        <v>4.6</v>
      </c>
      <c r="G175" s="13" t="n">
        <v>-0.13</v>
      </c>
      <c r="H175" s="13" t="n">
        <v>-0.08</v>
      </c>
      <c r="I175" s="13" t="n">
        <v>9.92</v>
      </c>
      <c r="J175" s="13" t="n">
        <v>70.8</v>
      </c>
      <c r="K175" s="13" t="n">
        <v>19.6</v>
      </c>
      <c r="L175" s="13" t="n">
        <v>34.5</v>
      </c>
      <c r="M175" s="13" t="n">
        <v>37.9</v>
      </c>
      <c r="N175" s="13" t="n">
        <v>84.3</v>
      </c>
      <c r="O175" s="26" t="n">
        <v>34565</v>
      </c>
      <c r="P175" s="26" t="n">
        <v>543406</v>
      </c>
    </row>
    <row r="176" customFormat="false" ht="12.8" hidden="false" customHeight="false" outlineLevel="0" collapsed="false">
      <c r="A176" s="12" t="n">
        <v>6</v>
      </c>
      <c r="B176" s="13" t="s">
        <v>95</v>
      </c>
      <c r="C176" s="13" t="n">
        <v>5.65</v>
      </c>
      <c r="D176" s="13" t="n">
        <v>0.06</v>
      </c>
      <c r="E176" s="13" t="n">
        <v>-0.2</v>
      </c>
      <c r="F176" s="13" t="n">
        <v>4.6</v>
      </c>
      <c r="G176" s="13" t="n">
        <v>-0.11</v>
      </c>
      <c r="H176" s="13" t="n">
        <v>0.01</v>
      </c>
      <c r="I176" s="13" t="n">
        <v>10.02</v>
      </c>
      <c r="J176" s="13" t="n">
        <v>63.7</v>
      </c>
      <c r="K176" s="13" t="n">
        <v>33.1</v>
      </c>
      <c r="L176" s="13" t="n">
        <v>32.3</v>
      </c>
      <c r="M176" s="13" t="n">
        <v>37.1</v>
      </c>
      <c r="N176" s="13" t="n">
        <v>80</v>
      </c>
      <c r="O176" s="26" t="n">
        <v>98736</v>
      </c>
      <c r="P176" s="26" t="n">
        <v>1747255</v>
      </c>
    </row>
    <row r="177" customFormat="false" ht="12.8" hidden="false" customHeight="false" outlineLevel="0" collapsed="false">
      <c r="A177" s="12" t="n">
        <v>6</v>
      </c>
      <c r="B177" s="13" t="s">
        <v>97</v>
      </c>
      <c r="C177" s="13" t="n">
        <v>5.5</v>
      </c>
      <c r="D177" s="13" t="n">
        <v>0.04</v>
      </c>
      <c r="E177" s="13" t="n">
        <v>-0.15</v>
      </c>
      <c r="F177" s="13" t="n">
        <v>4.6</v>
      </c>
      <c r="G177" s="13" t="n">
        <v>-0.06</v>
      </c>
      <c r="H177" s="13" t="n">
        <v>0.01</v>
      </c>
      <c r="I177" s="13" t="n">
        <v>9.95</v>
      </c>
      <c r="J177" s="13" t="n">
        <v>57.3</v>
      </c>
      <c r="K177" s="13" t="n">
        <v>18.6</v>
      </c>
      <c r="L177" s="13" t="n">
        <v>33.3</v>
      </c>
      <c r="M177" s="13" t="n">
        <v>37.4</v>
      </c>
      <c r="N177" s="13" t="n">
        <v>79.8</v>
      </c>
      <c r="O177" s="26" t="n">
        <v>146284</v>
      </c>
      <c r="P177" s="26" t="n">
        <v>2658671</v>
      </c>
    </row>
    <row r="178" customFormat="false" ht="12.8" hidden="false" customHeight="false" outlineLevel="0" collapsed="false">
      <c r="A178" s="12" t="n">
        <v>6</v>
      </c>
      <c r="B178" s="13" t="s">
        <v>98</v>
      </c>
      <c r="C178" s="13" t="n">
        <v>5.87</v>
      </c>
      <c r="D178" s="13" t="n">
        <v>-0.17</v>
      </c>
      <c r="E178" s="13" t="n">
        <v>-0.11</v>
      </c>
      <c r="F178" s="13" t="n">
        <v>4.6</v>
      </c>
      <c r="G178" s="13" t="n">
        <v>0</v>
      </c>
      <c r="H178" s="13" t="n">
        <v>0.01</v>
      </c>
      <c r="I178" s="13" t="n">
        <v>10.2</v>
      </c>
      <c r="J178" s="13" t="n">
        <v>57</v>
      </c>
      <c r="K178" s="13" t="n">
        <v>18.2</v>
      </c>
      <c r="L178" s="13" t="n">
        <v>35.3</v>
      </c>
      <c r="M178" s="13" t="n">
        <v>33.6</v>
      </c>
      <c r="N178" s="13" t="n">
        <v>82.7</v>
      </c>
      <c r="O178" s="26" t="n">
        <v>60572</v>
      </c>
      <c r="P178" s="26" t="n">
        <v>1031811</v>
      </c>
    </row>
    <row r="179" customFormat="false" ht="12.8" hidden="false" customHeight="false" outlineLevel="0" collapsed="false">
      <c r="A179" s="12" t="n">
        <v>6</v>
      </c>
      <c r="B179" s="13" t="s">
        <v>99</v>
      </c>
      <c r="C179" s="13" t="n">
        <v>6.16</v>
      </c>
      <c r="D179" s="13" t="n">
        <v>-0.11</v>
      </c>
      <c r="E179" s="13" t="n">
        <v>-0.36</v>
      </c>
      <c r="F179" s="13" t="n">
        <v>4.6</v>
      </c>
      <c r="G179" s="13" t="n">
        <v>-0.11</v>
      </c>
      <c r="H179" s="13" t="n">
        <v>0.01</v>
      </c>
      <c r="I179" s="13" t="n">
        <v>10.19</v>
      </c>
      <c r="J179" s="13" t="n">
        <v>55.1</v>
      </c>
      <c r="K179" s="13" t="n">
        <v>24.8</v>
      </c>
      <c r="L179" s="13" t="n">
        <v>35.3</v>
      </c>
      <c r="M179" s="13" t="n">
        <v>32.8</v>
      </c>
      <c r="N179" s="13" t="n">
        <v>74.5</v>
      </c>
      <c r="O179" s="26" t="n">
        <v>38545</v>
      </c>
      <c r="P179" s="26" t="n">
        <v>625509</v>
      </c>
    </row>
    <row r="180" customFormat="false" ht="12.8" hidden="false" customHeight="false" outlineLevel="0" collapsed="false">
      <c r="A180" s="12" t="n">
        <v>6</v>
      </c>
      <c r="B180" s="13" t="s">
        <v>100</v>
      </c>
      <c r="C180" s="13" t="n">
        <v>6.16</v>
      </c>
      <c r="D180" s="13" t="n">
        <v>-0.06</v>
      </c>
      <c r="E180" s="13" t="n">
        <v>-0.36</v>
      </c>
      <c r="F180" s="13" t="n">
        <v>4.6</v>
      </c>
      <c r="G180" s="13" t="n">
        <v>-0.02</v>
      </c>
      <c r="H180" s="13" t="n">
        <v>0.01</v>
      </c>
      <c r="I180" s="13" t="n">
        <v>10.33</v>
      </c>
      <c r="J180" s="13" t="n">
        <v>54.1</v>
      </c>
      <c r="K180" s="13" t="n">
        <v>33.7</v>
      </c>
      <c r="L180" s="13" t="n">
        <v>34.2</v>
      </c>
      <c r="M180" s="13" t="n">
        <v>35.5</v>
      </c>
      <c r="N180" s="13" t="n">
        <v>78.3</v>
      </c>
      <c r="O180" s="26" t="n">
        <v>54727</v>
      </c>
      <c r="P180" s="26" t="n">
        <v>888405</v>
      </c>
    </row>
    <row r="181" customFormat="false" ht="12.8" hidden="false" customHeight="false" outlineLevel="0" collapsed="false">
      <c r="A181" s="12" t="n">
        <v>6</v>
      </c>
      <c r="B181" s="13" t="s">
        <v>101</v>
      </c>
      <c r="C181" s="13" t="n">
        <v>5.97</v>
      </c>
      <c r="D181" s="13" t="n">
        <v>0</v>
      </c>
      <c r="E181" s="13" t="n">
        <v>-0.47</v>
      </c>
      <c r="F181" s="13" t="n">
        <v>4.6</v>
      </c>
      <c r="G181" s="13" t="n">
        <v>-0.08</v>
      </c>
      <c r="H181" s="13" t="n">
        <v>0.01</v>
      </c>
      <c r="I181" s="13" t="n">
        <v>10.03</v>
      </c>
      <c r="J181" s="13" t="n">
        <v>61.4</v>
      </c>
      <c r="K181" s="13" t="n">
        <v>18.3</v>
      </c>
      <c r="L181" s="13" t="n">
        <v>33.3</v>
      </c>
      <c r="M181" s="13" t="n">
        <v>35.3</v>
      </c>
      <c r="N181" s="13" t="n">
        <v>79</v>
      </c>
      <c r="O181" s="26" t="n">
        <v>71448</v>
      </c>
      <c r="P181" s="26" t="n">
        <v>1197516</v>
      </c>
    </row>
    <row r="182" customFormat="false" ht="12.8" hidden="false" customHeight="false" outlineLevel="0" collapsed="false">
      <c r="A182" s="12" t="n">
        <v>6</v>
      </c>
      <c r="B182" s="13" t="s">
        <v>102</v>
      </c>
      <c r="C182" s="13" t="n">
        <v>6.04</v>
      </c>
      <c r="D182" s="13" t="n">
        <v>-0.16</v>
      </c>
      <c r="E182" s="13" t="n">
        <v>-0.4</v>
      </c>
      <c r="F182" s="13" t="n">
        <v>4.6</v>
      </c>
      <c r="G182" s="13" t="n">
        <v>-0.2</v>
      </c>
      <c r="H182" s="13" t="n">
        <v>0.01</v>
      </c>
      <c r="I182" s="13" t="n">
        <v>9.89</v>
      </c>
      <c r="J182" s="13" t="n">
        <v>66.1</v>
      </c>
      <c r="K182" s="13" t="n">
        <v>15.5</v>
      </c>
      <c r="L182" s="13" t="n">
        <v>30.2</v>
      </c>
      <c r="M182" s="13" t="n">
        <v>31.6</v>
      </c>
      <c r="N182" s="13" t="n">
        <v>76.9</v>
      </c>
      <c r="O182" s="26" t="n">
        <v>34703</v>
      </c>
      <c r="P182" s="26" t="n">
        <v>574543</v>
      </c>
    </row>
    <row r="183" customFormat="false" ht="12.8" hidden="false" customHeight="false" outlineLevel="0" collapsed="false">
      <c r="A183" s="12" t="n">
        <v>6</v>
      </c>
      <c r="B183" s="13" t="s">
        <v>103</v>
      </c>
      <c r="C183" s="13" t="n">
        <v>5.99</v>
      </c>
      <c r="D183" s="13" t="n">
        <v>0.04</v>
      </c>
      <c r="E183" s="13" t="n">
        <v>-0.3</v>
      </c>
      <c r="F183" s="13" t="n">
        <v>4.6</v>
      </c>
      <c r="G183" s="13" t="n">
        <v>0.06</v>
      </c>
      <c r="H183" s="13" t="n">
        <v>-0.045</v>
      </c>
      <c r="I183" s="13" t="n">
        <v>10.35</v>
      </c>
      <c r="J183" s="13" t="n">
        <v>55.4</v>
      </c>
      <c r="K183" s="13" t="n">
        <v>19.3</v>
      </c>
      <c r="L183" s="13" t="n">
        <v>34.3</v>
      </c>
      <c r="M183" s="13" t="n">
        <v>36.5</v>
      </c>
      <c r="N183" s="13" t="n">
        <v>82.3</v>
      </c>
      <c r="O183" s="26" t="n">
        <v>275257</v>
      </c>
      <c r="P183" s="26" t="n">
        <v>4598532</v>
      </c>
    </row>
    <row r="184" customFormat="false" ht="12.8" hidden="false" customHeight="false" outlineLevel="0" collapsed="false">
      <c r="A184" s="12" t="n">
        <v>6</v>
      </c>
      <c r="B184" s="13" t="s">
        <v>104</v>
      </c>
      <c r="C184" s="13" t="n">
        <v>7.07</v>
      </c>
      <c r="D184" s="13" t="n">
        <v>-0.2</v>
      </c>
      <c r="E184" s="13" t="n">
        <v>-0.71</v>
      </c>
      <c r="F184" s="13" t="n">
        <v>4.6</v>
      </c>
      <c r="G184" s="13" t="n">
        <v>-0.16</v>
      </c>
      <c r="H184" s="13" t="n">
        <v>-0.187</v>
      </c>
      <c r="I184" s="13" t="n">
        <v>10.42</v>
      </c>
      <c r="J184" s="13" t="n">
        <v>58.9</v>
      </c>
      <c r="K184" s="13" t="n">
        <v>26.2</v>
      </c>
      <c r="L184" s="13" t="n">
        <v>36.4</v>
      </c>
      <c r="M184" s="13" t="n">
        <v>39.1</v>
      </c>
      <c r="N184" s="13" t="n">
        <v>83.3</v>
      </c>
      <c r="O184" s="26" t="n">
        <v>45757</v>
      </c>
      <c r="P184" s="26" t="n">
        <v>646907</v>
      </c>
    </row>
    <row r="185" customFormat="false" ht="12.8" hidden="false" customHeight="false" outlineLevel="0" collapsed="false">
      <c r="A185" s="12" t="n">
        <v>6</v>
      </c>
      <c r="B185" s="13" t="s">
        <v>105</v>
      </c>
      <c r="C185" s="13" t="n">
        <v>6.71</v>
      </c>
      <c r="D185" s="13" t="n">
        <v>-0.24</v>
      </c>
      <c r="E185" s="13" t="n">
        <v>-0.79</v>
      </c>
      <c r="F185" s="13" t="n">
        <v>4.6</v>
      </c>
      <c r="G185" s="13" t="n">
        <v>-0.1</v>
      </c>
      <c r="H185" s="13" t="n">
        <v>0</v>
      </c>
      <c r="I185" s="13" t="n">
        <v>10.17</v>
      </c>
      <c r="J185" s="13" t="n">
        <v>57.7</v>
      </c>
      <c r="K185" s="13" t="n">
        <v>26.8</v>
      </c>
      <c r="L185" s="13" t="n">
        <v>35.4</v>
      </c>
      <c r="M185" s="13" t="n">
        <v>34.6</v>
      </c>
      <c r="N185" s="13" t="n">
        <v>83.1</v>
      </c>
      <c r="O185" s="26" t="n">
        <v>66217</v>
      </c>
      <c r="P185" s="26" t="n">
        <v>987475</v>
      </c>
    </row>
    <row r="186" customFormat="false" ht="12.8" hidden="false" customHeight="false" outlineLevel="0" collapsed="false">
      <c r="A186" s="12" t="n">
        <v>6</v>
      </c>
      <c r="B186" s="13" t="s">
        <v>106</v>
      </c>
      <c r="C186" s="13" t="n">
        <v>6.46</v>
      </c>
      <c r="D186" s="13" t="n">
        <v>-0.1</v>
      </c>
      <c r="E186" s="13" t="n">
        <v>-0.61</v>
      </c>
      <c r="F186" s="13" t="n">
        <v>4.6</v>
      </c>
      <c r="G186" s="13" t="n">
        <v>-0.05</v>
      </c>
      <c r="H186" s="13" t="n">
        <v>0.002</v>
      </c>
      <c r="I186" s="13" t="n">
        <v>10.3</v>
      </c>
      <c r="J186" s="13" t="n">
        <v>62.1</v>
      </c>
      <c r="K186" s="13" t="n">
        <v>36.2</v>
      </c>
      <c r="L186" s="13" t="n">
        <v>33.2</v>
      </c>
      <c r="M186" s="13" t="n">
        <v>38.8</v>
      </c>
      <c r="N186" s="13" t="n">
        <v>83.4</v>
      </c>
      <c r="O186" s="26" t="n">
        <v>93118</v>
      </c>
      <c r="P186" s="26" t="n">
        <v>1440492</v>
      </c>
    </row>
    <row r="187" customFormat="false" ht="12.8" hidden="false" customHeight="false" outlineLevel="0" collapsed="false">
      <c r="A187" s="12" t="n">
        <v>6</v>
      </c>
      <c r="B187" s="13" t="s">
        <v>107</v>
      </c>
      <c r="C187" s="13" t="n">
        <v>6.54</v>
      </c>
      <c r="D187" s="13" t="n">
        <v>-0.22</v>
      </c>
      <c r="E187" s="13" t="n">
        <v>-0.6</v>
      </c>
      <c r="F187" s="13" t="n">
        <v>4.6</v>
      </c>
      <c r="G187" s="13" t="n">
        <v>-0.08</v>
      </c>
      <c r="H187" s="13" t="n">
        <v>0.01</v>
      </c>
      <c r="I187" s="13" t="n">
        <v>10.25</v>
      </c>
      <c r="J187" s="13" t="n">
        <v>65.5</v>
      </c>
      <c r="K187" s="13" t="n">
        <v>29.4</v>
      </c>
      <c r="L187" s="13" t="n">
        <v>34.1</v>
      </c>
      <c r="M187" s="13" t="n">
        <v>38.2</v>
      </c>
      <c r="N187" s="13" t="n">
        <v>81</v>
      </c>
      <c r="O187" s="26" t="n">
        <v>60681</v>
      </c>
      <c r="P187" s="26" t="n">
        <v>927926</v>
      </c>
    </row>
    <row r="188" customFormat="false" ht="12.8" hidden="false" customHeight="false" outlineLevel="0" collapsed="false">
      <c r="A188" s="12" t="n">
        <v>6</v>
      </c>
      <c r="B188" s="13" t="s">
        <v>108</v>
      </c>
      <c r="C188" s="13" t="n">
        <v>6.24</v>
      </c>
      <c r="D188" s="13" t="n">
        <v>-0.12</v>
      </c>
      <c r="E188" s="13" t="n">
        <v>-0.76</v>
      </c>
      <c r="F188" s="13" t="n">
        <v>4.6</v>
      </c>
      <c r="G188" s="13" t="n">
        <v>-0.08</v>
      </c>
      <c r="H188" s="13" t="n">
        <v>-0.028</v>
      </c>
      <c r="I188" s="13" t="n">
        <v>9.85</v>
      </c>
      <c r="J188" s="13" t="n">
        <v>56.6</v>
      </c>
      <c r="K188" s="13" t="n">
        <v>19.3</v>
      </c>
      <c r="L188" s="13" t="n">
        <v>34.7</v>
      </c>
      <c r="M188" s="13" t="n">
        <v>36.8</v>
      </c>
      <c r="N188" s="13" t="n">
        <v>84.2</v>
      </c>
      <c r="O188" s="26" t="n">
        <v>55890</v>
      </c>
      <c r="P188" s="26" t="n">
        <v>895666</v>
      </c>
    </row>
    <row r="189" customFormat="false" ht="12.8" hidden="false" customHeight="false" outlineLevel="0" collapsed="false">
      <c r="A189" s="12" t="n">
        <v>6</v>
      </c>
      <c r="B189" s="13" t="s">
        <v>109</v>
      </c>
      <c r="C189" s="13" t="n">
        <v>6.7</v>
      </c>
      <c r="D189" s="13" t="n">
        <v>-0.09</v>
      </c>
      <c r="E189" s="13" t="n">
        <v>-0.9</v>
      </c>
      <c r="F189" s="13" t="n">
        <v>4.6</v>
      </c>
      <c r="G189" s="13" t="n">
        <v>-0.13</v>
      </c>
      <c r="H189" s="13" t="n">
        <v>-0.052</v>
      </c>
      <c r="I189" s="13" t="n">
        <v>10.13</v>
      </c>
      <c r="J189" s="13" t="n">
        <v>55.1</v>
      </c>
      <c r="K189" s="13" t="n">
        <v>19.6</v>
      </c>
      <c r="L189" s="13" t="n">
        <v>34.7</v>
      </c>
      <c r="M189" s="13" t="n">
        <v>38.7</v>
      </c>
      <c r="N189" s="13" t="n">
        <v>86.1</v>
      </c>
      <c r="O189" s="26" t="n">
        <v>89807</v>
      </c>
      <c r="P189" s="26" t="n">
        <v>1339503</v>
      </c>
    </row>
    <row r="190" customFormat="false" ht="12.8" hidden="false" customHeight="false" outlineLevel="0" collapsed="false">
      <c r="A190" s="12" t="n">
        <v>6</v>
      </c>
      <c r="B190" s="13" t="s">
        <v>110</v>
      </c>
      <c r="C190" s="13" t="n">
        <v>6.59</v>
      </c>
      <c r="D190" s="13" t="n">
        <v>0.17</v>
      </c>
      <c r="E190" s="13" t="n">
        <v>-1.58</v>
      </c>
      <c r="F190" s="13" t="n">
        <v>4.6</v>
      </c>
      <c r="G190" s="13" t="n">
        <v>-0.27</v>
      </c>
      <c r="H190" s="13" t="n">
        <v>0.01</v>
      </c>
      <c r="I190" s="13" t="n">
        <v>9.52</v>
      </c>
      <c r="J190" s="13" t="n">
        <v>60.1</v>
      </c>
      <c r="K190" s="13" t="n">
        <v>24.5</v>
      </c>
      <c r="L190" s="13" t="n">
        <v>34.2</v>
      </c>
      <c r="M190" s="13" t="n">
        <v>35.8</v>
      </c>
      <c r="N190" s="13" t="n">
        <v>89.3</v>
      </c>
      <c r="O190" s="26" t="n">
        <v>76184</v>
      </c>
      <c r="P190" s="26" t="n">
        <v>1156362</v>
      </c>
    </row>
    <row r="191" customFormat="false" ht="12.8" hidden="false" customHeight="false" outlineLevel="0" collapsed="false">
      <c r="A191" s="12" t="n">
        <v>7</v>
      </c>
      <c r="B191" s="13" t="s">
        <v>42</v>
      </c>
      <c r="C191" s="13" t="n">
        <v>6.21</v>
      </c>
      <c r="D191" s="13" t="n">
        <v>-0.33</v>
      </c>
      <c r="E191" s="13" t="n">
        <v>-0.22</v>
      </c>
      <c r="F191" s="13" t="n">
        <v>4.65</v>
      </c>
      <c r="G191" s="13" t="n">
        <v>-0.02</v>
      </c>
      <c r="H191" s="13" t="n">
        <v>0.01</v>
      </c>
      <c r="I191" s="13" t="n">
        <v>10.31</v>
      </c>
      <c r="J191" s="13" t="n">
        <v>53.5</v>
      </c>
      <c r="K191" s="13" t="n">
        <v>13.5</v>
      </c>
      <c r="L191" s="13" t="n">
        <v>32.4</v>
      </c>
      <c r="M191" s="13" t="n">
        <v>32.6</v>
      </c>
      <c r="N191" s="13" t="n">
        <v>84.4</v>
      </c>
      <c r="O191" s="26" t="n">
        <v>273752</v>
      </c>
      <c r="P191" s="26" t="n">
        <v>4405779</v>
      </c>
    </row>
    <row r="192" customFormat="false" ht="12.8" hidden="false" customHeight="false" outlineLevel="0" collapsed="false">
      <c r="A192" s="12" t="n">
        <v>7</v>
      </c>
      <c r="B192" s="13" t="s">
        <v>45</v>
      </c>
      <c r="C192" s="13" t="n">
        <v>6.35</v>
      </c>
      <c r="D192" s="13" t="n">
        <v>-0.37</v>
      </c>
      <c r="E192" s="13" t="n">
        <v>-0.79</v>
      </c>
      <c r="F192" s="13" t="n">
        <v>4.65</v>
      </c>
      <c r="G192" s="13" t="n">
        <v>-0.01</v>
      </c>
      <c r="H192" s="13" t="n">
        <v>0.007</v>
      </c>
      <c r="I192" s="13" t="n">
        <v>9.85</v>
      </c>
      <c r="J192" s="13" t="n">
        <v>61.4</v>
      </c>
      <c r="K192" s="13" t="n">
        <v>28.4</v>
      </c>
      <c r="L192" s="13" t="n">
        <v>33.5</v>
      </c>
      <c r="M192" s="13" t="n">
        <v>34.2</v>
      </c>
      <c r="N192" s="13" t="n">
        <v>84.8</v>
      </c>
      <c r="O192" s="26" t="n">
        <v>62381</v>
      </c>
      <c r="P192" s="26" t="n">
        <v>982777</v>
      </c>
    </row>
    <row r="193" customFormat="false" ht="12.8" hidden="false" customHeight="false" outlineLevel="0" collapsed="false">
      <c r="A193" s="12" t="n">
        <v>7</v>
      </c>
      <c r="B193" s="13" t="s">
        <v>46</v>
      </c>
      <c r="C193" s="13" t="n">
        <v>5.99</v>
      </c>
      <c r="D193" s="13" t="n">
        <v>-0.35</v>
      </c>
      <c r="E193" s="13" t="n">
        <v>-0.62</v>
      </c>
      <c r="F193" s="13" t="n">
        <v>4.65</v>
      </c>
      <c r="G193" s="13" t="n">
        <v>-0.07</v>
      </c>
      <c r="H193" s="13" t="n">
        <v>0.01</v>
      </c>
      <c r="I193" s="13" t="n">
        <v>9.62</v>
      </c>
      <c r="J193" s="13" t="n">
        <v>63.7</v>
      </c>
      <c r="K193" s="13" t="n">
        <v>22.2</v>
      </c>
      <c r="L193" s="13" t="n">
        <v>34</v>
      </c>
      <c r="M193" s="13" t="n">
        <v>31.4</v>
      </c>
      <c r="N193" s="13" t="n">
        <v>87.1</v>
      </c>
      <c r="O193" s="26" t="n">
        <v>54862</v>
      </c>
      <c r="P193" s="26" t="n">
        <v>915377</v>
      </c>
    </row>
    <row r="194" customFormat="false" ht="12.8" hidden="false" customHeight="false" outlineLevel="0" collapsed="false">
      <c r="A194" s="12" t="n">
        <v>7</v>
      </c>
      <c r="B194" s="13" t="s">
        <v>48</v>
      </c>
      <c r="C194" s="13" t="n">
        <v>5.91</v>
      </c>
      <c r="D194" s="13" t="n">
        <v>-0.16</v>
      </c>
      <c r="E194" s="13" t="n">
        <v>-0.33</v>
      </c>
      <c r="F194" s="13" t="n">
        <v>4.65</v>
      </c>
      <c r="G194" s="13" t="n">
        <v>0.03</v>
      </c>
      <c r="H194" s="13" t="n">
        <v>0.01</v>
      </c>
      <c r="I194" s="13" t="n">
        <v>10.11</v>
      </c>
      <c r="J194" s="13" t="n">
        <v>64.1</v>
      </c>
      <c r="K194" s="13" t="n">
        <v>24.4</v>
      </c>
      <c r="L194" s="13" t="n">
        <v>32.5</v>
      </c>
      <c r="M194" s="13" t="n">
        <v>33.4</v>
      </c>
      <c r="N194" s="13" t="n">
        <v>86</v>
      </c>
      <c r="O194" s="26" t="n">
        <v>105191</v>
      </c>
      <c r="P194" s="26" t="n">
        <v>1779507</v>
      </c>
    </row>
    <row r="195" customFormat="false" ht="12.8" hidden="false" customHeight="false" outlineLevel="0" collapsed="false">
      <c r="A195" s="12" t="n">
        <v>7</v>
      </c>
      <c r="B195" s="13" t="s">
        <v>49</v>
      </c>
      <c r="C195" s="13" t="n">
        <v>6.72</v>
      </c>
      <c r="D195" s="13" t="n">
        <v>-0.63</v>
      </c>
      <c r="E195" s="13" t="n">
        <v>-0.72</v>
      </c>
      <c r="F195" s="13" t="n">
        <v>4.65</v>
      </c>
      <c r="G195" s="13" t="n">
        <v>-0.01</v>
      </c>
      <c r="H195" s="13" t="n">
        <v>0</v>
      </c>
      <c r="I195" s="13" t="n">
        <v>10.01</v>
      </c>
      <c r="J195" s="13" t="n">
        <v>62.9</v>
      </c>
      <c r="K195" s="13" t="n">
        <v>32.3</v>
      </c>
      <c r="L195" s="13" t="n">
        <v>33</v>
      </c>
      <c r="M195" s="13" t="n">
        <v>37.9</v>
      </c>
      <c r="N195" s="13" t="n">
        <v>85.1</v>
      </c>
      <c r="O195" s="26" t="n">
        <v>47825</v>
      </c>
      <c r="P195" s="26" t="n">
        <v>711548</v>
      </c>
    </row>
    <row r="196" customFormat="false" ht="12.8" hidden="false" customHeight="false" outlineLevel="0" collapsed="false">
      <c r="A196" s="12" t="n">
        <v>7</v>
      </c>
      <c r="B196" s="13" t="s">
        <v>50</v>
      </c>
      <c r="C196" s="13" t="n">
        <v>6.12</v>
      </c>
      <c r="D196" s="13" t="n">
        <v>-0.31</v>
      </c>
      <c r="E196" s="13" t="n">
        <v>-0.49</v>
      </c>
      <c r="F196" s="13" t="n">
        <v>4.65</v>
      </c>
      <c r="G196" s="13" t="n">
        <v>-0.06</v>
      </c>
      <c r="H196" s="13" t="n">
        <v>-0.148</v>
      </c>
      <c r="I196" s="13" t="n">
        <v>9.75</v>
      </c>
      <c r="J196" s="13" t="n">
        <v>77.9</v>
      </c>
      <c r="K196" s="13" t="n">
        <v>29.1</v>
      </c>
      <c r="L196" s="13" t="n">
        <v>33.7</v>
      </c>
      <c r="M196" s="13" t="n">
        <v>37.4</v>
      </c>
      <c r="N196" s="13" t="n">
        <v>87.1</v>
      </c>
      <c r="O196" s="26" t="n">
        <v>55896</v>
      </c>
      <c r="P196" s="26" t="n">
        <v>913609</v>
      </c>
    </row>
    <row r="197" customFormat="false" ht="12.8" hidden="false" customHeight="false" outlineLevel="0" collapsed="false">
      <c r="A197" s="12" t="n">
        <v>7</v>
      </c>
      <c r="B197" s="13" t="s">
        <v>51</v>
      </c>
      <c r="C197" s="13" t="n">
        <v>5.43</v>
      </c>
      <c r="D197" s="13" t="n">
        <v>-0.2</v>
      </c>
      <c r="E197" s="13" t="n">
        <v>-0.28</v>
      </c>
      <c r="F197" s="13" t="n">
        <v>4.65</v>
      </c>
      <c r="G197" s="13" t="n">
        <v>0.01</v>
      </c>
      <c r="H197" s="13" t="n">
        <v>0.01</v>
      </c>
      <c r="I197" s="13" t="n">
        <v>9.62</v>
      </c>
      <c r="J197" s="13" t="n">
        <v>59.8</v>
      </c>
      <c r="K197" s="13" t="n">
        <v>27.9</v>
      </c>
      <c r="L197" s="13" t="n">
        <v>33.8</v>
      </c>
      <c r="M197" s="13" t="n">
        <v>31.3</v>
      </c>
      <c r="N197" s="13" t="n">
        <v>84.8</v>
      </c>
      <c r="O197" s="26" t="n">
        <v>87907</v>
      </c>
      <c r="P197" s="26" t="n">
        <v>1620200</v>
      </c>
    </row>
    <row r="198" customFormat="false" ht="12.8" hidden="false" customHeight="false" outlineLevel="0" collapsed="false">
      <c r="A198" s="12" t="n">
        <v>7</v>
      </c>
      <c r="B198" s="13" t="s">
        <v>52</v>
      </c>
      <c r="C198" s="13" t="n">
        <v>5.07</v>
      </c>
      <c r="D198" s="13" t="n">
        <v>-0.04</v>
      </c>
      <c r="E198" s="13" t="n">
        <v>0.02</v>
      </c>
      <c r="F198" s="13" t="n">
        <v>4.65</v>
      </c>
      <c r="G198" s="13" t="n">
        <v>-0.04</v>
      </c>
      <c r="H198" s="13" t="n">
        <v>0.01</v>
      </c>
      <c r="I198" s="13" t="n">
        <v>9.67</v>
      </c>
      <c r="J198" s="13" t="n">
        <v>55.7</v>
      </c>
      <c r="K198" s="13" t="n">
        <v>17.2</v>
      </c>
      <c r="L198" s="13" t="n">
        <v>32.1</v>
      </c>
      <c r="M198" s="13" t="n">
        <v>32.2</v>
      </c>
      <c r="N198" s="13" t="n">
        <v>82.7</v>
      </c>
      <c r="O198" s="26" t="n">
        <v>97264</v>
      </c>
      <c r="P198" s="26" t="n">
        <v>1916892</v>
      </c>
    </row>
    <row r="199" customFormat="false" ht="12.8" hidden="false" customHeight="false" outlineLevel="0" collapsed="false">
      <c r="A199" s="12" t="n">
        <v>7</v>
      </c>
      <c r="B199" s="13" t="s">
        <v>53</v>
      </c>
      <c r="C199" s="13" t="n">
        <v>5.38</v>
      </c>
      <c r="D199" s="13" t="n">
        <v>-0.08</v>
      </c>
      <c r="E199" s="13" t="n">
        <v>-0.09</v>
      </c>
      <c r="F199" s="13" t="n">
        <v>4.65</v>
      </c>
      <c r="G199" s="13" t="n">
        <v>-0.06</v>
      </c>
      <c r="H199" s="13" t="n">
        <v>0.01</v>
      </c>
      <c r="I199" s="13" t="n">
        <v>9.82</v>
      </c>
      <c r="J199" s="13" t="n">
        <v>61.7</v>
      </c>
      <c r="K199" s="13" t="n">
        <v>27.6</v>
      </c>
      <c r="L199" s="13" t="n">
        <v>33.6</v>
      </c>
      <c r="M199" s="13" t="n">
        <v>34.6</v>
      </c>
      <c r="N199" s="13" t="n">
        <v>83.1</v>
      </c>
      <c r="O199" s="26" t="n">
        <v>75767</v>
      </c>
      <c r="P199" s="26" t="n">
        <v>1408545</v>
      </c>
    </row>
    <row r="200" customFormat="false" ht="12.8" hidden="false" customHeight="false" outlineLevel="0" collapsed="false">
      <c r="A200" s="12" t="n">
        <v>7</v>
      </c>
      <c r="B200" s="13" t="s">
        <v>54</v>
      </c>
      <c r="C200" s="13" t="n">
        <v>5.2</v>
      </c>
      <c r="D200" s="13" t="n">
        <v>-0.02</v>
      </c>
      <c r="E200" s="13" t="n">
        <v>-0.08</v>
      </c>
      <c r="F200" s="13" t="n">
        <v>4.65</v>
      </c>
      <c r="G200" s="13" t="n">
        <v>0.01</v>
      </c>
      <c r="H200" s="13" t="n">
        <v>0.01</v>
      </c>
      <c r="I200" s="13" t="n">
        <v>9.77</v>
      </c>
      <c r="J200" s="13" t="n">
        <v>55.5</v>
      </c>
      <c r="K200" s="13" t="n">
        <v>14.5</v>
      </c>
      <c r="L200" s="13" t="n">
        <v>32.3</v>
      </c>
      <c r="M200" s="13" t="n">
        <v>32.6</v>
      </c>
      <c r="N200" s="13" t="n">
        <v>83.8</v>
      </c>
      <c r="O200" s="26" t="n">
        <v>85792</v>
      </c>
      <c r="P200" s="26" t="n">
        <v>1648484</v>
      </c>
    </row>
    <row r="201" customFormat="false" ht="12.8" hidden="false" customHeight="false" outlineLevel="0" collapsed="false">
      <c r="A201" s="12" t="n">
        <v>7</v>
      </c>
      <c r="B201" s="13" t="s">
        <v>56</v>
      </c>
      <c r="C201" s="13" t="n">
        <v>5.02</v>
      </c>
      <c r="D201" s="13" t="n">
        <v>-0.01</v>
      </c>
      <c r="E201" s="13" t="n">
        <v>0.11</v>
      </c>
      <c r="F201" s="13" t="n">
        <v>4.65</v>
      </c>
      <c r="G201" s="13" t="n">
        <v>-0.02</v>
      </c>
      <c r="H201" s="13" t="n">
        <v>0.01</v>
      </c>
      <c r="I201" s="13" t="n">
        <v>9.76</v>
      </c>
      <c r="J201" s="13" t="n">
        <v>48.1</v>
      </c>
      <c r="K201" s="13" t="n">
        <v>9.7</v>
      </c>
      <c r="L201" s="13" t="n">
        <v>33.2</v>
      </c>
      <c r="M201" s="13" t="n">
        <v>30.5</v>
      </c>
      <c r="N201" s="13" t="n">
        <v>83.5</v>
      </c>
      <c r="O201" s="26" t="n">
        <v>196744</v>
      </c>
      <c r="P201" s="26" t="n">
        <v>3920227</v>
      </c>
    </row>
    <row r="202" customFormat="false" ht="12.8" hidden="false" customHeight="false" outlineLevel="0" collapsed="false">
      <c r="A202" s="12" t="n">
        <v>7</v>
      </c>
      <c r="B202" s="13" t="s">
        <v>58</v>
      </c>
      <c r="C202" s="13" t="n">
        <v>5.1</v>
      </c>
      <c r="D202" s="13" t="n">
        <v>-0.06</v>
      </c>
      <c r="E202" s="13" t="n">
        <v>0.11</v>
      </c>
      <c r="F202" s="13" t="n">
        <v>4.65</v>
      </c>
      <c r="G202" s="13" t="n">
        <v>-0.02</v>
      </c>
      <c r="H202" s="13" t="n">
        <v>0.01</v>
      </c>
      <c r="I202" s="13" t="n">
        <v>9.79</v>
      </c>
      <c r="J202" s="13" t="n">
        <v>47.7</v>
      </c>
      <c r="K202" s="13" t="n">
        <v>16</v>
      </c>
      <c r="L202" s="13" t="n">
        <v>33.5</v>
      </c>
      <c r="M202" s="13" t="n">
        <v>32.2</v>
      </c>
      <c r="N202" s="13" t="n">
        <v>83.4</v>
      </c>
      <c r="O202" s="26" t="n">
        <v>143779</v>
      </c>
      <c r="P202" s="26" t="n">
        <v>2817200</v>
      </c>
    </row>
    <row r="203" customFormat="false" ht="12.8" hidden="false" customHeight="false" outlineLevel="0" collapsed="false">
      <c r="A203" s="12" t="n">
        <v>7</v>
      </c>
      <c r="B203" s="13" t="s">
        <v>60</v>
      </c>
      <c r="C203" s="13" t="n">
        <v>4.46</v>
      </c>
      <c r="D203" s="13" t="n">
        <v>0.17</v>
      </c>
      <c r="E203" s="13" t="n">
        <v>0.63</v>
      </c>
      <c r="F203" s="13" t="n">
        <v>4.65</v>
      </c>
      <c r="G203" s="13" t="n">
        <v>-0.01</v>
      </c>
      <c r="H203" s="13" t="n">
        <v>0.01</v>
      </c>
      <c r="I203" s="13" t="n">
        <v>9.91</v>
      </c>
      <c r="J203" s="13" t="n">
        <v>53.8</v>
      </c>
      <c r="K203" s="13" t="n">
        <v>11.6</v>
      </c>
      <c r="L203" s="13" t="n">
        <v>34.4</v>
      </c>
      <c r="M203" s="13" t="n">
        <v>32</v>
      </c>
      <c r="N203" s="13" t="n">
        <v>82.3</v>
      </c>
      <c r="O203" s="26" t="n">
        <v>823223</v>
      </c>
      <c r="P203" s="26" t="n">
        <v>18475077</v>
      </c>
    </row>
    <row r="204" customFormat="false" ht="12.8" hidden="false" customHeight="false" outlineLevel="0" collapsed="false">
      <c r="A204" s="12" t="n">
        <v>7</v>
      </c>
      <c r="B204" s="13" t="s">
        <v>62</v>
      </c>
      <c r="C204" s="13" t="n">
        <v>5</v>
      </c>
      <c r="D204" s="13" t="n">
        <v>-0.06</v>
      </c>
      <c r="E204" s="13" t="n">
        <v>0.36</v>
      </c>
      <c r="F204" s="13" t="n">
        <v>4.65</v>
      </c>
      <c r="G204" s="13" t="n">
        <v>-0.04</v>
      </c>
      <c r="H204" s="13" t="n">
        <v>0.01</v>
      </c>
      <c r="I204" s="13" t="n">
        <v>9.92</v>
      </c>
      <c r="J204" s="13" t="n">
        <v>48.2</v>
      </c>
      <c r="K204" s="13" t="n">
        <v>13.5</v>
      </c>
      <c r="L204" s="13" t="n">
        <v>33.4</v>
      </c>
      <c r="M204" s="13" t="n">
        <v>31.9</v>
      </c>
      <c r="N204" s="13" t="n">
        <v>82.6</v>
      </c>
      <c r="O204" s="26" t="n">
        <v>241725</v>
      </c>
      <c r="P204" s="26" t="n">
        <v>4838437</v>
      </c>
    </row>
    <row r="205" customFormat="false" ht="12.8" hidden="false" customHeight="false" outlineLevel="0" collapsed="false">
      <c r="A205" s="12" t="n">
        <v>7</v>
      </c>
      <c r="B205" s="13" t="s">
        <v>64</v>
      </c>
      <c r="C205" s="13" t="n">
        <v>5.32</v>
      </c>
      <c r="D205" s="13" t="n">
        <v>-0.15</v>
      </c>
      <c r="E205" s="13" t="n">
        <v>-0.31</v>
      </c>
      <c r="F205" s="13" t="n">
        <v>4.65</v>
      </c>
      <c r="G205" s="13" t="n">
        <v>0.08</v>
      </c>
      <c r="H205" s="13" t="n">
        <v>-0.04</v>
      </c>
      <c r="I205" s="13" t="n">
        <v>9.55</v>
      </c>
      <c r="J205" s="13" t="n">
        <v>70.4</v>
      </c>
      <c r="K205" s="13" t="n">
        <v>24.2</v>
      </c>
      <c r="L205" s="13" t="n">
        <v>34.2</v>
      </c>
      <c r="M205" s="13" t="n">
        <v>36.1</v>
      </c>
      <c r="N205" s="13" t="n">
        <v>84.8</v>
      </c>
      <c r="O205" s="26" t="n">
        <v>104533</v>
      </c>
      <c r="P205" s="26" t="n">
        <v>1965252</v>
      </c>
    </row>
    <row r="206" customFormat="false" ht="12.8" hidden="false" customHeight="false" outlineLevel="0" collapsed="false">
      <c r="A206" s="12" t="n">
        <v>7</v>
      </c>
      <c r="B206" s="13" t="s">
        <v>66</v>
      </c>
      <c r="C206" s="13" t="n">
        <v>4.95</v>
      </c>
      <c r="D206" s="13" t="n">
        <v>-0.07</v>
      </c>
      <c r="E206" s="13" t="n">
        <v>0.11</v>
      </c>
      <c r="F206" s="13" t="n">
        <v>4.65</v>
      </c>
      <c r="G206" s="13" t="n">
        <v>0.04</v>
      </c>
      <c r="H206" s="13" t="n">
        <v>-0.027</v>
      </c>
      <c r="I206" s="13" t="n">
        <v>9.65</v>
      </c>
      <c r="J206" s="13" t="n">
        <v>72.3</v>
      </c>
      <c r="K206" s="13" t="n">
        <v>33.2</v>
      </c>
      <c r="L206" s="13" t="n">
        <v>33.1</v>
      </c>
      <c r="M206" s="13" t="n">
        <v>38.5</v>
      </c>
      <c r="N206" s="13" t="n">
        <v>83.8</v>
      </c>
      <c r="O206" s="26" t="n">
        <v>53588</v>
      </c>
      <c r="P206" s="26" t="n">
        <v>1082459</v>
      </c>
    </row>
    <row r="207" customFormat="false" ht="12.8" hidden="false" customHeight="false" outlineLevel="0" collapsed="false">
      <c r="A207" s="12" t="n">
        <v>7</v>
      </c>
      <c r="B207" s="13" t="s">
        <v>67</v>
      </c>
      <c r="C207" s="13" t="n">
        <v>5.19</v>
      </c>
      <c r="D207" s="13" t="n">
        <v>-0.01</v>
      </c>
      <c r="E207" s="13" t="n">
        <v>0.04</v>
      </c>
      <c r="F207" s="13" t="n">
        <v>4.65</v>
      </c>
      <c r="G207" s="13" t="n">
        <v>0.01</v>
      </c>
      <c r="H207" s="13" t="n">
        <v>0.01</v>
      </c>
      <c r="I207" s="13" t="n">
        <v>9.88</v>
      </c>
      <c r="J207" s="13" t="n">
        <v>67</v>
      </c>
      <c r="K207" s="13" t="n">
        <v>27.5</v>
      </c>
      <c r="L207" s="13" t="n">
        <v>33.6</v>
      </c>
      <c r="M207" s="13" t="n">
        <v>32.8</v>
      </c>
      <c r="N207" s="13" t="n">
        <v>82.9</v>
      </c>
      <c r="O207" s="26" t="n">
        <v>60279</v>
      </c>
      <c r="P207" s="26" t="n">
        <v>1162261</v>
      </c>
    </row>
    <row r="208" customFormat="false" ht="12.8" hidden="false" customHeight="false" outlineLevel="0" collapsed="false">
      <c r="A208" s="12" t="n">
        <v>7</v>
      </c>
      <c r="B208" s="13" t="s">
        <v>69</v>
      </c>
      <c r="C208" s="13" t="n">
        <v>5.47</v>
      </c>
      <c r="D208" s="13" t="n">
        <v>-0.14</v>
      </c>
      <c r="E208" s="13" t="n">
        <v>-0.04</v>
      </c>
      <c r="F208" s="13" t="n">
        <v>4.65</v>
      </c>
      <c r="G208" s="13" t="n">
        <v>-0.01</v>
      </c>
      <c r="H208" s="13" t="n">
        <v>0.01</v>
      </c>
      <c r="I208" s="13" t="n">
        <v>9.94</v>
      </c>
      <c r="J208" s="13" t="n">
        <v>67.6</v>
      </c>
      <c r="K208" s="13" t="n">
        <v>24.3</v>
      </c>
      <c r="L208" s="13" t="n">
        <v>32.9</v>
      </c>
      <c r="M208" s="13" t="n">
        <v>33.6</v>
      </c>
      <c r="N208" s="13" t="n">
        <v>81.8</v>
      </c>
      <c r="O208" s="26" t="n">
        <v>41063</v>
      </c>
      <c r="P208" s="26" t="n">
        <v>751188</v>
      </c>
    </row>
    <row r="209" customFormat="false" ht="12.8" hidden="false" customHeight="false" outlineLevel="0" collapsed="false">
      <c r="A209" s="12" t="n">
        <v>7</v>
      </c>
      <c r="B209" s="13" t="s">
        <v>75</v>
      </c>
      <c r="C209" s="13" t="n">
        <v>5.46</v>
      </c>
      <c r="D209" s="13" t="n">
        <v>-0.16</v>
      </c>
      <c r="E209" s="13" t="n">
        <v>-0.14</v>
      </c>
      <c r="F209" s="13" t="n">
        <v>4.65</v>
      </c>
      <c r="G209" s="13" t="n">
        <v>0.06</v>
      </c>
      <c r="H209" s="13" t="n">
        <v>0.01</v>
      </c>
      <c r="I209" s="13" t="n">
        <v>9.89</v>
      </c>
      <c r="J209" s="13" t="n">
        <v>69</v>
      </c>
      <c r="K209" s="13" t="n">
        <v>22.5</v>
      </c>
      <c r="L209" s="13" t="n">
        <v>33.2</v>
      </c>
      <c r="M209" s="13" t="n">
        <v>33.4</v>
      </c>
      <c r="N209" s="13" t="n">
        <v>82.6</v>
      </c>
      <c r="O209" s="26" t="n">
        <v>35280</v>
      </c>
      <c r="P209" s="26" t="n">
        <v>646169</v>
      </c>
    </row>
    <row r="210" customFormat="false" ht="12.8" hidden="false" customHeight="false" outlineLevel="0" collapsed="false">
      <c r="A210" s="12" t="n">
        <v>7</v>
      </c>
      <c r="B210" s="13" t="s">
        <v>76</v>
      </c>
      <c r="C210" s="13" t="n">
        <v>5.27</v>
      </c>
      <c r="D210" s="13" t="n">
        <v>-0.08</v>
      </c>
      <c r="E210" s="13" t="n">
        <v>-0.17</v>
      </c>
      <c r="F210" s="13" t="n">
        <v>4.65</v>
      </c>
      <c r="G210" s="13" t="n">
        <v>0.08</v>
      </c>
      <c r="H210" s="13" t="n">
        <v>-0.067</v>
      </c>
      <c r="I210" s="13" t="n">
        <v>9.69</v>
      </c>
      <c r="J210" s="13" t="n">
        <v>64.5</v>
      </c>
      <c r="K210" s="13" t="n">
        <v>31.2</v>
      </c>
      <c r="L210" s="13" t="n">
        <v>34</v>
      </c>
      <c r="M210" s="13" t="n">
        <v>36.2</v>
      </c>
      <c r="N210" s="13" t="n">
        <v>84.6</v>
      </c>
      <c r="O210" s="26" t="n">
        <v>86822</v>
      </c>
      <c r="P210" s="26" t="n">
        <v>1646416</v>
      </c>
    </row>
    <row r="211" customFormat="false" ht="12.8" hidden="false" customHeight="false" outlineLevel="0" collapsed="false">
      <c r="A211" s="12" t="n">
        <v>7</v>
      </c>
      <c r="B211" s="13" t="s">
        <v>78</v>
      </c>
      <c r="C211" s="13" t="n">
        <v>5.39</v>
      </c>
      <c r="D211" s="13" t="n">
        <v>0</v>
      </c>
      <c r="E211" s="13" t="n">
        <v>-0.1</v>
      </c>
      <c r="F211" s="13" t="n">
        <v>4.65</v>
      </c>
      <c r="G211" s="13" t="n">
        <v>0.07</v>
      </c>
      <c r="H211" s="13" t="n">
        <v>-0.079</v>
      </c>
      <c r="I211" s="13" t="n">
        <v>9.93</v>
      </c>
      <c r="J211" s="13" t="n">
        <v>65.5</v>
      </c>
      <c r="K211" s="13" t="n">
        <v>24.6</v>
      </c>
      <c r="L211" s="13" t="n">
        <v>34.8</v>
      </c>
      <c r="M211" s="13" t="n">
        <v>36.2</v>
      </c>
      <c r="N211" s="13" t="n">
        <v>82.7</v>
      </c>
      <c r="O211" s="26" t="n">
        <v>106341</v>
      </c>
      <c r="P211" s="26" t="n">
        <v>1974612</v>
      </c>
    </row>
    <row r="212" customFormat="false" ht="12.8" hidden="false" customHeight="false" outlineLevel="0" collapsed="false">
      <c r="A212" s="12" t="n">
        <v>7</v>
      </c>
      <c r="B212" s="13" t="s">
        <v>80</v>
      </c>
      <c r="C212" s="13" t="n">
        <v>5.07</v>
      </c>
      <c r="D212" s="13" t="n">
        <v>-0.04</v>
      </c>
      <c r="E212" s="13" t="n">
        <v>0.08</v>
      </c>
      <c r="F212" s="13" t="n">
        <v>4.65</v>
      </c>
      <c r="G212" s="13" t="n">
        <v>0.03</v>
      </c>
      <c r="H212" s="13" t="n">
        <v>0.01</v>
      </c>
      <c r="I212" s="13" t="n">
        <v>9.8</v>
      </c>
      <c r="J212" s="13" t="n">
        <v>59.7</v>
      </c>
      <c r="K212" s="13" t="n">
        <v>17.7</v>
      </c>
      <c r="L212" s="13" t="n">
        <v>34.3</v>
      </c>
      <c r="M212" s="13" t="n">
        <v>34.6</v>
      </c>
      <c r="N212" s="13" t="n">
        <v>83.8</v>
      </c>
      <c r="O212" s="26" t="n">
        <v>140259</v>
      </c>
      <c r="P212" s="26" t="n">
        <v>2765518</v>
      </c>
    </row>
    <row r="213" customFormat="false" ht="12.8" hidden="false" customHeight="false" outlineLevel="0" collapsed="false">
      <c r="A213" s="12" t="n">
        <v>7</v>
      </c>
      <c r="B213" s="13" t="s">
        <v>81</v>
      </c>
      <c r="C213" s="13" t="n">
        <v>4.92</v>
      </c>
      <c r="D213" s="13" t="n">
        <v>0.19</v>
      </c>
      <c r="E213" s="13" t="n">
        <v>0.23</v>
      </c>
      <c r="F213" s="13" t="n">
        <v>4.65</v>
      </c>
      <c r="G213" s="13" t="n">
        <v>0.04</v>
      </c>
      <c r="H213" s="13" t="n">
        <v>0.01</v>
      </c>
      <c r="I213" s="13" t="n">
        <v>10.03</v>
      </c>
      <c r="J213" s="13" t="n">
        <v>57</v>
      </c>
      <c r="K213" s="13" t="n">
        <v>16.8</v>
      </c>
      <c r="L213" s="13" t="n">
        <v>33.2</v>
      </c>
      <c r="M213" s="13" t="n">
        <v>31.1</v>
      </c>
      <c r="N213" s="13" t="n">
        <v>82.6</v>
      </c>
      <c r="O213" s="26" t="n">
        <v>346191</v>
      </c>
      <c r="P213" s="26" t="n">
        <v>7039682</v>
      </c>
    </row>
    <row r="214" customFormat="false" ht="12.8" hidden="false" customHeight="false" outlineLevel="0" collapsed="false">
      <c r="A214" s="12" t="n">
        <v>7</v>
      </c>
      <c r="B214" s="13" t="s">
        <v>83</v>
      </c>
      <c r="C214" s="13" t="n">
        <v>5.22</v>
      </c>
      <c r="D214" s="13" t="n">
        <v>0.02</v>
      </c>
      <c r="E214" s="13" t="n">
        <v>0.01</v>
      </c>
      <c r="F214" s="13" t="n">
        <v>4.65</v>
      </c>
      <c r="G214" s="13" t="n">
        <v>0.08</v>
      </c>
      <c r="H214" s="13" t="n">
        <v>0.01</v>
      </c>
      <c r="I214" s="13" t="n">
        <v>9.99</v>
      </c>
      <c r="J214" s="13" t="n">
        <v>64.6</v>
      </c>
      <c r="K214" s="13" t="n">
        <v>18.1</v>
      </c>
      <c r="L214" s="13" t="n">
        <v>33.4</v>
      </c>
      <c r="M214" s="13" t="n">
        <v>34.8</v>
      </c>
      <c r="N214" s="13" t="n">
        <v>82.1</v>
      </c>
      <c r="O214" s="26" t="n">
        <v>70324</v>
      </c>
      <c r="P214" s="26" t="n">
        <v>1347152</v>
      </c>
    </row>
    <row r="215" customFormat="false" ht="12.8" hidden="false" customHeight="false" outlineLevel="0" collapsed="false">
      <c r="A215" s="12" t="n">
        <v>7</v>
      </c>
      <c r="B215" s="13" t="s">
        <v>84</v>
      </c>
      <c r="C215" s="13" t="n">
        <v>5.28</v>
      </c>
      <c r="D215" s="13" t="n">
        <v>0.08</v>
      </c>
      <c r="E215" s="13" t="n">
        <v>-0.14</v>
      </c>
      <c r="F215" s="13" t="n">
        <v>4.65</v>
      </c>
      <c r="G215" s="13" t="n">
        <v>0.08</v>
      </c>
      <c r="H215" s="13" t="n">
        <v>0.01</v>
      </c>
      <c r="I215" s="13" t="n">
        <v>9.97</v>
      </c>
      <c r="J215" s="13" t="n">
        <v>62.6</v>
      </c>
      <c r="K215" s="13" t="n">
        <v>19.5</v>
      </c>
      <c r="L215" s="13" t="n">
        <v>33.8</v>
      </c>
      <c r="M215" s="13" t="n">
        <v>32.3</v>
      </c>
      <c r="N215" s="13" t="n">
        <v>83.6</v>
      </c>
      <c r="O215" s="26" t="n">
        <v>48341</v>
      </c>
      <c r="P215" s="26" t="n">
        <v>915993</v>
      </c>
    </row>
    <row r="216" customFormat="false" ht="12.8" hidden="false" customHeight="false" outlineLevel="0" collapsed="false">
      <c r="A216" s="12" t="n">
        <v>7</v>
      </c>
      <c r="B216" s="13" t="s">
        <v>88</v>
      </c>
      <c r="C216" s="13" t="n">
        <v>5.28</v>
      </c>
      <c r="D216" s="13" t="n">
        <v>0.07</v>
      </c>
      <c r="E216" s="13" t="n">
        <v>0.04</v>
      </c>
      <c r="F216" s="13" t="n">
        <v>4.65</v>
      </c>
      <c r="G216" s="13" t="n">
        <v>-0.03</v>
      </c>
      <c r="H216" s="13" t="n">
        <v>0.01</v>
      </c>
      <c r="I216" s="13" t="n">
        <v>10.03</v>
      </c>
      <c r="J216" s="13" t="n">
        <v>62.8</v>
      </c>
      <c r="K216" s="13" t="n">
        <v>17.8</v>
      </c>
      <c r="L216" s="13" t="n">
        <v>34.8</v>
      </c>
      <c r="M216" s="13" t="n">
        <v>30.5</v>
      </c>
      <c r="N216" s="13" t="n">
        <v>80.3</v>
      </c>
      <c r="O216" s="26" t="n">
        <v>124948</v>
      </c>
      <c r="P216" s="26" t="n">
        <v>2366026</v>
      </c>
    </row>
    <row r="217" customFormat="false" ht="12.8" hidden="false" customHeight="false" outlineLevel="0" collapsed="false">
      <c r="A217" s="12" t="n">
        <v>7</v>
      </c>
      <c r="B217" s="13" t="s">
        <v>89</v>
      </c>
      <c r="C217" s="13" t="n">
        <v>5.32</v>
      </c>
      <c r="D217" s="13" t="n">
        <v>0.16</v>
      </c>
      <c r="E217" s="13" t="n">
        <v>0.12</v>
      </c>
      <c r="F217" s="13" t="n">
        <v>4.65</v>
      </c>
      <c r="G217" s="13" t="n">
        <v>-0.02</v>
      </c>
      <c r="H217" s="13" t="n">
        <v>0.01</v>
      </c>
      <c r="I217" s="13" t="n">
        <v>10.24</v>
      </c>
      <c r="J217" s="13" t="n">
        <v>50.2</v>
      </c>
      <c r="K217" s="13" t="n">
        <v>13.8</v>
      </c>
      <c r="L217" s="13" t="n">
        <v>34.1</v>
      </c>
      <c r="M217" s="13" t="n">
        <v>31.6</v>
      </c>
      <c r="N217" s="13" t="n">
        <v>80.7</v>
      </c>
      <c r="O217" s="26" t="n">
        <v>515154</v>
      </c>
      <c r="P217" s="26" t="n">
        <v>9681170</v>
      </c>
    </row>
    <row r="218" customFormat="false" ht="12.8" hidden="false" customHeight="false" outlineLevel="0" collapsed="false">
      <c r="A218" s="12" t="n">
        <v>7</v>
      </c>
      <c r="B218" s="13" t="s">
        <v>90</v>
      </c>
      <c r="C218" s="13" t="n">
        <v>5.52</v>
      </c>
      <c r="D218" s="13" t="n">
        <v>0.02</v>
      </c>
      <c r="E218" s="13" t="n">
        <v>-0.03</v>
      </c>
      <c r="F218" s="13" t="n">
        <v>4.65</v>
      </c>
      <c r="G218" s="13" t="n">
        <v>-0.02</v>
      </c>
      <c r="H218" s="13" t="n">
        <v>0.01</v>
      </c>
      <c r="I218" s="13" t="n">
        <v>10.16</v>
      </c>
      <c r="J218" s="13" t="n">
        <v>56.8</v>
      </c>
      <c r="K218" s="13" t="n">
        <v>15.5</v>
      </c>
      <c r="L218" s="13" t="n">
        <v>33.7</v>
      </c>
      <c r="M218" s="13" t="n">
        <v>32.8</v>
      </c>
      <c r="N218" s="13" t="n">
        <v>82.4</v>
      </c>
      <c r="O218" s="26" t="n">
        <v>219422</v>
      </c>
      <c r="P218" s="26" t="n">
        <v>3974426</v>
      </c>
    </row>
    <row r="219" customFormat="false" ht="12.8" hidden="false" customHeight="false" outlineLevel="0" collapsed="false">
      <c r="A219" s="12" t="n">
        <v>7</v>
      </c>
      <c r="B219" s="13" t="s">
        <v>91</v>
      </c>
      <c r="C219" s="13" t="n">
        <v>5.88</v>
      </c>
      <c r="D219" s="13" t="n">
        <v>-0.02</v>
      </c>
      <c r="E219" s="13" t="n">
        <v>-0.43</v>
      </c>
      <c r="F219" s="13" t="n">
        <v>4.65</v>
      </c>
      <c r="G219" s="13" t="n">
        <v>-0.06</v>
      </c>
      <c r="H219" s="13" t="n">
        <v>0.001</v>
      </c>
      <c r="I219" s="13" t="n">
        <v>10.02</v>
      </c>
      <c r="J219" s="13" t="n">
        <v>56.3</v>
      </c>
      <c r="K219" s="13" t="n">
        <v>20.8</v>
      </c>
      <c r="L219" s="13" t="n">
        <v>35.5</v>
      </c>
      <c r="M219" s="13" t="n">
        <v>37.1</v>
      </c>
      <c r="N219" s="13" t="n">
        <v>79</v>
      </c>
      <c r="O219" s="26" t="n">
        <v>46165</v>
      </c>
      <c r="P219" s="26" t="n">
        <v>785156</v>
      </c>
    </row>
    <row r="220" customFormat="false" ht="12.8" hidden="false" customHeight="false" outlineLevel="0" collapsed="false">
      <c r="A220" s="12" t="n">
        <v>7</v>
      </c>
      <c r="B220" s="13" t="s">
        <v>92</v>
      </c>
      <c r="C220" s="13" t="n">
        <v>6.06</v>
      </c>
      <c r="D220" s="13" t="n">
        <v>-0.08</v>
      </c>
      <c r="E220" s="13" t="n">
        <v>-0.52</v>
      </c>
      <c r="F220" s="13" t="n">
        <v>4.65</v>
      </c>
      <c r="G220" s="13" t="n">
        <v>0.08</v>
      </c>
      <c r="H220" s="13" t="n">
        <v>-0.001</v>
      </c>
      <c r="I220" s="13" t="n">
        <v>10.19</v>
      </c>
      <c r="J220" s="13" t="n">
        <v>57.5</v>
      </c>
      <c r="K220" s="13" t="n">
        <v>17.9</v>
      </c>
      <c r="L220" s="13" t="n">
        <v>35.2</v>
      </c>
      <c r="M220" s="13" t="n">
        <v>32.7</v>
      </c>
      <c r="N220" s="13" t="n">
        <v>79.8</v>
      </c>
      <c r="O220" s="26" t="n">
        <v>42632</v>
      </c>
      <c r="P220" s="26" t="n">
        <v>703530</v>
      </c>
    </row>
    <row r="221" customFormat="false" ht="12.8" hidden="false" customHeight="false" outlineLevel="0" collapsed="false">
      <c r="A221" s="12" t="n">
        <v>7</v>
      </c>
      <c r="B221" s="13" t="s">
        <v>93</v>
      </c>
      <c r="C221" s="13" t="n">
        <v>6.09</v>
      </c>
      <c r="D221" s="13" t="n">
        <v>-0.16</v>
      </c>
      <c r="E221" s="13" t="n">
        <v>-0.67</v>
      </c>
      <c r="F221" s="13" t="n">
        <v>4.65</v>
      </c>
      <c r="G221" s="13" t="n">
        <v>0</v>
      </c>
      <c r="H221" s="13" t="n">
        <v>0.01</v>
      </c>
      <c r="I221" s="13" t="n">
        <v>9.93</v>
      </c>
      <c r="J221" s="13" t="n">
        <v>58</v>
      </c>
      <c r="K221" s="13" t="n">
        <v>23.6</v>
      </c>
      <c r="L221" s="13" t="n">
        <v>33.7</v>
      </c>
      <c r="M221" s="13" t="n">
        <v>31</v>
      </c>
      <c r="N221" s="13" t="n">
        <v>84.6</v>
      </c>
      <c r="O221" s="26" t="n">
        <v>28248</v>
      </c>
      <c r="P221" s="26" t="n">
        <v>464107</v>
      </c>
    </row>
    <row r="222" customFormat="false" ht="12.8" hidden="false" customHeight="false" outlineLevel="0" collapsed="false">
      <c r="A222" s="12" t="n">
        <v>7</v>
      </c>
      <c r="B222" s="13" t="s">
        <v>94</v>
      </c>
      <c r="C222" s="13" t="n">
        <v>6.24</v>
      </c>
      <c r="D222" s="13" t="n">
        <v>-0.27</v>
      </c>
      <c r="E222" s="13" t="n">
        <v>-0.52</v>
      </c>
      <c r="F222" s="13" t="n">
        <v>4.65</v>
      </c>
      <c r="G222" s="13" t="n">
        <v>-0.06</v>
      </c>
      <c r="H222" s="13" t="n">
        <v>-0.106</v>
      </c>
      <c r="I222" s="13" t="n">
        <v>9.94</v>
      </c>
      <c r="J222" s="13" t="n">
        <v>71.5</v>
      </c>
      <c r="K222" s="13" t="n">
        <v>25.6</v>
      </c>
      <c r="L222" s="13" t="n">
        <v>33.5</v>
      </c>
      <c r="M222" s="13" t="n">
        <v>35.8</v>
      </c>
      <c r="N222" s="13" t="n">
        <v>86.3</v>
      </c>
      <c r="O222" s="26" t="n">
        <v>34529</v>
      </c>
      <c r="P222" s="26" t="n">
        <v>553125</v>
      </c>
    </row>
    <row r="223" customFormat="false" ht="12.8" hidden="false" customHeight="false" outlineLevel="0" collapsed="false">
      <c r="A223" s="12" t="n">
        <v>7</v>
      </c>
      <c r="B223" s="13" t="s">
        <v>95</v>
      </c>
      <c r="C223" s="13" t="n">
        <v>5.66</v>
      </c>
      <c r="D223" s="13" t="n">
        <v>0.06</v>
      </c>
      <c r="E223" s="13" t="n">
        <v>-0.23</v>
      </c>
      <c r="F223" s="13" t="n">
        <v>4.65</v>
      </c>
      <c r="G223" s="13" t="n">
        <v>0.01</v>
      </c>
      <c r="H223" s="13" t="n">
        <v>0.01</v>
      </c>
      <c r="I223" s="13" t="n">
        <v>10.17</v>
      </c>
      <c r="J223" s="13" t="n">
        <v>65</v>
      </c>
      <c r="K223" s="13" t="n">
        <v>35.6</v>
      </c>
      <c r="L223" s="13" t="n">
        <v>32.4</v>
      </c>
      <c r="M223" s="13" t="n">
        <v>38.3</v>
      </c>
      <c r="N223" s="13" t="n">
        <v>81.8</v>
      </c>
      <c r="O223" s="26" t="n">
        <v>102689</v>
      </c>
      <c r="P223" s="26" t="n">
        <v>1814632</v>
      </c>
    </row>
    <row r="224" customFormat="false" ht="12.8" hidden="false" customHeight="false" outlineLevel="0" collapsed="false">
      <c r="A224" s="12" t="n">
        <v>7</v>
      </c>
      <c r="B224" s="13" t="s">
        <v>97</v>
      </c>
      <c r="C224" s="13" t="n">
        <v>5.41</v>
      </c>
      <c r="D224" s="13" t="n">
        <v>0.04</v>
      </c>
      <c r="E224" s="13" t="n">
        <v>-0.14</v>
      </c>
      <c r="F224" s="13" t="n">
        <v>4.65</v>
      </c>
      <c r="G224" s="13" t="n">
        <v>0</v>
      </c>
      <c r="H224" s="13" t="n">
        <v>0.01</v>
      </c>
      <c r="I224" s="13" t="n">
        <v>9.97</v>
      </c>
      <c r="J224" s="13" t="n">
        <v>59.3</v>
      </c>
      <c r="K224" s="13" t="n">
        <v>21.4</v>
      </c>
      <c r="L224" s="13" t="n">
        <v>33.4</v>
      </c>
      <c r="M224" s="13" t="n">
        <v>36.7</v>
      </c>
      <c r="N224" s="13" t="n">
        <v>81.8</v>
      </c>
      <c r="O224" s="26" t="n">
        <v>149727</v>
      </c>
      <c r="P224" s="26" t="n">
        <v>2768419</v>
      </c>
    </row>
    <row r="225" customFormat="false" ht="12.8" hidden="false" customHeight="false" outlineLevel="0" collapsed="false">
      <c r="A225" s="12" t="n">
        <v>7</v>
      </c>
      <c r="B225" s="13" t="s">
        <v>98</v>
      </c>
      <c r="C225" s="13" t="n">
        <v>5.83</v>
      </c>
      <c r="D225" s="13" t="n">
        <v>-0.17</v>
      </c>
      <c r="E225" s="13" t="n">
        <v>-0.1</v>
      </c>
      <c r="F225" s="13" t="n">
        <v>4.65</v>
      </c>
      <c r="G225" s="13" t="n">
        <v>0.14</v>
      </c>
      <c r="H225" s="13" t="n">
        <v>0.01</v>
      </c>
      <c r="I225" s="13" t="n">
        <v>10.36</v>
      </c>
      <c r="J225" s="13" t="n">
        <v>57.1</v>
      </c>
      <c r="K225" s="13" t="n">
        <v>20.2</v>
      </c>
      <c r="L225" s="13" t="n">
        <v>34.4</v>
      </c>
      <c r="M225" s="13" t="n">
        <v>33.7</v>
      </c>
      <c r="N225" s="13" t="n">
        <v>84.6</v>
      </c>
      <c r="O225" s="26" t="n">
        <v>62541</v>
      </c>
      <c r="P225" s="26" t="n">
        <v>1072325</v>
      </c>
    </row>
    <row r="226" customFormat="false" ht="12.8" hidden="false" customHeight="false" outlineLevel="0" collapsed="false">
      <c r="A226" s="12" t="n">
        <v>7</v>
      </c>
      <c r="B226" s="13" t="s">
        <v>99</v>
      </c>
      <c r="C226" s="13" t="n">
        <v>6.2</v>
      </c>
      <c r="D226" s="13" t="n">
        <v>-0.11</v>
      </c>
      <c r="E226" s="13" t="n">
        <v>-0.36</v>
      </c>
      <c r="F226" s="13" t="n">
        <v>4.65</v>
      </c>
      <c r="G226" s="13" t="n">
        <v>0.11</v>
      </c>
      <c r="H226" s="13" t="n">
        <v>-0.025</v>
      </c>
      <c r="I226" s="13" t="n">
        <v>10.47</v>
      </c>
      <c r="J226" s="13" t="n">
        <v>57</v>
      </c>
      <c r="K226" s="13" t="n">
        <v>27.2</v>
      </c>
      <c r="L226" s="13" t="n">
        <v>35.8</v>
      </c>
      <c r="M226" s="13" t="n">
        <v>31.1</v>
      </c>
      <c r="N226" s="13" t="n">
        <v>77</v>
      </c>
      <c r="O226" s="26" t="n">
        <v>40110</v>
      </c>
      <c r="P226" s="26" t="n">
        <v>647000</v>
      </c>
    </row>
    <row r="227" customFormat="false" ht="12.8" hidden="false" customHeight="false" outlineLevel="0" collapsed="false">
      <c r="A227" s="12" t="n">
        <v>7</v>
      </c>
      <c r="B227" s="13" t="s">
        <v>100</v>
      </c>
      <c r="C227" s="13" t="n">
        <v>5.99</v>
      </c>
      <c r="D227" s="13" t="n">
        <v>-0.05</v>
      </c>
      <c r="E227" s="13" t="n">
        <v>-0.35</v>
      </c>
      <c r="F227" s="13" t="n">
        <v>4.65</v>
      </c>
      <c r="G227" s="13" t="n">
        <v>-0.04</v>
      </c>
      <c r="H227" s="13" t="n">
        <v>0.01</v>
      </c>
      <c r="I227" s="13" t="n">
        <v>10.21</v>
      </c>
      <c r="J227" s="13" t="n">
        <v>55</v>
      </c>
      <c r="K227" s="13" t="n">
        <v>34.1</v>
      </c>
      <c r="L227" s="13" t="n">
        <v>33.5</v>
      </c>
      <c r="M227" s="13" t="n">
        <v>32.5</v>
      </c>
      <c r="N227" s="13" t="n">
        <v>80.6</v>
      </c>
      <c r="O227" s="26" t="n">
        <v>55436</v>
      </c>
      <c r="P227" s="26" t="n">
        <v>926064</v>
      </c>
    </row>
    <row r="228" customFormat="false" ht="12.8" hidden="false" customHeight="false" outlineLevel="0" collapsed="false">
      <c r="A228" s="12" t="n">
        <v>7</v>
      </c>
      <c r="B228" s="13" t="s">
        <v>101</v>
      </c>
      <c r="C228" s="13" t="n">
        <v>5.95</v>
      </c>
      <c r="D228" s="13" t="n">
        <v>-0.01</v>
      </c>
      <c r="E228" s="13" t="n">
        <v>-0.47</v>
      </c>
      <c r="F228" s="13" t="n">
        <v>4.65</v>
      </c>
      <c r="G228" s="13" t="n">
        <v>0.05</v>
      </c>
      <c r="H228" s="13" t="n">
        <v>0.01</v>
      </c>
      <c r="I228" s="13" t="n">
        <v>10.18</v>
      </c>
      <c r="J228" s="13" t="n">
        <v>63</v>
      </c>
      <c r="K228" s="13" t="n">
        <v>19.2</v>
      </c>
      <c r="L228" s="13" t="n">
        <v>33.2</v>
      </c>
      <c r="M228" s="13" t="n">
        <v>33.7</v>
      </c>
      <c r="N228" s="13" t="n">
        <v>81</v>
      </c>
      <c r="O228" s="26" t="n">
        <v>73494</v>
      </c>
      <c r="P228" s="26" t="n">
        <v>1235887</v>
      </c>
    </row>
    <row r="229" customFormat="false" ht="12.8" hidden="false" customHeight="false" outlineLevel="0" collapsed="false">
      <c r="A229" s="12" t="n">
        <v>7</v>
      </c>
      <c r="B229" s="13" t="s">
        <v>102</v>
      </c>
      <c r="C229" s="13" t="n">
        <v>6.03</v>
      </c>
      <c r="D229" s="13" t="n">
        <v>-0.17</v>
      </c>
      <c r="E229" s="13" t="n">
        <v>-0.39</v>
      </c>
      <c r="F229" s="13" t="n">
        <v>4.65</v>
      </c>
      <c r="G229" s="13" t="n">
        <v>-0.01</v>
      </c>
      <c r="H229" s="13" t="n">
        <v>0.01</v>
      </c>
      <c r="I229" s="13" t="n">
        <v>10.13</v>
      </c>
      <c r="J229" s="13" t="n">
        <v>68</v>
      </c>
      <c r="K229" s="13" t="n">
        <v>17.1</v>
      </c>
      <c r="L229" s="13" t="n">
        <v>31</v>
      </c>
      <c r="M229" s="13" t="n">
        <v>29.9</v>
      </c>
      <c r="N229" s="13" t="n">
        <v>79.1</v>
      </c>
      <c r="O229" s="26" t="n">
        <v>35562</v>
      </c>
      <c r="P229" s="26" t="n">
        <v>589444</v>
      </c>
    </row>
    <row r="230" customFormat="false" ht="12.8" hidden="false" customHeight="false" outlineLevel="0" collapsed="false">
      <c r="A230" s="12" t="n">
        <v>7</v>
      </c>
      <c r="B230" s="13" t="s">
        <v>103</v>
      </c>
      <c r="C230" s="13" t="n">
        <v>5.9</v>
      </c>
      <c r="D230" s="13" t="n">
        <v>0.04</v>
      </c>
      <c r="E230" s="13" t="n">
        <v>-0.29</v>
      </c>
      <c r="F230" s="13" t="n">
        <v>4.65</v>
      </c>
      <c r="G230" s="13" t="n">
        <v>0</v>
      </c>
      <c r="H230" s="13" t="n">
        <v>0.01</v>
      </c>
      <c r="I230" s="13" t="n">
        <v>10.31</v>
      </c>
      <c r="J230" s="13" t="n">
        <v>57.9</v>
      </c>
      <c r="K230" s="13" t="n">
        <v>21.5</v>
      </c>
      <c r="L230" s="13" t="n">
        <v>34.1</v>
      </c>
      <c r="M230" s="13" t="n">
        <v>33.3</v>
      </c>
      <c r="N230" s="13" t="n">
        <v>83.9</v>
      </c>
      <c r="O230" s="26" t="n">
        <v>286132</v>
      </c>
      <c r="P230" s="26" t="n">
        <v>4846309</v>
      </c>
    </row>
    <row r="231" customFormat="false" ht="12.8" hidden="false" customHeight="false" outlineLevel="0" collapsed="false">
      <c r="A231" s="12" t="n">
        <v>7</v>
      </c>
      <c r="B231" s="13" t="s">
        <v>104</v>
      </c>
      <c r="C231" s="13" t="n">
        <v>6.93</v>
      </c>
      <c r="D231" s="13" t="n">
        <v>-0.19</v>
      </c>
      <c r="E231" s="13" t="n">
        <v>-0.68</v>
      </c>
      <c r="F231" s="13" t="n">
        <v>4.65</v>
      </c>
      <c r="G231" s="13" t="n">
        <v>0.06</v>
      </c>
      <c r="H231" s="13" t="n">
        <v>0.01</v>
      </c>
      <c r="I231" s="13" t="n">
        <v>10.78</v>
      </c>
      <c r="J231" s="13" t="n">
        <v>58.9</v>
      </c>
      <c r="K231" s="13" t="n">
        <v>24.8</v>
      </c>
      <c r="L231" s="13" t="n">
        <v>34.5</v>
      </c>
      <c r="M231" s="13" t="n">
        <v>34.8</v>
      </c>
      <c r="N231" s="13" t="n">
        <v>85.1</v>
      </c>
      <c r="O231" s="26" t="n">
        <v>46552</v>
      </c>
      <c r="P231" s="26" t="n">
        <v>671525</v>
      </c>
    </row>
    <row r="232" customFormat="false" ht="12.8" hidden="false" customHeight="false" outlineLevel="0" collapsed="false">
      <c r="A232" s="12" t="n">
        <v>7</v>
      </c>
      <c r="B232" s="13" t="s">
        <v>105</v>
      </c>
      <c r="C232" s="13" t="n">
        <v>6.7</v>
      </c>
      <c r="D232" s="13" t="n">
        <v>-0.27</v>
      </c>
      <c r="E232" s="13" t="n">
        <v>-0.76</v>
      </c>
      <c r="F232" s="13" t="n">
        <v>4.65</v>
      </c>
      <c r="G232" s="13" t="n">
        <v>0.07</v>
      </c>
      <c r="H232" s="13" t="n">
        <v>0.01</v>
      </c>
      <c r="I232" s="13" t="n">
        <v>10.41</v>
      </c>
      <c r="J232" s="13" t="n">
        <v>59.3</v>
      </c>
      <c r="K232" s="13" t="n">
        <v>25.6</v>
      </c>
      <c r="L232" s="13" t="n">
        <v>34.5</v>
      </c>
      <c r="M232" s="13" t="n">
        <v>33.8</v>
      </c>
      <c r="N232" s="13" t="n">
        <v>84.7</v>
      </c>
      <c r="O232" s="26" t="n">
        <v>68580</v>
      </c>
      <c r="P232" s="26" t="n">
        <v>1024037</v>
      </c>
    </row>
    <row r="233" customFormat="false" ht="12.8" hidden="false" customHeight="false" outlineLevel="0" collapsed="false">
      <c r="A233" s="12" t="n">
        <v>7</v>
      </c>
      <c r="B233" s="13" t="s">
        <v>106</v>
      </c>
      <c r="C233" s="13" t="n">
        <v>6.34</v>
      </c>
      <c r="D233" s="13" t="n">
        <v>-0.1</v>
      </c>
      <c r="E233" s="13" t="n">
        <v>-0.6</v>
      </c>
      <c r="F233" s="13" t="n">
        <v>4.65</v>
      </c>
      <c r="G233" s="13" t="n">
        <v>-0.03</v>
      </c>
      <c r="H233" s="13" t="n">
        <v>-0.137</v>
      </c>
      <c r="I233" s="13" t="n">
        <v>10.12</v>
      </c>
      <c r="J233" s="13" t="n">
        <v>64.1</v>
      </c>
      <c r="K233" s="13" t="n">
        <v>38.3</v>
      </c>
      <c r="L233" s="13" t="n">
        <v>34</v>
      </c>
      <c r="M233" s="13" t="n">
        <v>38.9</v>
      </c>
      <c r="N233" s="13" t="n">
        <v>85.1</v>
      </c>
      <c r="O233" s="26" t="n">
        <v>93665</v>
      </c>
      <c r="P233" s="26" t="n">
        <v>1477217</v>
      </c>
    </row>
    <row r="234" customFormat="false" ht="12.8" hidden="false" customHeight="false" outlineLevel="0" collapsed="false">
      <c r="A234" s="12" t="n">
        <v>7</v>
      </c>
      <c r="B234" s="13" t="s">
        <v>107</v>
      </c>
      <c r="C234" s="13" t="n">
        <v>6.41</v>
      </c>
      <c r="D234" s="13" t="n">
        <v>-0.22</v>
      </c>
      <c r="E234" s="13" t="n">
        <v>-0.57</v>
      </c>
      <c r="F234" s="13" t="n">
        <v>4.65</v>
      </c>
      <c r="G234" s="13" t="n">
        <v>0.02</v>
      </c>
      <c r="H234" s="13" t="n">
        <v>-0.048</v>
      </c>
      <c r="I234" s="13" t="n">
        <v>10.25</v>
      </c>
      <c r="J234" s="13" t="n">
        <v>66.6</v>
      </c>
      <c r="K234" s="13" t="n">
        <v>30.8</v>
      </c>
      <c r="L234" s="13" t="n">
        <v>34.3</v>
      </c>
      <c r="M234" s="13" t="n">
        <v>37.5</v>
      </c>
      <c r="N234" s="13" t="n">
        <v>82.8</v>
      </c>
      <c r="O234" s="26" t="n">
        <v>61836</v>
      </c>
      <c r="P234" s="26" t="n">
        <v>965036</v>
      </c>
    </row>
    <row r="235" customFormat="false" ht="12.8" hidden="false" customHeight="false" outlineLevel="0" collapsed="false">
      <c r="A235" s="12" t="n">
        <v>7</v>
      </c>
      <c r="B235" s="13" t="s">
        <v>108</v>
      </c>
      <c r="C235" s="13" t="n">
        <v>6.21</v>
      </c>
      <c r="D235" s="13" t="n">
        <v>-0.13</v>
      </c>
      <c r="E235" s="13" t="n">
        <v>-0.75</v>
      </c>
      <c r="F235" s="13" t="n">
        <v>4.65</v>
      </c>
      <c r="G235" s="13" t="n">
        <v>0.15</v>
      </c>
      <c r="H235" s="13" t="n">
        <v>-0.048</v>
      </c>
      <c r="I235" s="13" t="n">
        <v>10.09</v>
      </c>
      <c r="J235" s="13" t="n">
        <v>60.1</v>
      </c>
      <c r="K235" s="13" t="n">
        <v>20.7</v>
      </c>
      <c r="L235" s="13" t="n">
        <v>34.5</v>
      </c>
      <c r="M235" s="13" t="n">
        <v>34.1</v>
      </c>
      <c r="N235" s="13" t="n">
        <v>85.9</v>
      </c>
      <c r="O235" s="26" t="n">
        <v>57996</v>
      </c>
      <c r="P235" s="26" t="n">
        <v>933168</v>
      </c>
    </row>
    <row r="236" customFormat="false" ht="12.8" hidden="false" customHeight="false" outlineLevel="0" collapsed="false">
      <c r="A236" s="12" t="n">
        <v>7</v>
      </c>
      <c r="B236" s="13" t="s">
        <v>109</v>
      </c>
      <c r="C236" s="13" t="n">
        <v>6.65</v>
      </c>
      <c r="D236" s="13" t="n">
        <v>-0.12</v>
      </c>
      <c r="E236" s="13" t="n">
        <v>-0.9</v>
      </c>
      <c r="F236" s="13" t="n">
        <v>4.65</v>
      </c>
      <c r="G236" s="13" t="n">
        <v>0.01</v>
      </c>
      <c r="H236" s="13" t="n">
        <v>0.01</v>
      </c>
      <c r="I236" s="13" t="n">
        <v>10.31</v>
      </c>
      <c r="J236" s="13" t="n">
        <v>51.6</v>
      </c>
      <c r="K236" s="13" t="n">
        <v>21.5</v>
      </c>
      <c r="L236" s="13" t="n">
        <v>34.1</v>
      </c>
      <c r="M236" s="13" t="n">
        <v>39</v>
      </c>
      <c r="N236" s="13" t="n">
        <v>87.5</v>
      </c>
      <c r="O236" s="26" t="n">
        <v>92510</v>
      </c>
      <c r="P236" s="26" t="n">
        <v>1390162</v>
      </c>
    </row>
    <row r="237" customFormat="false" ht="12.8" hidden="false" customHeight="false" outlineLevel="0" collapsed="false">
      <c r="A237" s="12" t="n">
        <v>7</v>
      </c>
      <c r="B237" s="13" t="s">
        <v>110</v>
      </c>
      <c r="C237" s="13" t="n">
        <v>6.41</v>
      </c>
      <c r="D237" s="13" t="n">
        <v>0.11</v>
      </c>
      <c r="E237" s="13" t="n">
        <v>-1.48</v>
      </c>
      <c r="F237" s="13" t="n">
        <v>4.65</v>
      </c>
      <c r="G237" s="13" t="n">
        <v>-0.25</v>
      </c>
      <c r="H237" s="13" t="n">
        <v>-0.002</v>
      </c>
      <c r="I237" s="13" t="n">
        <v>9.44</v>
      </c>
      <c r="J237" s="13" t="n">
        <v>60.2</v>
      </c>
      <c r="K237" s="13" t="n">
        <v>28.8</v>
      </c>
      <c r="L237" s="13" t="n">
        <v>33.9</v>
      </c>
      <c r="M237" s="13" t="n">
        <v>33.9</v>
      </c>
      <c r="N237" s="13" t="n">
        <v>90.1</v>
      </c>
      <c r="O237" s="26" t="n">
        <v>78124</v>
      </c>
      <c r="P237" s="26" t="n">
        <v>1218963</v>
      </c>
    </row>
    <row r="238" customFormat="false" ht="12.8" hidden="false" customHeight="false" outlineLevel="0" collapsed="false">
      <c r="A238" s="12" t="n">
        <v>8</v>
      </c>
      <c r="B238" s="13" t="s">
        <v>42</v>
      </c>
      <c r="C238" s="13" t="n">
        <v>6.21</v>
      </c>
      <c r="D238" s="13" t="n">
        <v>-0.33</v>
      </c>
      <c r="E238" s="13" t="n">
        <v>-0.19</v>
      </c>
      <c r="F238" s="13" t="n">
        <v>4.55</v>
      </c>
      <c r="G238" s="13" t="n">
        <v>0.03</v>
      </c>
      <c r="H238" s="13" t="n">
        <v>0.01</v>
      </c>
      <c r="I238" s="13" t="n">
        <v>10.28</v>
      </c>
      <c r="J238" s="13" t="n">
        <v>56.1</v>
      </c>
      <c r="K238" s="13" t="n">
        <v>16</v>
      </c>
      <c r="L238" s="13" t="n">
        <v>32.2</v>
      </c>
      <c r="M238" s="13" t="n">
        <v>33.3</v>
      </c>
      <c r="N238" s="13" t="n">
        <v>87.9</v>
      </c>
      <c r="O238" s="26" t="n">
        <v>285581</v>
      </c>
      <c r="P238" s="26" t="n">
        <v>4598081</v>
      </c>
    </row>
    <row r="239" customFormat="false" ht="12.8" hidden="false" customHeight="false" outlineLevel="0" collapsed="false">
      <c r="A239" s="12" t="n">
        <v>8</v>
      </c>
      <c r="B239" s="13" t="s">
        <v>45</v>
      </c>
      <c r="C239" s="13" t="n">
        <v>6.38</v>
      </c>
      <c r="D239" s="13" t="n">
        <v>-0.41</v>
      </c>
      <c r="E239" s="13" t="n">
        <v>-0.77</v>
      </c>
      <c r="F239" s="13" t="n">
        <v>4.55</v>
      </c>
      <c r="G239" s="13" t="n">
        <v>0.11</v>
      </c>
      <c r="H239" s="13" t="n">
        <v>0.01</v>
      </c>
      <c r="I239" s="13" t="n">
        <v>9.85</v>
      </c>
      <c r="J239" s="13" t="n">
        <v>63.2</v>
      </c>
      <c r="K239" s="13" t="n">
        <v>29.2</v>
      </c>
      <c r="L239" s="13" t="n">
        <v>31.6</v>
      </c>
      <c r="M239" s="13" t="n">
        <v>32.9</v>
      </c>
      <c r="N239" s="13" t="n">
        <v>88.4</v>
      </c>
      <c r="O239" s="26" t="n">
        <v>64474</v>
      </c>
      <c r="P239" s="26" t="n">
        <v>1010961</v>
      </c>
    </row>
    <row r="240" customFormat="false" ht="12.8" hidden="false" customHeight="false" outlineLevel="0" collapsed="false">
      <c r="A240" s="12" t="n">
        <v>8</v>
      </c>
      <c r="B240" s="13" t="s">
        <v>46</v>
      </c>
      <c r="C240" s="13" t="n">
        <v>6.02</v>
      </c>
      <c r="D240" s="13" t="n">
        <v>-0.37</v>
      </c>
      <c r="E240" s="13" t="n">
        <v>-0.64</v>
      </c>
      <c r="F240" s="13" t="n">
        <v>4.55</v>
      </c>
      <c r="G240" s="13" t="n">
        <v>-0.06</v>
      </c>
      <c r="H240" s="13" t="n">
        <v>0</v>
      </c>
      <c r="I240" s="13" t="n">
        <v>9.51</v>
      </c>
      <c r="J240" s="13" t="n">
        <v>65.7</v>
      </c>
      <c r="K240" s="13" t="n">
        <v>21.8</v>
      </c>
      <c r="L240" s="13" t="n">
        <v>33.2</v>
      </c>
      <c r="M240" s="13" t="n">
        <v>32.8</v>
      </c>
      <c r="N240" s="13" t="n">
        <v>90.2</v>
      </c>
      <c r="O240" s="26" t="n">
        <v>56283</v>
      </c>
      <c r="P240" s="26" t="n">
        <v>934772</v>
      </c>
    </row>
    <row r="241" customFormat="false" ht="12.8" hidden="false" customHeight="false" outlineLevel="0" collapsed="false">
      <c r="A241" s="12" t="n">
        <v>8</v>
      </c>
      <c r="B241" s="13" t="s">
        <v>48</v>
      </c>
      <c r="C241" s="13" t="n">
        <v>5.99</v>
      </c>
      <c r="D241" s="13" t="n">
        <v>-0.16</v>
      </c>
      <c r="E241" s="13" t="n">
        <v>-0.35</v>
      </c>
      <c r="F241" s="13" t="n">
        <v>4.55</v>
      </c>
      <c r="G241" s="13" t="n">
        <v>0.06</v>
      </c>
      <c r="H241" s="13" t="n">
        <v>0.01</v>
      </c>
      <c r="I241" s="13" t="n">
        <v>10.1</v>
      </c>
      <c r="J241" s="13" t="n">
        <v>65.8</v>
      </c>
      <c r="K241" s="13" t="n">
        <v>26.6</v>
      </c>
      <c r="L241" s="13" t="n">
        <v>32.2</v>
      </c>
      <c r="M241" s="13" t="n">
        <v>33.9</v>
      </c>
      <c r="N241" s="13" t="n">
        <v>89.4</v>
      </c>
      <c r="O241" s="26" t="n">
        <v>109889</v>
      </c>
      <c r="P241" s="26" t="n">
        <v>1834654</v>
      </c>
    </row>
    <row r="242" customFormat="false" ht="12.8" hidden="false" customHeight="false" outlineLevel="0" collapsed="false">
      <c r="A242" s="12" t="n">
        <v>8</v>
      </c>
      <c r="B242" s="13" t="s">
        <v>49</v>
      </c>
      <c r="C242" s="13" t="n">
        <v>6.81</v>
      </c>
      <c r="D242" s="13" t="n">
        <v>-0.66</v>
      </c>
      <c r="E242" s="13" t="n">
        <v>-0.69</v>
      </c>
      <c r="F242" s="13" t="n">
        <v>4.55</v>
      </c>
      <c r="G242" s="13" t="n">
        <v>0.04</v>
      </c>
      <c r="H242" s="13" t="n">
        <v>-0.03</v>
      </c>
      <c r="I242" s="13" t="n">
        <v>10.01</v>
      </c>
      <c r="J242" s="13" t="n">
        <v>64.3</v>
      </c>
      <c r="K242" s="13" t="n">
        <v>32.8</v>
      </c>
      <c r="L242" s="13" t="n">
        <v>34</v>
      </c>
      <c r="M242" s="13" t="n">
        <v>36</v>
      </c>
      <c r="N242" s="13" t="n">
        <v>88.6</v>
      </c>
      <c r="O242" s="26" t="n">
        <v>49818</v>
      </c>
      <c r="P242" s="26" t="n">
        <v>731356</v>
      </c>
    </row>
    <row r="243" customFormat="false" ht="12.8" hidden="false" customHeight="false" outlineLevel="0" collapsed="false">
      <c r="A243" s="12" t="n">
        <v>8</v>
      </c>
      <c r="B243" s="13" t="s">
        <v>50</v>
      </c>
      <c r="C243" s="13" t="n">
        <v>6.15</v>
      </c>
      <c r="D243" s="13" t="n">
        <v>-0.33</v>
      </c>
      <c r="E243" s="13" t="n">
        <v>-0.5</v>
      </c>
      <c r="F243" s="13" t="n">
        <v>4.55</v>
      </c>
      <c r="G243" s="13" t="n">
        <v>-0.04</v>
      </c>
      <c r="H243" s="13" t="n">
        <v>-0.04</v>
      </c>
      <c r="I243" s="13" t="n">
        <v>9.75</v>
      </c>
      <c r="J243" s="13" t="n">
        <v>79.2</v>
      </c>
      <c r="K243" s="13" t="n">
        <v>30.6</v>
      </c>
      <c r="L243" s="13" t="n">
        <v>33</v>
      </c>
      <c r="M243" s="13" t="n">
        <v>35.8</v>
      </c>
      <c r="N243" s="13" t="n">
        <v>90.2</v>
      </c>
      <c r="O243" s="26" t="n">
        <v>57521</v>
      </c>
      <c r="P243" s="26" t="n">
        <v>934604</v>
      </c>
    </row>
    <row r="244" customFormat="false" ht="12.8" hidden="false" customHeight="false" outlineLevel="0" collapsed="false">
      <c r="A244" s="12" t="n">
        <v>8</v>
      </c>
      <c r="B244" s="13" t="s">
        <v>51</v>
      </c>
      <c r="C244" s="13" t="n">
        <v>5.48</v>
      </c>
      <c r="D244" s="13" t="n">
        <v>-0.21</v>
      </c>
      <c r="E244" s="13" t="n">
        <v>-0.32</v>
      </c>
      <c r="F244" s="13" t="n">
        <v>4.55</v>
      </c>
      <c r="G244" s="13" t="n">
        <v>0.02</v>
      </c>
      <c r="H244" s="13" t="n">
        <v>-0.01</v>
      </c>
      <c r="I244" s="13" t="n">
        <v>9.5</v>
      </c>
      <c r="J244" s="13" t="n">
        <v>62.8</v>
      </c>
      <c r="K244" s="13" t="n">
        <v>25.8</v>
      </c>
      <c r="L244" s="13" t="n">
        <v>33.5</v>
      </c>
      <c r="M244" s="13" t="n">
        <v>32.2</v>
      </c>
      <c r="N244" s="13" t="n">
        <v>88.7</v>
      </c>
      <c r="O244" s="26" t="n">
        <v>90594</v>
      </c>
      <c r="P244" s="26" t="n">
        <v>1654213</v>
      </c>
    </row>
    <row r="245" customFormat="false" ht="12.8" hidden="false" customHeight="false" outlineLevel="0" collapsed="false">
      <c r="A245" s="12" t="n">
        <v>8</v>
      </c>
      <c r="B245" s="13" t="s">
        <v>52</v>
      </c>
      <c r="C245" s="13" t="n">
        <v>5.06</v>
      </c>
      <c r="D245" s="13" t="n">
        <v>-0.05</v>
      </c>
      <c r="E245" s="13" t="n">
        <v>0</v>
      </c>
      <c r="F245" s="13" t="n">
        <v>4.55</v>
      </c>
      <c r="G245" s="13" t="n">
        <v>-0.05</v>
      </c>
      <c r="H245" s="13" t="n">
        <v>0.01</v>
      </c>
      <c r="I245" s="13" t="n">
        <v>9.52</v>
      </c>
      <c r="J245" s="13" t="n">
        <v>58.4</v>
      </c>
      <c r="K245" s="13" t="n">
        <v>16.7</v>
      </c>
      <c r="L245" s="13" t="n">
        <v>32.4</v>
      </c>
      <c r="M245" s="13" t="n">
        <v>32.2</v>
      </c>
      <c r="N245" s="13" t="n">
        <v>86.8</v>
      </c>
      <c r="O245" s="26" t="n">
        <v>100749</v>
      </c>
      <c r="P245" s="26" t="n">
        <v>1991734</v>
      </c>
    </row>
    <row r="246" customFormat="false" ht="12.8" hidden="false" customHeight="false" outlineLevel="0" collapsed="false">
      <c r="A246" s="12" t="n">
        <v>8</v>
      </c>
      <c r="B246" s="13" t="s">
        <v>53</v>
      </c>
      <c r="C246" s="13" t="n">
        <v>5.43</v>
      </c>
      <c r="D246" s="13" t="n">
        <v>-0.09</v>
      </c>
      <c r="E246" s="13" t="n">
        <v>-0.09</v>
      </c>
      <c r="F246" s="13" t="n">
        <v>4.55</v>
      </c>
      <c r="G246" s="13" t="n">
        <v>0.03</v>
      </c>
      <c r="H246" s="13" t="n">
        <v>0.01</v>
      </c>
      <c r="I246" s="13" t="n">
        <v>9.82</v>
      </c>
      <c r="J246" s="13" t="n">
        <v>63.8</v>
      </c>
      <c r="K246" s="13" t="n">
        <v>25.9</v>
      </c>
      <c r="L246" s="13" t="n">
        <v>33.6</v>
      </c>
      <c r="M246" s="13" t="n">
        <v>36</v>
      </c>
      <c r="N246" s="13" t="n">
        <v>86.4</v>
      </c>
      <c r="O246" s="26" t="n">
        <v>79419</v>
      </c>
      <c r="P246" s="26" t="n">
        <v>1463259</v>
      </c>
    </row>
    <row r="247" customFormat="false" ht="12.8" hidden="false" customHeight="false" outlineLevel="0" collapsed="false">
      <c r="A247" s="12" t="n">
        <v>8</v>
      </c>
      <c r="B247" s="13" t="s">
        <v>54</v>
      </c>
      <c r="C247" s="13" t="n">
        <v>5.24</v>
      </c>
      <c r="D247" s="13" t="n">
        <v>-0.02</v>
      </c>
      <c r="E247" s="13" t="n">
        <v>-0.09</v>
      </c>
      <c r="F247" s="13" t="n">
        <v>4.55</v>
      </c>
      <c r="G247" s="13" t="n">
        <v>-0.01</v>
      </c>
      <c r="H247" s="13" t="n">
        <v>0.01</v>
      </c>
      <c r="I247" s="13" t="n">
        <v>9.68</v>
      </c>
      <c r="J247" s="13" t="n">
        <v>57.4</v>
      </c>
      <c r="K247" s="13" t="n">
        <v>14.5</v>
      </c>
      <c r="L247" s="13" t="n">
        <v>32.9</v>
      </c>
      <c r="M247" s="13" t="n">
        <v>31.8</v>
      </c>
      <c r="N247" s="13" t="n">
        <v>87.3</v>
      </c>
      <c r="O247" s="26" t="n">
        <v>89566</v>
      </c>
      <c r="P247" s="26" t="n">
        <v>1709988</v>
      </c>
    </row>
    <row r="248" customFormat="false" ht="12.8" hidden="false" customHeight="false" outlineLevel="0" collapsed="false">
      <c r="A248" s="12" t="n">
        <v>8</v>
      </c>
      <c r="B248" s="13" t="s">
        <v>56</v>
      </c>
      <c r="C248" s="13" t="n">
        <v>5.03</v>
      </c>
      <c r="D248" s="13" t="n">
        <v>-0.02</v>
      </c>
      <c r="E248" s="13" t="n">
        <v>0.1</v>
      </c>
      <c r="F248" s="13" t="n">
        <v>4.55</v>
      </c>
      <c r="G248" s="13" t="n">
        <v>0</v>
      </c>
      <c r="H248" s="13" t="n">
        <v>0.01</v>
      </c>
      <c r="I248" s="13" t="n">
        <v>9.67</v>
      </c>
      <c r="J248" s="13" t="n">
        <v>51</v>
      </c>
      <c r="K248" s="13" t="n">
        <v>10.5</v>
      </c>
      <c r="L248" s="13" t="n">
        <v>33.1</v>
      </c>
      <c r="M248" s="13" t="n">
        <v>31.9</v>
      </c>
      <c r="N248" s="13" t="n">
        <v>87.2</v>
      </c>
      <c r="O248" s="26" t="n">
        <v>208126</v>
      </c>
      <c r="P248" s="26" t="n">
        <v>4134084</v>
      </c>
    </row>
    <row r="249" customFormat="false" ht="12.8" hidden="false" customHeight="false" outlineLevel="0" collapsed="false">
      <c r="A249" s="12" t="n">
        <v>8</v>
      </c>
      <c r="B249" s="13" t="s">
        <v>58</v>
      </c>
      <c r="C249" s="13" t="n">
        <v>5.1</v>
      </c>
      <c r="D249" s="13" t="n">
        <v>-0.06</v>
      </c>
      <c r="E249" s="13" t="n">
        <v>0.1</v>
      </c>
      <c r="F249" s="13" t="n">
        <v>4.55</v>
      </c>
      <c r="G249" s="13" t="n">
        <v>0.02</v>
      </c>
      <c r="H249" s="13" t="n">
        <v>0.01</v>
      </c>
      <c r="I249" s="13" t="n">
        <v>9.73</v>
      </c>
      <c r="J249" s="13" t="n">
        <v>51.6</v>
      </c>
      <c r="K249" s="13" t="n">
        <v>17.2</v>
      </c>
      <c r="L249" s="13" t="n">
        <v>32.9</v>
      </c>
      <c r="M249" s="13" t="n">
        <v>32.4</v>
      </c>
      <c r="N249" s="13" t="n">
        <v>87</v>
      </c>
      <c r="O249" s="26" t="n">
        <v>152723</v>
      </c>
      <c r="P249" s="26" t="n">
        <v>2991706</v>
      </c>
    </row>
    <row r="250" customFormat="false" ht="12.8" hidden="false" customHeight="false" outlineLevel="0" collapsed="false">
      <c r="A250" s="12" t="n">
        <v>8</v>
      </c>
      <c r="B250" s="13" t="s">
        <v>60</v>
      </c>
      <c r="C250" s="13" t="n">
        <v>4.49</v>
      </c>
      <c r="D250" s="13" t="n">
        <v>0.16</v>
      </c>
      <c r="E250" s="13" t="n">
        <v>0.62</v>
      </c>
      <c r="F250" s="13" t="n">
        <v>4.55</v>
      </c>
      <c r="G250" s="13" t="n">
        <v>0.02</v>
      </c>
      <c r="H250" s="13" t="n">
        <v>0.01</v>
      </c>
      <c r="I250" s="13" t="n">
        <v>9.85</v>
      </c>
      <c r="J250" s="13" t="n">
        <v>54.6</v>
      </c>
      <c r="K250" s="13" t="n">
        <v>14.2</v>
      </c>
      <c r="L250" s="13" t="n">
        <v>34</v>
      </c>
      <c r="M250" s="13" t="n">
        <v>33.3</v>
      </c>
      <c r="N250" s="13" t="n">
        <v>86.1</v>
      </c>
      <c r="O250" s="26" t="n">
        <v>885483</v>
      </c>
      <c r="P250" s="26" t="n">
        <v>19726047</v>
      </c>
    </row>
    <row r="251" customFormat="false" ht="12.8" hidden="false" customHeight="false" outlineLevel="0" collapsed="false">
      <c r="A251" s="12" t="n">
        <v>8</v>
      </c>
      <c r="B251" s="13" t="s">
        <v>62</v>
      </c>
      <c r="C251" s="13" t="n">
        <v>5.08</v>
      </c>
      <c r="D251" s="13" t="n">
        <v>-0.07</v>
      </c>
      <c r="E251" s="13" t="n">
        <v>0.34</v>
      </c>
      <c r="F251" s="13" t="n">
        <v>4.55</v>
      </c>
      <c r="G251" s="13" t="n">
        <v>0.05</v>
      </c>
      <c r="H251" s="13" t="n">
        <v>0.01</v>
      </c>
      <c r="I251" s="13" t="n">
        <v>9.92</v>
      </c>
      <c r="J251" s="13" t="n">
        <v>51.8</v>
      </c>
      <c r="K251" s="13" t="n">
        <v>13.8</v>
      </c>
      <c r="L251" s="13" t="n">
        <v>32.8</v>
      </c>
      <c r="M251" s="13" t="n">
        <v>32.9</v>
      </c>
      <c r="N251" s="13" t="n">
        <v>86.5</v>
      </c>
      <c r="O251" s="26" t="n">
        <v>259474</v>
      </c>
      <c r="P251" s="26" t="n">
        <v>5103110</v>
      </c>
    </row>
    <row r="252" customFormat="false" ht="12.8" hidden="false" customHeight="false" outlineLevel="0" collapsed="false">
      <c r="A252" s="12" t="n">
        <v>8</v>
      </c>
      <c r="B252" s="13" t="s">
        <v>64</v>
      </c>
      <c r="C252" s="13" t="n">
        <v>5.28</v>
      </c>
      <c r="D252" s="13" t="n">
        <v>-0.15</v>
      </c>
      <c r="E252" s="13" t="n">
        <v>-0.28</v>
      </c>
      <c r="F252" s="13" t="n">
        <v>4.55</v>
      </c>
      <c r="G252" s="13" t="n">
        <v>0.03</v>
      </c>
      <c r="H252" s="13" t="n">
        <v>-0.21</v>
      </c>
      <c r="I252" s="13" t="n">
        <v>9.21</v>
      </c>
      <c r="J252" s="13" t="n">
        <v>72.1</v>
      </c>
      <c r="K252" s="13" t="n">
        <v>28.4</v>
      </c>
      <c r="L252" s="13" t="n">
        <v>35.5</v>
      </c>
      <c r="M252" s="13" t="n">
        <v>38.7</v>
      </c>
      <c r="N252" s="13" t="n">
        <v>88.6</v>
      </c>
      <c r="O252" s="26" t="n">
        <v>106964</v>
      </c>
      <c r="P252" s="26" t="n">
        <v>2027656</v>
      </c>
    </row>
    <row r="253" customFormat="false" ht="12.8" hidden="false" customHeight="false" outlineLevel="0" collapsed="false">
      <c r="A253" s="12" t="n">
        <v>8</v>
      </c>
      <c r="B253" s="13" t="s">
        <v>66</v>
      </c>
      <c r="C253" s="13" t="n">
        <v>4.97</v>
      </c>
      <c r="D253" s="13" t="n">
        <v>-0.08</v>
      </c>
      <c r="E253" s="13" t="n">
        <v>0.11</v>
      </c>
      <c r="F253" s="13" t="n">
        <v>4.55</v>
      </c>
      <c r="G253" s="13" t="n">
        <v>0.03</v>
      </c>
      <c r="H253" s="13" t="n">
        <v>0.01</v>
      </c>
      <c r="I253" s="13" t="n">
        <v>9.59</v>
      </c>
      <c r="J253" s="13" t="n">
        <v>73.7</v>
      </c>
      <c r="K253" s="13" t="n">
        <v>28.4</v>
      </c>
      <c r="L253" s="13" t="n">
        <v>33</v>
      </c>
      <c r="M253" s="13" t="n">
        <v>38.4</v>
      </c>
      <c r="N253" s="13" t="n">
        <v>87.5</v>
      </c>
      <c r="O253" s="26" t="n">
        <v>55576</v>
      </c>
      <c r="P253" s="26" t="n">
        <v>1117857</v>
      </c>
    </row>
    <row r="254" customFormat="false" ht="12.8" hidden="false" customHeight="false" outlineLevel="0" collapsed="false">
      <c r="A254" s="12" t="n">
        <v>8</v>
      </c>
      <c r="B254" s="13" t="s">
        <v>67</v>
      </c>
      <c r="C254" s="13" t="n">
        <v>5.12</v>
      </c>
      <c r="D254" s="13" t="n">
        <v>0</v>
      </c>
      <c r="E254" s="13" t="n">
        <v>0.06</v>
      </c>
      <c r="F254" s="13" t="n">
        <v>4.55</v>
      </c>
      <c r="G254" s="13" t="n">
        <v>0.01</v>
      </c>
      <c r="H254" s="13" t="n">
        <v>-0.04</v>
      </c>
      <c r="I254" s="13" t="n">
        <v>9.7</v>
      </c>
      <c r="J254" s="13" t="n">
        <v>69.1</v>
      </c>
      <c r="K254" s="13" t="n">
        <v>27.4</v>
      </c>
      <c r="L254" s="13" t="n">
        <v>33.6</v>
      </c>
      <c r="M254" s="13" t="n">
        <v>33.8</v>
      </c>
      <c r="N254" s="13" t="n">
        <v>87.1</v>
      </c>
      <c r="O254" s="26" t="n">
        <v>62200</v>
      </c>
      <c r="P254" s="26" t="n">
        <v>1215268</v>
      </c>
    </row>
    <row r="255" customFormat="false" ht="12.8" hidden="false" customHeight="false" outlineLevel="0" collapsed="false">
      <c r="A255" s="12" t="n">
        <v>8</v>
      </c>
      <c r="B255" s="13" t="s">
        <v>69</v>
      </c>
      <c r="C255" s="13" t="n">
        <v>5.43</v>
      </c>
      <c r="D255" s="13" t="n">
        <v>-0.14</v>
      </c>
      <c r="E255" s="13" t="n">
        <v>-0.05</v>
      </c>
      <c r="F255" s="13" t="n">
        <v>4.55</v>
      </c>
      <c r="G255" s="13" t="n">
        <v>-0.1</v>
      </c>
      <c r="H255" s="13" t="n">
        <v>0.01</v>
      </c>
      <c r="I255" s="13" t="n">
        <v>9.71</v>
      </c>
      <c r="J255" s="13" t="n">
        <v>69.9</v>
      </c>
      <c r="K255" s="13" t="n">
        <v>22.7</v>
      </c>
      <c r="L255" s="13" t="n">
        <v>32.8</v>
      </c>
      <c r="M255" s="13" t="n">
        <v>32.8</v>
      </c>
      <c r="N255" s="13" t="n">
        <v>86.2</v>
      </c>
      <c r="O255" s="26" t="n">
        <v>42301</v>
      </c>
      <c r="P255" s="26" t="n">
        <v>778389</v>
      </c>
    </row>
    <row r="256" customFormat="false" ht="12.8" hidden="false" customHeight="false" outlineLevel="0" collapsed="false">
      <c r="A256" s="12" t="n">
        <v>8</v>
      </c>
      <c r="B256" s="13" t="s">
        <v>75</v>
      </c>
      <c r="C256" s="13" t="n">
        <v>5.4</v>
      </c>
      <c r="D256" s="13" t="n">
        <v>-0.16</v>
      </c>
      <c r="E256" s="13" t="n">
        <v>-0.13</v>
      </c>
      <c r="F256" s="13" t="n">
        <v>4.55</v>
      </c>
      <c r="G256" s="13" t="n">
        <v>-0.09</v>
      </c>
      <c r="H256" s="13" t="n">
        <v>-0.01</v>
      </c>
      <c r="I256" s="13" t="n">
        <v>9.55</v>
      </c>
      <c r="J256" s="13" t="n">
        <v>70.2</v>
      </c>
      <c r="K256" s="13" t="n">
        <v>27.2</v>
      </c>
      <c r="L256" s="13" t="n">
        <v>32.7</v>
      </c>
      <c r="M256" s="13" t="n">
        <v>34.7</v>
      </c>
      <c r="N256" s="13" t="n">
        <v>86.7</v>
      </c>
      <c r="O256" s="26" t="n">
        <v>36482</v>
      </c>
      <c r="P256" s="26" t="n">
        <v>676220</v>
      </c>
    </row>
    <row r="257" customFormat="false" ht="12.8" hidden="false" customHeight="false" outlineLevel="0" collapsed="false">
      <c r="A257" s="12" t="n">
        <v>8</v>
      </c>
      <c r="B257" s="13" t="s">
        <v>76</v>
      </c>
      <c r="C257" s="13" t="n">
        <v>5.28</v>
      </c>
      <c r="D257" s="13" t="n">
        <v>-0.09</v>
      </c>
      <c r="E257" s="13" t="n">
        <v>-0.17</v>
      </c>
      <c r="F257" s="13" t="n">
        <v>4.55</v>
      </c>
      <c r="G257" s="13" t="n">
        <v>0.05</v>
      </c>
      <c r="H257" s="13" t="n">
        <v>0.01</v>
      </c>
      <c r="I257" s="13" t="n">
        <v>9.63</v>
      </c>
      <c r="J257" s="13" t="n">
        <v>65.9</v>
      </c>
      <c r="K257" s="13" t="n">
        <v>25.3</v>
      </c>
      <c r="L257" s="13" t="n">
        <v>33.4</v>
      </c>
      <c r="M257" s="13" t="n">
        <v>35.3</v>
      </c>
      <c r="N257" s="13" t="n">
        <v>87.9</v>
      </c>
      <c r="O257" s="26" t="n">
        <v>90464</v>
      </c>
      <c r="P257" s="26" t="n">
        <v>1713014</v>
      </c>
    </row>
    <row r="258" customFormat="false" ht="12.8" hidden="false" customHeight="false" outlineLevel="0" collapsed="false">
      <c r="A258" s="12" t="n">
        <v>8</v>
      </c>
      <c r="B258" s="13" t="s">
        <v>78</v>
      </c>
      <c r="C258" s="13" t="n">
        <v>5.4</v>
      </c>
      <c r="D258" s="13" t="n">
        <v>-0.01</v>
      </c>
      <c r="E258" s="13" t="n">
        <v>-0.12</v>
      </c>
      <c r="F258" s="13" t="n">
        <v>4.55</v>
      </c>
      <c r="G258" s="13" t="n">
        <v>0.03</v>
      </c>
      <c r="H258" s="13" t="n">
        <v>-0.05</v>
      </c>
      <c r="I258" s="13" t="n">
        <v>9.8</v>
      </c>
      <c r="J258" s="13" t="n">
        <v>65.9</v>
      </c>
      <c r="K258" s="13" t="n">
        <v>26.4</v>
      </c>
      <c r="L258" s="13" t="n">
        <v>34.2</v>
      </c>
      <c r="M258" s="13" t="n">
        <v>35.3</v>
      </c>
      <c r="N258" s="13" t="n">
        <v>87.3</v>
      </c>
      <c r="O258" s="26" t="n">
        <v>110457</v>
      </c>
      <c r="P258" s="26" t="n">
        <v>2046269</v>
      </c>
    </row>
    <row r="259" customFormat="false" ht="12.8" hidden="false" customHeight="false" outlineLevel="0" collapsed="false">
      <c r="A259" s="12" t="n">
        <v>8</v>
      </c>
      <c r="B259" s="13" t="s">
        <v>80</v>
      </c>
      <c r="C259" s="13" t="n">
        <v>5.1</v>
      </c>
      <c r="D259" s="13" t="n">
        <v>-0.05</v>
      </c>
      <c r="E259" s="13" t="n">
        <v>0.07</v>
      </c>
      <c r="F259" s="13" t="n">
        <v>4.55</v>
      </c>
      <c r="G259" s="13" t="n">
        <v>-0.02</v>
      </c>
      <c r="H259" s="13" t="n">
        <v>-0.03</v>
      </c>
      <c r="I259" s="13" t="n">
        <v>9.61</v>
      </c>
      <c r="J259" s="13" t="n">
        <v>62.8</v>
      </c>
      <c r="K259" s="13" t="n">
        <v>18.8</v>
      </c>
      <c r="L259" s="13" t="n">
        <v>34.3</v>
      </c>
      <c r="M259" s="13" t="n">
        <v>35</v>
      </c>
      <c r="N259" s="13" t="n">
        <v>87.5</v>
      </c>
      <c r="O259" s="26" t="n">
        <v>145937</v>
      </c>
      <c r="P259" s="26" t="n">
        <v>2862344</v>
      </c>
    </row>
    <row r="260" customFormat="false" ht="12.8" hidden="false" customHeight="false" outlineLevel="0" collapsed="false">
      <c r="A260" s="12" t="n">
        <v>8</v>
      </c>
      <c r="B260" s="13" t="s">
        <v>81</v>
      </c>
      <c r="C260" s="13" t="n">
        <v>4.94</v>
      </c>
      <c r="D260" s="13" t="n">
        <v>0.18</v>
      </c>
      <c r="E260" s="13" t="n">
        <v>0.21</v>
      </c>
      <c r="F260" s="13" t="n">
        <v>4.55</v>
      </c>
      <c r="G260" s="13" t="n">
        <v>0.03</v>
      </c>
      <c r="H260" s="13" t="n">
        <v>0.01</v>
      </c>
      <c r="I260" s="13" t="n">
        <v>9.93</v>
      </c>
      <c r="J260" s="13" t="n">
        <v>57.7</v>
      </c>
      <c r="K260" s="13" t="n">
        <v>17.2</v>
      </c>
      <c r="L260" s="13" t="n">
        <v>32.9</v>
      </c>
      <c r="M260" s="13" t="n">
        <v>31.7</v>
      </c>
      <c r="N260" s="13" t="n">
        <v>86.8</v>
      </c>
      <c r="O260" s="26" t="n">
        <v>364237</v>
      </c>
      <c r="P260" s="26" t="n">
        <v>7368949</v>
      </c>
    </row>
    <row r="261" customFormat="false" ht="12.8" hidden="false" customHeight="false" outlineLevel="0" collapsed="false">
      <c r="A261" s="12" t="n">
        <v>8</v>
      </c>
      <c r="B261" s="13" t="s">
        <v>83</v>
      </c>
      <c r="C261" s="13" t="n">
        <v>5.22</v>
      </c>
      <c r="D261" s="13" t="n">
        <v>0.02</v>
      </c>
      <c r="E261" s="13" t="n">
        <v>-0.01</v>
      </c>
      <c r="F261" s="13" t="n">
        <v>4.55</v>
      </c>
      <c r="G261" s="13" t="n">
        <v>-0.02</v>
      </c>
      <c r="H261" s="13" t="n">
        <v>0.01</v>
      </c>
      <c r="I261" s="13" t="n">
        <v>9.77</v>
      </c>
      <c r="J261" s="13" t="n">
        <v>65.7</v>
      </c>
      <c r="K261" s="13" t="n">
        <v>19.2</v>
      </c>
      <c r="L261" s="13" t="n">
        <v>33.4</v>
      </c>
      <c r="M261" s="13" t="n">
        <v>34.3</v>
      </c>
      <c r="N261" s="13" t="n">
        <v>85.9</v>
      </c>
      <c r="O261" s="26" t="n">
        <v>73101</v>
      </c>
      <c r="P261" s="26" t="n">
        <v>1400312</v>
      </c>
    </row>
    <row r="262" customFormat="false" ht="12.8" hidden="false" customHeight="false" outlineLevel="0" collapsed="false">
      <c r="A262" s="12" t="n">
        <v>8</v>
      </c>
      <c r="B262" s="13" t="s">
        <v>84</v>
      </c>
      <c r="C262" s="13" t="n">
        <v>5.35</v>
      </c>
      <c r="D262" s="13" t="n">
        <v>0.09</v>
      </c>
      <c r="E262" s="13" t="n">
        <v>-0.17</v>
      </c>
      <c r="F262" s="13" t="n">
        <v>4.55</v>
      </c>
      <c r="G262" s="13" t="n">
        <v>0.05</v>
      </c>
      <c r="H262" s="13" t="n">
        <v>0.01</v>
      </c>
      <c r="I262" s="13" t="n">
        <v>9.88</v>
      </c>
      <c r="J262" s="13" t="n">
        <v>65</v>
      </c>
      <c r="K262" s="13" t="n">
        <v>16.7</v>
      </c>
      <c r="L262" s="13" t="n">
        <v>33.6</v>
      </c>
      <c r="M262" s="13" t="n">
        <v>31.6</v>
      </c>
      <c r="N262" s="13" t="n">
        <v>87.6</v>
      </c>
      <c r="O262" s="26" t="n">
        <v>50825</v>
      </c>
      <c r="P262" s="26" t="n">
        <v>950218</v>
      </c>
    </row>
    <row r="263" customFormat="false" ht="12.8" hidden="false" customHeight="false" outlineLevel="0" collapsed="false">
      <c r="A263" s="12" t="n">
        <v>8</v>
      </c>
      <c r="B263" s="13" t="s">
        <v>88</v>
      </c>
      <c r="C263" s="13" t="n">
        <v>5.25</v>
      </c>
      <c r="D263" s="13" t="n">
        <v>0.08</v>
      </c>
      <c r="E263" s="13" t="n">
        <v>0.05</v>
      </c>
      <c r="F263" s="13" t="n">
        <v>4.55</v>
      </c>
      <c r="G263" s="13" t="n">
        <v>-0.04</v>
      </c>
      <c r="H263" s="13" t="n">
        <v>0.01</v>
      </c>
      <c r="I263" s="13" t="n">
        <v>9.89</v>
      </c>
      <c r="J263" s="13" t="n">
        <v>64.1</v>
      </c>
      <c r="K263" s="13" t="n">
        <v>17.9</v>
      </c>
      <c r="L263" s="13" t="n">
        <v>33.6</v>
      </c>
      <c r="M263" s="13" t="n">
        <v>31.3</v>
      </c>
      <c r="N263" s="13" t="n">
        <v>84.9</v>
      </c>
      <c r="O263" s="26" t="n">
        <v>130171</v>
      </c>
      <c r="P263" s="26" t="n">
        <v>2480383</v>
      </c>
    </row>
    <row r="264" customFormat="false" ht="12.8" hidden="false" customHeight="false" outlineLevel="0" collapsed="false">
      <c r="A264" s="12" t="n">
        <v>8</v>
      </c>
      <c r="B264" s="13" t="s">
        <v>89</v>
      </c>
      <c r="C264" s="13" t="n">
        <v>5.34</v>
      </c>
      <c r="D264" s="13" t="n">
        <v>0.16</v>
      </c>
      <c r="E264" s="13" t="n">
        <v>0.11</v>
      </c>
      <c r="F264" s="13" t="n">
        <v>4.55</v>
      </c>
      <c r="G264" s="13" t="n">
        <v>-0.04</v>
      </c>
      <c r="H264" s="13" t="n">
        <v>0.01</v>
      </c>
      <c r="I264" s="13" t="n">
        <v>10.13</v>
      </c>
      <c r="J264" s="13" t="n">
        <v>51.5</v>
      </c>
      <c r="K264" s="13" t="n">
        <v>13.1</v>
      </c>
      <c r="L264" s="13" t="n">
        <v>33.7</v>
      </c>
      <c r="M264" s="13" t="n">
        <v>32.7</v>
      </c>
      <c r="N264" s="13" t="n">
        <v>85</v>
      </c>
      <c r="O264" s="26" t="n">
        <v>543377</v>
      </c>
      <c r="P264" s="26" t="n">
        <v>10184780</v>
      </c>
    </row>
    <row r="265" customFormat="false" ht="12.8" hidden="false" customHeight="false" outlineLevel="0" collapsed="false">
      <c r="A265" s="12" t="n">
        <v>8</v>
      </c>
      <c r="B265" s="13" t="s">
        <v>90</v>
      </c>
      <c r="C265" s="13" t="n">
        <v>5.56</v>
      </c>
      <c r="D265" s="13" t="n">
        <v>0.02</v>
      </c>
      <c r="E265" s="13" t="n">
        <v>-0.04</v>
      </c>
      <c r="F265" s="13" t="n">
        <v>4.55</v>
      </c>
      <c r="G265" s="13" t="n">
        <v>0.02</v>
      </c>
      <c r="H265" s="13" t="n">
        <v>0.01</v>
      </c>
      <c r="I265" s="13" t="n">
        <v>10.12</v>
      </c>
      <c r="J265" s="13" t="n">
        <v>57.9</v>
      </c>
      <c r="K265" s="13" t="n">
        <v>15.4</v>
      </c>
      <c r="L265" s="13" t="n">
        <v>33.6</v>
      </c>
      <c r="M265" s="13" t="n">
        <v>33.3</v>
      </c>
      <c r="N265" s="13" t="n">
        <v>86.5</v>
      </c>
      <c r="O265" s="26" t="n">
        <v>229595</v>
      </c>
      <c r="P265" s="26" t="n">
        <v>4131547</v>
      </c>
    </row>
    <row r="266" customFormat="false" ht="12.8" hidden="false" customHeight="false" outlineLevel="0" collapsed="false">
      <c r="A266" s="12" t="n">
        <v>8</v>
      </c>
      <c r="B266" s="13" t="s">
        <v>91</v>
      </c>
      <c r="C266" s="13" t="n">
        <v>5.91</v>
      </c>
      <c r="D266" s="13" t="n">
        <v>-0.02</v>
      </c>
      <c r="E266" s="13" t="n">
        <v>-0.44</v>
      </c>
      <c r="F266" s="13" t="n">
        <v>4.55</v>
      </c>
      <c r="G266" s="13" t="n">
        <v>-0.06</v>
      </c>
      <c r="H266" s="13" t="n">
        <v>-0.02</v>
      </c>
      <c r="I266" s="13" t="n">
        <v>9.91</v>
      </c>
      <c r="J266" s="13" t="n">
        <v>59</v>
      </c>
      <c r="K266" s="13" t="n">
        <v>20.4</v>
      </c>
      <c r="L266" s="13" t="n">
        <v>35.1</v>
      </c>
      <c r="M266" s="13" t="n">
        <v>36.9</v>
      </c>
      <c r="N266" s="13" t="n">
        <v>83.5</v>
      </c>
      <c r="O266" s="26" t="n">
        <v>48406</v>
      </c>
      <c r="P266" s="26" t="n">
        <v>818837</v>
      </c>
    </row>
    <row r="267" customFormat="false" ht="12.8" hidden="false" customHeight="false" outlineLevel="0" collapsed="false">
      <c r="A267" s="12" t="n">
        <v>8</v>
      </c>
      <c r="B267" s="13" t="s">
        <v>92</v>
      </c>
      <c r="C267" s="13" t="n">
        <v>6.11</v>
      </c>
      <c r="D267" s="13" t="n">
        <v>-0.11</v>
      </c>
      <c r="E267" s="13" t="n">
        <v>-0.52</v>
      </c>
      <c r="F267" s="13" t="n">
        <v>4.55</v>
      </c>
      <c r="G267" s="13" t="n">
        <v>0.05</v>
      </c>
      <c r="H267" s="13" t="n">
        <v>-0.01</v>
      </c>
      <c r="I267" s="13" t="n">
        <v>10.06</v>
      </c>
      <c r="J267" s="13" t="n">
        <v>61.5</v>
      </c>
      <c r="K267" s="13" t="n">
        <v>16.7</v>
      </c>
      <c r="L267" s="13" t="n">
        <v>34.3</v>
      </c>
      <c r="M267" s="13" t="n">
        <v>34.7</v>
      </c>
      <c r="N267" s="13" t="n">
        <v>84.3</v>
      </c>
      <c r="O267" s="26" t="n">
        <v>44701</v>
      </c>
      <c r="P267" s="26" t="n">
        <v>731905</v>
      </c>
    </row>
    <row r="268" customFormat="false" ht="12.8" hidden="false" customHeight="false" outlineLevel="0" collapsed="false">
      <c r="A268" s="12" t="n">
        <v>8</v>
      </c>
      <c r="B268" s="13" t="s">
        <v>93</v>
      </c>
      <c r="C268" s="13" t="n">
        <v>6.04</v>
      </c>
      <c r="D268" s="13" t="n">
        <v>-0.15</v>
      </c>
      <c r="E268" s="13" t="n">
        <v>-0.66</v>
      </c>
      <c r="F268" s="13" t="n">
        <v>4.55</v>
      </c>
      <c r="G268" s="13" t="n">
        <v>0.07</v>
      </c>
      <c r="H268" s="13" t="n">
        <v>0.01</v>
      </c>
      <c r="I268" s="13" t="n">
        <v>9.86</v>
      </c>
      <c r="J268" s="13" t="n">
        <v>61.6</v>
      </c>
      <c r="K268" s="13" t="n">
        <v>25.5</v>
      </c>
      <c r="L268" s="13" t="n">
        <v>32.4</v>
      </c>
      <c r="M268" s="13" t="n">
        <v>32</v>
      </c>
      <c r="N268" s="13" t="n">
        <v>87.7</v>
      </c>
      <c r="O268" s="26" t="n">
        <v>28990</v>
      </c>
      <c r="P268" s="26" t="n">
        <v>479715</v>
      </c>
    </row>
    <row r="269" customFormat="false" ht="12.8" hidden="false" customHeight="false" outlineLevel="0" collapsed="false">
      <c r="A269" s="12" t="n">
        <v>8</v>
      </c>
      <c r="B269" s="13" t="s">
        <v>94</v>
      </c>
      <c r="C269" s="13" t="n">
        <v>6.35</v>
      </c>
      <c r="D269" s="13" t="n">
        <v>-0.26</v>
      </c>
      <c r="E269" s="13" t="n">
        <v>-0.51</v>
      </c>
      <c r="F269" s="13" t="n">
        <v>4.55</v>
      </c>
      <c r="G269" s="13" t="n">
        <v>0.08</v>
      </c>
      <c r="H269" s="13" t="n">
        <v>-0.13</v>
      </c>
      <c r="I269" s="13" t="n">
        <v>9.94</v>
      </c>
      <c r="J269" s="13" t="n">
        <v>72.4</v>
      </c>
      <c r="K269" s="13" t="n">
        <v>39.5</v>
      </c>
      <c r="L269" s="13" t="n">
        <v>33.5</v>
      </c>
      <c r="M269" s="13" t="n">
        <v>34.5</v>
      </c>
      <c r="N269" s="13" t="n">
        <v>89.7</v>
      </c>
      <c r="O269" s="26" t="n">
        <v>36075</v>
      </c>
      <c r="P269" s="26" t="n">
        <v>568505</v>
      </c>
    </row>
    <row r="270" customFormat="false" ht="12.8" hidden="false" customHeight="false" outlineLevel="0" collapsed="false">
      <c r="A270" s="12" t="n">
        <v>8</v>
      </c>
      <c r="B270" s="13" t="s">
        <v>95</v>
      </c>
      <c r="C270" s="13" t="n">
        <v>5.65</v>
      </c>
      <c r="D270" s="13" t="n">
        <v>0.07</v>
      </c>
      <c r="E270" s="13" t="n">
        <v>-0.24</v>
      </c>
      <c r="F270" s="13" t="n">
        <v>4.55</v>
      </c>
      <c r="G270" s="13" t="n">
        <v>0.01</v>
      </c>
      <c r="H270" s="13" t="n">
        <v>0.01</v>
      </c>
      <c r="I270" s="13" t="n">
        <v>10.05</v>
      </c>
      <c r="J270" s="13" t="n">
        <v>66.2</v>
      </c>
      <c r="K270" s="13" t="n">
        <v>34.8</v>
      </c>
      <c r="L270" s="13" t="n">
        <v>32.2</v>
      </c>
      <c r="M270" s="13" t="n">
        <v>38.9</v>
      </c>
      <c r="N270" s="13" t="n">
        <v>85.9</v>
      </c>
      <c r="O270" s="26" t="n">
        <v>106146</v>
      </c>
      <c r="P270" s="26" t="n">
        <v>1878841</v>
      </c>
    </row>
    <row r="271" customFormat="false" ht="12.8" hidden="false" customHeight="false" outlineLevel="0" collapsed="false">
      <c r="A271" s="12" t="n">
        <v>8</v>
      </c>
      <c r="B271" s="13" t="s">
        <v>97</v>
      </c>
      <c r="C271" s="13" t="n">
        <v>5.38</v>
      </c>
      <c r="D271" s="13" t="n">
        <v>0.04</v>
      </c>
      <c r="E271" s="13" t="n">
        <v>-0.13</v>
      </c>
      <c r="F271" s="13" t="n">
        <v>4.55</v>
      </c>
      <c r="G271" s="13" t="n">
        <v>-0.06</v>
      </c>
      <c r="H271" s="13" t="n">
        <v>0.01</v>
      </c>
      <c r="I271" s="13" t="n">
        <v>9.78</v>
      </c>
      <c r="J271" s="13" t="n">
        <v>60.8</v>
      </c>
      <c r="K271" s="13" t="n">
        <v>22.2</v>
      </c>
      <c r="L271" s="13" t="n">
        <v>33.4</v>
      </c>
      <c r="M271" s="13" t="n">
        <v>35.3</v>
      </c>
      <c r="N271" s="13" t="n">
        <v>86.1</v>
      </c>
      <c r="O271" s="26" t="n">
        <v>154715</v>
      </c>
      <c r="P271" s="26" t="n">
        <v>2877559</v>
      </c>
    </row>
    <row r="272" customFormat="false" ht="12.8" hidden="false" customHeight="false" outlineLevel="0" collapsed="false">
      <c r="A272" s="12" t="n">
        <v>8</v>
      </c>
      <c r="B272" s="13" t="s">
        <v>98</v>
      </c>
      <c r="C272" s="13" t="n">
        <v>5.83</v>
      </c>
      <c r="D272" s="13" t="n">
        <v>-0.17</v>
      </c>
      <c r="E272" s="13" t="n">
        <v>-0.09</v>
      </c>
      <c r="F272" s="13" t="n">
        <v>4.55</v>
      </c>
      <c r="G272" s="13" t="n">
        <v>0.03</v>
      </c>
      <c r="H272" s="13" t="n">
        <v>0.01</v>
      </c>
      <c r="I272" s="13" t="n">
        <v>10.15</v>
      </c>
      <c r="J272" s="13" t="n">
        <v>60.8</v>
      </c>
      <c r="K272" s="13" t="n">
        <v>19</v>
      </c>
      <c r="L272" s="13" t="n">
        <v>32.4</v>
      </c>
      <c r="M272" s="13" t="n">
        <v>33.3</v>
      </c>
      <c r="N272" s="13" t="n">
        <v>88.2</v>
      </c>
      <c r="O272" s="26" t="n">
        <v>64632</v>
      </c>
      <c r="P272" s="26" t="n">
        <v>1108790</v>
      </c>
    </row>
    <row r="273" customFormat="false" ht="12.8" hidden="false" customHeight="false" outlineLevel="0" collapsed="false">
      <c r="A273" s="12" t="n">
        <v>8</v>
      </c>
      <c r="B273" s="13" t="s">
        <v>99</v>
      </c>
      <c r="C273" s="13" t="n">
        <v>6.16</v>
      </c>
      <c r="D273" s="13" t="n">
        <v>-0.11</v>
      </c>
      <c r="E273" s="13" t="n">
        <v>-0.38</v>
      </c>
      <c r="F273" s="13" t="n">
        <v>4.55</v>
      </c>
      <c r="G273" s="13" t="n">
        <v>0.02</v>
      </c>
      <c r="H273" s="13" t="n">
        <v>0</v>
      </c>
      <c r="I273" s="13" t="n">
        <v>10.24</v>
      </c>
      <c r="J273" s="13" t="n">
        <v>56.6</v>
      </c>
      <c r="K273" s="13" t="n">
        <v>29</v>
      </c>
      <c r="L273" s="13" t="n">
        <v>35.3</v>
      </c>
      <c r="M273" s="13" t="n">
        <v>31.7</v>
      </c>
      <c r="N273" s="13" t="n">
        <v>82.3</v>
      </c>
      <c r="O273" s="26" t="n">
        <v>40930</v>
      </c>
      <c r="P273" s="26" t="n">
        <v>664257</v>
      </c>
    </row>
    <row r="274" customFormat="false" ht="12.8" hidden="false" customHeight="false" outlineLevel="0" collapsed="false">
      <c r="A274" s="12" t="n">
        <v>8</v>
      </c>
      <c r="B274" s="13" t="s">
        <v>100</v>
      </c>
      <c r="C274" s="13" t="n">
        <v>5.95</v>
      </c>
      <c r="D274" s="13" t="n">
        <v>-0.03</v>
      </c>
      <c r="E274" s="13" t="n">
        <v>-0.34</v>
      </c>
      <c r="F274" s="13" t="n">
        <v>4.55</v>
      </c>
      <c r="G274" s="13" t="n">
        <v>-0.11</v>
      </c>
      <c r="H274" s="13" t="n">
        <v>0.01</v>
      </c>
      <c r="I274" s="13" t="n">
        <v>10.02</v>
      </c>
      <c r="J274" s="13" t="n">
        <v>57.9</v>
      </c>
      <c r="K274" s="13" t="n">
        <v>34.5</v>
      </c>
      <c r="L274" s="13" t="n">
        <v>33.2</v>
      </c>
      <c r="M274" s="13" t="n">
        <v>34</v>
      </c>
      <c r="N274" s="13" t="n">
        <v>84.9</v>
      </c>
      <c r="O274" s="26" t="n">
        <v>57163</v>
      </c>
      <c r="P274" s="26" t="n">
        <v>961010</v>
      </c>
    </row>
    <row r="275" customFormat="false" ht="12.8" hidden="false" customHeight="false" outlineLevel="0" collapsed="false">
      <c r="A275" s="12" t="n">
        <v>8</v>
      </c>
      <c r="B275" s="13" t="s">
        <v>101</v>
      </c>
      <c r="C275" s="13" t="n">
        <v>5.89</v>
      </c>
      <c r="D275" s="13" t="n">
        <v>-0.01</v>
      </c>
      <c r="E275" s="13" t="n">
        <v>-0.45</v>
      </c>
      <c r="F275" s="13" t="n">
        <v>4.55</v>
      </c>
      <c r="G275" s="13" t="n">
        <v>-0.02</v>
      </c>
      <c r="H275" s="13" t="n">
        <v>0.01</v>
      </c>
      <c r="I275" s="13" t="n">
        <v>9.98</v>
      </c>
      <c r="J275" s="13" t="n">
        <v>63.2</v>
      </c>
      <c r="K275" s="13" t="n">
        <v>20.1</v>
      </c>
      <c r="L275" s="13" t="n">
        <v>32.7</v>
      </c>
      <c r="M275" s="13" t="n">
        <v>34.1</v>
      </c>
      <c r="N275" s="13" t="n">
        <v>85</v>
      </c>
      <c r="O275" s="26" t="n">
        <v>74178</v>
      </c>
      <c r="P275" s="26" t="n">
        <v>1258518</v>
      </c>
    </row>
    <row r="276" customFormat="false" ht="12.8" hidden="false" customHeight="false" outlineLevel="0" collapsed="false">
      <c r="A276" s="12" t="n">
        <v>8</v>
      </c>
      <c r="B276" s="13" t="s">
        <v>102</v>
      </c>
      <c r="C276" s="13" t="n">
        <v>6.05</v>
      </c>
      <c r="D276" s="13" t="n">
        <v>-0.18</v>
      </c>
      <c r="E276" s="13" t="n">
        <v>-0.4</v>
      </c>
      <c r="F276" s="13" t="n">
        <v>4.55</v>
      </c>
      <c r="G276" s="13" t="n">
        <v>0.03</v>
      </c>
      <c r="H276" s="13" t="n">
        <v>0.01</v>
      </c>
      <c r="I276" s="13" t="n">
        <v>10.05</v>
      </c>
      <c r="J276" s="13" t="n">
        <v>69.1</v>
      </c>
      <c r="K276" s="13" t="n">
        <v>17.9</v>
      </c>
      <c r="L276" s="13" t="n">
        <v>31.1</v>
      </c>
      <c r="M276" s="13" t="n">
        <v>34.9</v>
      </c>
      <c r="N276" s="13" t="n">
        <v>83.8</v>
      </c>
      <c r="O276" s="26" t="n">
        <v>36615</v>
      </c>
      <c r="P276" s="26" t="n">
        <v>605464</v>
      </c>
    </row>
    <row r="277" customFormat="false" ht="12.8" hidden="false" customHeight="false" outlineLevel="0" collapsed="false">
      <c r="A277" s="12" t="n">
        <v>8</v>
      </c>
      <c r="B277" s="13" t="s">
        <v>103</v>
      </c>
      <c r="C277" s="13" t="n">
        <v>5.85</v>
      </c>
      <c r="D277" s="13" t="n">
        <v>0.06</v>
      </c>
      <c r="E277" s="13" t="n">
        <v>-0.29</v>
      </c>
      <c r="F277" s="13" t="n">
        <v>4.55</v>
      </c>
      <c r="G277" s="13" t="n">
        <v>-0.07</v>
      </c>
      <c r="H277" s="13" t="n">
        <v>0.01</v>
      </c>
      <c r="I277" s="13" t="n">
        <v>10.11</v>
      </c>
      <c r="J277" s="13" t="n">
        <v>58.9</v>
      </c>
      <c r="K277" s="13" t="n">
        <v>22.8</v>
      </c>
      <c r="L277" s="13" t="n">
        <v>33.1</v>
      </c>
      <c r="M277" s="13" t="n">
        <v>34.5</v>
      </c>
      <c r="N277" s="13" t="n">
        <v>87.5</v>
      </c>
      <c r="O277" s="26" t="n">
        <v>296881</v>
      </c>
      <c r="P277" s="26" t="n">
        <v>5072680</v>
      </c>
    </row>
    <row r="278" customFormat="false" ht="12.8" hidden="false" customHeight="false" outlineLevel="0" collapsed="false">
      <c r="A278" s="12" t="n">
        <v>8</v>
      </c>
      <c r="B278" s="13" t="s">
        <v>104</v>
      </c>
      <c r="C278" s="13" t="n">
        <v>6.91</v>
      </c>
      <c r="D278" s="13" t="n">
        <v>-0.18</v>
      </c>
      <c r="E278" s="13" t="n">
        <v>-0.67</v>
      </c>
      <c r="F278" s="13" t="n">
        <v>4.55</v>
      </c>
      <c r="G278" s="13" t="n">
        <v>-0.05</v>
      </c>
      <c r="H278" s="13" t="n">
        <v>0</v>
      </c>
      <c r="I278" s="13" t="n">
        <v>10.55</v>
      </c>
      <c r="J278" s="13" t="n">
        <v>59.3</v>
      </c>
      <c r="K278" s="13" t="n">
        <v>24.6</v>
      </c>
      <c r="L278" s="13" t="n">
        <v>33.3</v>
      </c>
      <c r="M278" s="13" t="n">
        <v>36.9</v>
      </c>
      <c r="N278" s="13" t="n">
        <v>88.7</v>
      </c>
      <c r="O278" s="26" t="n">
        <v>48269</v>
      </c>
      <c r="P278" s="26" t="n">
        <v>698841</v>
      </c>
    </row>
    <row r="279" customFormat="false" ht="12.8" hidden="false" customHeight="false" outlineLevel="0" collapsed="false">
      <c r="A279" s="12" t="n">
        <v>8</v>
      </c>
      <c r="B279" s="13" t="s">
        <v>105</v>
      </c>
      <c r="C279" s="13" t="n">
        <v>6.56</v>
      </c>
      <c r="D279" s="13" t="n">
        <v>-0.27</v>
      </c>
      <c r="E279" s="13" t="n">
        <v>-0.73</v>
      </c>
      <c r="F279" s="13" t="n">
        <v>4.55</v>
      </c>
      <c r="G279" s="13" t="n">
        <v>-0.06</v>
      </c>
      <c r="H279" s="13" t="n">
        <v>0.01</v>
      </c>
      <c r="I279" s="13" t="n">
        <v>10.06</v>
      </c>
      <c r="J279" s="13" t="n">
        <v>58.8</v>
      </c>
      <c r="K279" s="13" t="n">
        <v>23.5</v>
      </c>
      <c r="L279" s="13" t="n">
        <v>33.4</v>
      </c>
      <c r="M279" s="13" t="n">
        <v>36.5</v>
      </c>
      <c r="N279" s="13" t="n">
        <v>88.1</v>
      </c>
      <c r="O279" s="26" t="n">
        <v>69750</v>
      </c>
      <c r="P279" s="26" t="n">
        <v>1063008</v>
      </c>
    </row>
    <row r="280" customFormat="false" ht="12.8" hidden="false" customHeight="false" outlineLevel="0" collapsed="false">
      <c r="A280" s="12" t="n">
        <v>8</v>
      </c>
      <c r="B280" s="13" t="s">
        <v>106</v>
      </c>
      <c r="C280" s="13" t="n">
        <v>6.3</v>
      </c>
      <c r="D280" s="13" t="n">
        <v>-0.1</v>
      </c>
      <c r="E280" s="13" t="n">
        <v>-0.59</v>
      </c>
      <c r="F280" s="13" t="n">
        <v>4.55</v>
      </c>
      <c r="G280" s="13" t="n">
        <v>-0.09</v>
      </c>
      <c r="H280" s="13" t="n">
        <v>0.01</v>
      </c>
      <c r="I280" s="13" t="n">
        <v>10.08</v>
      </c>
      <c r="J280" s="13" t="n">
        <v>63.9</v>
      </c>
      <c r="K280" s="13" t="n">
        <v>37.3</v>
      </c>
      <c r="L280" s="13" t="n">
        <v>32.6</v>
      </c>
      <c r="M280" s="13" t="n">
        <v>37.9</v>
      </c>
      <c r="N280" s="13" t="n">
        <v>88.4</v>
      </c>
      <c r="O280" s="26" t="n">
        <v>97262</v>
      </c>
      <c r="P280" s="26" t="n">
        <v>1544278</v>
      </c>
    </row>
    <row r="281" customFormat="false" ht="12.8" hidden="false" customHeight="false" outlineLevel="0" collapsed="false">
      <c r="A281" s="12" t="n">
        <v>8</v>
      </c>
      <c r="B281" s="13" t="s">
        <v>107</v>
      </c>
      <c r="C281" s="13" t="n">
        <v>6.35</v>
      </c>
      <c r="D281" s="13" t="n">
        <v>-0.21</v>
      </c>
      <c r="E281" s="13" t="n">
        <v>-0.55</v>
      </c>
      <c r="F281" s="13" t="n">
        <v>4.55</v>
      </c>
      <c r="G281" s="13" t="n">
        <v>-0.07</v>
      </c>
      <c r="H281" s="13" t="n">
        <v>0.01</v>
      </c>
      <c r="I281" s="13" t="n">
        <v>10.08</v>
      </c>
      <c r="J281" s="13" t="n">
        <v>64.8</v>
      </c>
      <c r="K281" s="13" t="n">
        <v>34.9</v>
      </c>
      <c r="L281" s="13" t="n">
        <v>33.2</v>
      </c>
      <c r="M281" s="13" t="n">
        <v>38</v>
      </c>
      <c r="N281" s="13" t="n">
        <v>86.8</v>
      </c>
      <c r="O281" s="26" t="n">
        <v>63689</v>
      </c>
      <c r="P281" s="26" t="n">
        <v>1002490</v>
      </c>
    </row>
    <row r="282" customFormat="false" ht="12.8" hidden="false" customHeight="false" outlineLevel="0" collapsed="false">
      <c r="A282" s="12" t="n">
        <v>8</v>
      </c>
      <c r="B282" s="13" t="s">
        <v>108</v>
      </c>
      <c r="C282" s="13" t="n">
        <v>6.14</v>
      </c>
      <c r="D282" s="13" t="n">
        <v>-0.13</v>
      </c>
      <c r="E282" s="13" t="n">
        <v>-0.75</v>
      </c>
      <c r="F282" s="13" t="n">
        <v>4.55</v>
      </c>
      <c r="G282" s="13" t="n">
        <v>-0.04</v>
      </c>
      <c r="H282" s="13" t="n">
        <v>0.01</v>
      </c>
      <c r="I282" s="13" t="n">
        <v>9.77</v>
      </c>
      <c r="J282" s="13" t="n">
        <v>60.3</v>
      </c>
      <c r="K282" s="13" t="n">
        <v>20</v>
      </c>
      <c r="L282" s="13" t="n">
        <v>34.2</v>
      </c>
      <c r="M282" s="13" t="n">
        <v>33.6</v>
      </c>
      <c r="N282" s="13" t="n">
        <v>89.3</v>
      </c>
      <c r="O282" s="26" t="n">
        <v>59585</v>
      </c>
      <c r="P282" s="26" t="n">
        <v>970145</v>
      </c>
    </row>
    <row r="283" customFormat="false" ht="12.8" hidden="false" customHeight="false" outlineLevel="0" collapsed="false">
      <c r="A283" s="12" t="n">
        <v>8</v>
      </c>
      <c r="B283" s="13" t="s">
        <v>109</v>
      </c>
      <c r="C283" s="13" t="n">
        <v>6.64</v>
      </c>
      <c r="D283" s="13" t="n">
        <v>-0.11</v>
      </c>
      <c r="E283" s="13" t="n">
        <v>-0.91</v>
      </c>
      <c r="F283" s="13" t="n">
        <v>4.55</v>
      </c>
      <c r="G283" s="13" t="n">
        <v>-0.04</v>
      </c>
      <c r="H283" s="13" t="n">
        <v>0.01</v>
      </c>
      <c r="I283" s="13" t="n">
        <v>10.13</v>
      </c>
      <c r="J283" s="13" t="n">
        <v>54.1</v>
      </c>
      <c r="K283" s="13" t="n">
        <v>18.3</v>
      </c>
      <c r="L283" s="13" t="n">
        <v>33.6</v>
      </c>
      <c r="M283" s="13" t="n">
        <v>37.8</v>
      </c>
      <c r="N283" s="13" t="n">
        <v>90.2</v>
      </c>
      <c r="O283" s="26" t="n">
        <v>95379</v>
      </c>
      <c r="P283" s="26" t="n">
        <v>1436638</v>
      </c>
    </row>
    <row r="284" customFormat="false" ht="12.8" hidden="false" customHeight="false" outlineLevel="0" collapsed="false">
      <c r="A284" s="12" t="n">
        <v>8</v>
      </c>
      <c r="B284" s="13" t="s">
        <v>110</v>
      </c>
      <c r="C284" s="13" t="n">
        <v>6.4</v>
      </c>
      <c r="D284" s="13" t="n">
        <v>0.11</v>
      </c>
      <c r="E284" s="13" t="n">
        <v>-1.41</v>
      </c>
      <c r="F284" s="13" t="n">
        <v>4.55</v>
      </c>
      <c r="G284" s="13" t="n">
        <v>-0.01</v>
      </c>
      <c r="H284" s="13" t="n">
        <v>-0.03</v>
      </c>
      <c r="I284" s="13" t="n">
        <v>9.44</v>
      </c>
      <c r="J284" s="13" t="n">
        <v>59.8</v>
      </c>
      <c r="K284" s="13" t="n">
        <v>31.4</v>
      </c>
      <c r="L284" s="13" t="n">
        <v>33.2</v>
      </c>
      <c r="M284" s="13" t="n">
        <v>36</v>
      </c>
      <c r="N284" s="13" t="n">
        <v>92.4</v>
      </c>
      <c r="O284" s="26" t="n">
        <v>83000</v>
      </c>
      <c r="P284" s="26" t="n">
        <v>1296651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7" activeCellId="0" sqref="E47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29" width="11.53"/>
    <col collapsed="false" customWidth="true" hidden="false" outlineLevel="0" max="2" min="2" style="1" width="58.29"/>
    <col collapsed="false" customWidth="true" hidden="false" outlineLevel="0" max="10" min="3" style="1" width="12.94"/>
  </cols>
  <sheetData>
    <row r="1" customFormat="false" ht="15.65" hidden="false" customHeight="false" outlineLevel="0" collapsed="false">
      <c r="A1" s="30" t="s">
        <v>124</v>
      </c>
      <c r="B1" s="29" t="s">
        <v>125</v>
      </c>
      <c r="C1" s="29" t="s">
        <v>126</v>
      </c>
      <c r="D1" s="29" t="s">
        <v>127</v>
      </c>
      <c r="E1" s="29" t="s">
        <v>128</v>
      </c>
      <c r="F1" s="29" t="s">
        <v>129</v>
      </c>
      <c r="G1" s="29" t="s">
        <v>130</v>
      </c>
      <c r="H1" s="29" t="s">
        <v>131</v>
      </c>
      <c r="I1" s="29"/>
      <c r="J1" s="29"/>
    </row>
    <row r="2" customFormat="false" ht="15.65" hidden="false" customHeight="false" outlineLevel="0" collapsed="false">
      <c r="A2" s="29" t="n">
        <v>1</v>
      </c>
      <c r="B2" s="1" t="s">
        <v>132</v>
      </c>
      <c r="C2" s="31" t="s">
        <v>133</v>
      </c>
      <c r="D2" s="31" t="s">
        <v>134</v>
      </c>
      <c r="E2" s="31" t="s">
        <v>135</v>
      </c>
      <c r="F2" s="31" t="s">
        <v>136</v>
      </c>
      <c r="G2" s="31" t="s">
        <v>137</v>
      </c>
      <c r="H2" s="31" t="s">
        <v>138</v>
      </c>
    </row>
    <row r="3" customFormat="false" ht="15.65" hidden="false" customHeight="false" outlineLevel="0" collapsed="false">
      <c r="A3" s="29" t="n">
        <v>2</v>
      </c>
      <c r="B3" s="1" t="s">
        <v>139</v>
      </c>
      <c r="C3" s="31" t="s">
        <v>135</v>
      </c>
      <c r="D3" s="31" t="s">
        <v>136</v>
      </c>
      <c r="E3" s="31" t="s">
        <v>137</v>
      </c>
      <c r="F3" s="31" t="s">
        <v>138</v>
      </c>
      <c r="G3" s="31" t="s">
        <v>140</v>
      </c>
      <c r="H3" s="31" t="s">
        <v>141</v>
      </c>
    </row>
  </sheetData>
  <hyperlinks>
    <hyperlink ref="C2" r:id="rId1" display="R8"/>
    <hyperlink ref="D2" r:id="rId2" display="R7"/>
    <hyperlink ref="E2" r:id="rId3" display="R6"/>
    <hyperlink ref="F2" r:id="rId4" display="R5"/>
    <hyperlink ref="G2" r:id="rId5" display="R4"/>
    <hyperlink ref="H2" r:id="rId6" display="R3"/>
    <hyperlink ref="C3" r:id="rId7" display="R6"/>
    <hyperlink ref="D3" r:id="rId8" display="R5"/>
    <hyperlink ref="E3" r:id="rId9" display="R4"/>
    <hyperlink ref="F3" r:id="rId10" display="R3"/>
    <hyperlink ref="G3" r:id="rId11" display="R2"/>
    <hyperlink ref="H3" r:id="rId12" display="R1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85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A284" activeCellId="0" sqref="A28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2"/>
      <c r="B1" s="12"/>
      <c r="C1" s="12"/>
      <c r="D1" s="11"/>
      <c r="E1" s="33"/>
      <c r="F1" s="33"/>
      <c r="G1" s="33"/>
      <c r="H1" s="34"/>
      <c r="I1" s="34"/>
      <c r="J1" s="11"/>
      <c r="K1" s="11"/>
      <c r="L1" s="33"/>
    </row>
    <row r="2" customFormat="false" ht="58.2" hidden="false" customHeight="false" outlineLevel="0" collapsed="false">
      <c r="A2" s="32" t="s">
        <v>34</v>
      </c>
      <c r="B2" s="12" t="s">
        <v>142</v>
      </c>
      <c r="C2" s="12" t="s">
        <v>143</v>
      </c>
      <c r="D2" s="11" t="s">
        <v>144</v>
      </c>
      <c r="E2" s="33" t="s">
        <v>112</v>
      </c>
      <c r="F2" s="33" t="s">
        <v>113</v>
      </c>
      <c r="G2" s="33" t="s">
        <v>145</v>
      </c>
      <c r="H2" s="34" t="s">
        <v>146</v>
      </c>
      <c r="I2" s="34" t="s">
        <v>114</v>
      </c>
      <c r="J2" s="11" t="s">
        <v>147</v>
      </c>
      <c r="K2" s="11" t="s">
        <v>115</v>
      </c>
      <c r="L2" s="33" t="s">
        <v>116</v>
      </c>
      <c r="O2" s="11" t="s">
        <v>147</v>
      </c>
      <c r="P2" s="11" t="s">
        <v>111</v>
      </c>
      <c r="Q2" s="11" t="s">
        <v>112</v>
      </c>
      <c r="R2" s="11" t="s">
        <v>113</v>
      </c>
      <c r="S2" s="11" t="s">
        <v>114</v>
      </c>
      <c r="T2" s="11" t="s">
        <v>115</v>
      </c>
      <c r="U2" s="11" t="s">
        <v>116</v>
      </c>
      <c r="V2" s="9" t="s">
        <v>148</v>
      </c>
      <c r="W2" s="9" t="s">
        <v>149</v>
      </c>
    </row>
    <row r="3" customFormat="false" ht="12.8" hidden="false" customHeight="false" outlineLevel="0" collapsed="false">
      <c r="A3" s="12" t="n">
        <v>3</v>
      </c>
      <c r="B3" s="12" t="n">
        <v>1</v>
      </c>
      <c r="C3" s="35" t="s">
        <v>42</v>
      </c>
      <c r="D3" s="19" t="n">
        <v>6.33</v>
      </c>
      <c r="E3" s="19" t="n">
        <v>-0.29</v>
      </c>
      <c r="F3" s="19" t="n">
        <v>-0.32</v>
      </c>
      <c r="G3" s="19" t="n">
        <v>5.72</v>
      </c>
      <c r="H3" s="19" t="n">
        <v>10.42</v>
      </c>
      <c r="I3" s="19" t="n">
        <v>4.71</v>
      </c>
      <c r="J3" s="19" t="n">
        <v>10.45</v>
      </c>
      <c r="K3" s="19" t="n">
        <v>0.0199999999999996</v>
      </c>
      <c r="L3" s="19" t="n">
        <v>0.007</v>
      </c>
      <c r="O3" s="19" t="n">
        <f aca="false">J3</f>
        <v>10.45</v>
      </c>
      <c r="P3" s="19" t="n">
        <v>6.33</v>
      </c>
      <c r="Q3" s="19" t="n">
        <v>-0.29</v>
      </c>
      <c r="R3" s="19" t="n">
        <v>-0.32</v>
      </c>
      <c r="S3" s="19" t="n">
        <v>4.71</v>
      </c>
      <c r="T3" s="19" t="n">
        <v>0.0199999999999996</v>
      </c>
      <c r="U3" s="19" t="n">
        <v>0.007</v>
      </c>
      <c r="V3" s="13" t="n">
        <f aca="false">SUM(P3:U3)</f>
        <v>10.457</v>
      </c>
      <c r="W3" s="13" t="n">
        <f aca="false">O3-V3</f>
        <v>-0.00699999999999967</v>
      </c>
    </row>
    <row r="4" customFormat="false" ht="12.8" hidden="false" customHeight="false" outlineLevel="0" collapsed="false">
      <c r="A4" s="12" t="n">
        <v>3</v>
      </c>
      <c r="B4" s="12" t="n">
        <v>2</v>
      </c>
      <c r="C4" s="35" t="s">
        <v>45</v>
      </c>
      <c r="D4" s="19" t="n">
        <v>6.36</v>
      </c>
      <c r="E4" s="19" t="n">
        <v>-0.25</v>
      </c>
      <c r="F4" s="19" t="n">
        <v>-0.88</v>
      </c>
      <c r="G4" s="19" t="n">
        <v>5.22</v>
      </c>
      <c r="H4" s="19" t="n">
        <v>9.93</v>
      </c>
      <c r="I4" s="19" t="n">
        <v>4.71</v>
      </c>
      <c r="J4" s="19" t="n">
        <v>9.96</v>
      </c>
      <c r="K4" s="19" t="n">
        <v>0.0199999999999996</v>
      </c>
      <c r="L4" s="19" t="n">
        <v>0.007</v>
      </c>
      <c r="O4" s="19" t="n">
        <f aca="false">J4</f>
        <v>9.96</v>
      </c>
      <c r="P4" s="19" t="n">
        <v>6.36</v>
      </c>
      <c r="Q4" s="19" t="n">
        <v>-0.25</v>
      </c>
      <c r="R4" s="19" t="n">
        <v>-0.88</v>
      </c>
      <c r="S4" s="19" t="n">
        <v>4.71</v>
      </c>
      <c r="T4" s="19" t="n">
        <v>0.0199999999999996</v>
      </c>
      <c r="U4" s="19" t="n">
        <v>0.007</v>
      </c>
      <c r="V4" s="13" t="n">
        <f aca="false">SUM(P4:U4)</f>
        <v>9.967</v>
      </c>
      <c r="W4" s="13" t="n">
        <f aca="false">O4-V4</f>
        <v>-0.0069999999999979</v>
      </c>
    </row>
    <row r="5" customFormat="false" ht="12.8" hidden="false" customHeight="false" outlineLevel="0" collapsed="false">
      <c r="A5" s="12" t="n">
        <v>3</v>
      </c>
      <c r="B5" s="12" t="n">
        <v>3</v>
      </c>
      <c r="C5" s="35" t="s">
        <v>46</v>
      </c>
      <c r="D5" s="19" t="n">
        <v>5.95</v>
      </c>
      <c r="E5" s="19" t="n">
        <v>-0.29</v>
      </c>
      <c r="F5" s="19" t="n">
        <v>-0.62</v>
      </c>
      <c r="G5" s="19" t="n">
        <v>5.04</v>
      </c>
      <c r="H5" s="19" t="n">
        <v>9.75</v>
      </c>
      <c r="I5" s="19" t="n">
        <v>4.71</v>
      </c>
      <c r="J5" s="19" t="n">
        <v>9.74</v>
      </c>
      <c r="K5" s="19" t="n">
        <v>-0.00999999999999979</v>
      </c>
      <c r="L5" s="19" t="n">
        <v>-0.004</v>
      </c>
      <c r="O5" s="19" t="n">
        <f aca="false">J5</f>
        <v>9.74</v>
      </c>
      <c r="P5" s="19" t="n">
        <v>5.95</v>
      </c>
      <c r="Q5" s="19" t="n">
        <v>-0.29</v>
      </c>
      <c r="R5" s="19" t="n">
        <v>-0.62</v>
      </c>
      <c r="S5" s="19" t="n">
        <v>4.71</v>
      </c>
      <c r="T5" s="19" t="n">
        <v>-0.00999999999999979</v>
      </c>
      <c r="U5" s="19" t="n">
        <v>-0.004</v>
      </c>
      <c r="V5" s="13" t="n">
        <f aca="false">SUM(P5:U5)</f>
        <v>9.736</v>
      </c>
      <c r="W5" s="13" t="n">
        <f aca="false">O5-V5</f>
        <v>0.00399999999999956</v>
      </c>
    </row>
    <row r="6" customFormat="false" ht="12.8" hidden="false" customHeight="false" outlineLevel="0" collapsed="false">
      <c r="A6" s="12" t="n">
        <v>3</v>
      </c>
      <c r="B6" s="12" t="n">
        <v>4</v>
      </c>
      <c r="C6" s="35" t="s">
        <v>48</v>
      </c>
      <c r="D6" s="19" t="n">
        <v>5.83</v>
      </c>
      <c r="E6" s="19" t="n">
        <v>-0.16</v>
      </c>
      <c r="F6" s="19" t="n">
        <v>-0.34</v>
      </c>
      <c r="G6" s="19" t="n">
        <v>5.33</v>
      </c>
      <c r="H6" s="19" t="n">
        <v>10.04</v>
      </c>
      <c r="I6" s="19" t="n">
        <v>4.71</v>
      </c>
      <c r="J6" s="19" t="n">
        <v>10.01</v>
      </c>
      <c r="K6" s="19" t="n">
        <v>-0.0199999999999996</v>
      </c>
      <c r="L6" s="19" t="n">
        <v>-0.01</v>
      </c>
      <c r="O6" s="19" t="n">
        <f aca="false">J6</f>
        <v>10.01</v>
      </c>
      <c r="P6" s="19" t="n">
        <v>5.83</v>
      </c>
      <c r="Q6" s="19" t="n">
        <v>-0.16</v>
      </c>
      <c r="R6" s="19" t="n">
        <v>-0.34</v>
      </c>
      <c r="S6" s="19" t="n">
        <v>4.71</v>
      </c>
      <c r="T6" s="19" t="n">
        <v>-0.0199999999999996</v>
      </c>
      <c r="U6" s="19" t="n">
        <v>-0.01</v>
      </c>
      <c r="V6" s="13" t="n">
        <f aca="false">SUM(P6:U6)</f>
        <v>10.01</v>
      </c>
      <c r="W6" s="13" t="n">
        <f aca="false">O6-V6</f>
        <v>0</v>
      </c>
    </row>
    <row r="7" customFormat="false" ht="12.8" hidden="false" customHeight="false" outlineLevel="0" collapsed="false">
      <c r="A7" s="12" t="n">
        <v>3</v>
      </c>
      <c r="B7" s="12" t="n">
        <v>5</v>
      </c>
      <c r="C7" s="35" t="s">
        <v>49</v>
      </c>
      <c r="D7" s="19" t="n">
        <v>6.92</v>
      </c>
      <c r="E7" s="19" t="n">
        <v>-0.57</v>
      </c>
      <c r="F7" s="19" t="n">
        <v>-0.87</v>
      </c>
      <c r="G7" s="19" t="n">
        <v>5.47</v>
      </c>
      <c r="H7" s="19" t="n">
        <v>10.18</v>
      </c>
      <c r="I7" s="19" t="n">
        <v>4.71</v>
      </c>
      <c r="J7" s="19" t="n">
        <v>10.16</v>
      </c>
      <c r="K7" s="19" t="n">
        <v>-0.0199999999999996</v>
      </c>
      <c r="L7" s="19" t="n">
        <v>0.007</v>
      </c>
      <c r="O7" s="19" t="n">
        <f aca="false">J7</f>
        <v>10.16</v>
      </c>
      <c r="P7" s="19" t="n">
        <v>6.92</v>
      </c>
      <c r="Q7" s="19" t="n">
        <v>-0.57</v>
      </c>
      <c r="R7" s="19" t="n">
        <v>-0.87</v>
      </c>
      <c r="S7" s="19" t="n">
        <v>4.71</v>
      </c>
      <c r="T7" s="19" t="n">
        <v>-0.0199999999999996</v>
      </c>
      <c r="U7" s="19" t="n">
        <v>0.007</v>
      </c>
      <c r="V7" s="13" t="n">
        <f aca="false">SUM(P7:U7)</f>
        <v>10.177</v>
      </c>
      <c r="W7" s="13" t="n">
        <f aca="false">O7-V7</f>
        <v>-0.0169999999999995</v>
      </c>
    </row>
    <row r="8" customFormat="false" ht="12.8" hidden="false" customHeight="false" outlineLevel="0" collapsed="false">
      <c r="A8" s="12" t="n">
        <v>3</v>
      </c>
      <c r="B8" s="12" t="n">
        <v>6</v>
      </c>
      <c r="C8" s="35" t="s">
        <v>50</v>
      </c>
      <c r="D8" s="19" t="n">
        <v>6.09</v>
      </c>
      <c r="E8" s="19" t="n">
        <v>-0.25</v>
      </c>
      <c r="F8" s="19" t="n">
        <v>-0.5</v>
      </c>
      <c r="G8" s="19" t="n">
        <v>5.33</v>
      </c>
      <c r="H8" s="19" t="n">
        <v>10.04</v>
      </c>
      <c r="I8" s="19" t="n">
        <v>4.71</v>
      </c>
      <c r="J8" s="19" t="n">
        <v>10.03</v>
      </c>
      <c r="K8" s="19" t="n">
        <v>0.0400000000000009</v>
      </c>
      <c r="L8" s="19" t="n">
        <v>-0.05</v>
      </c>
      <c r="O8" s="19" t="n">
        <f aca="false">J8</f>
        <v>10.03</v>
      </c>
      <c r="P8" s="19" t="n">
        <v>6.09</v>
      </c>
      <c r="Q8" s="19" t="n">
        <v>-0.25</v>
      </c>
      <c r="R8" s="19" t="n">
        <v>-0.5</v>
      </c>
      <c r="S8" s="19" t="n">
        <v>4.71</v>
      </c>
      <c r="T8" s="19" t="n">
        <v>0.0400000000000009</v>
      </c>
      <c r="U8" s="19" t="n">
        <v>-0.05</v>
      </c>
      <c r="V8" s="13" t="n">
        <f aca="false">SUM(P8:U8)</f>
        <v>10.04</v>
      </c>
      <c r="W8" s="13" t="n">
        <f aca="false">O8-V8</f>
        <v>-0.00999999999999979</v>
      </c>
    </row>
    <row r="9" customFormat="false" ht="12.8" hidden="false" customHeight="false" outlineLevel="0" collapsed="false">
      <c r="A9" s="12" t="n">
        <v>3</v>
      </c>
      <c r="B9" s="12" t="n">
        <v>7</v>
      </c>
      <c r="C9" s="35" t="s">
        <v>51</v>
      </c>
      <c r="D9" s="19" t="n">
        <v>5.37</v>
      </c>
      <c r="E9" s="19" t="n">
        <v>-0.14</v>
      </c>
      <c r="F9" s="19" t="n">
        <v>-0.28</v>
      </c>
      <c r="G9" s="19" t="n">
        <v>4.95</v>
      </c>
      <c r="H9" s="19" t="n">
        <v>9.66</v>
      </c>
      <c r="I9" s="19" t="n">
        <v>4.71</v>
      </c>
      <c r="J9" s="19" t="n">
        <v>9.64</v>
      </c>
      <c r="K9" s="19" t="n">
        <v>0</v>
      </c>
      <c r="L9" s="19" t="n">
        <v>-0.019</v>
      </c>
      <c r="O9" s="19" t="n">
        <f aca="false">J9</f>
        <v>9.64</v>
      </c>
      <c r="P9" s="19" t="n">
        <v>5.37</v>
      </c>
      <c r="Q9" s="19" t="n">
        <v>-0.14</v>
      </c>
      <c r="R9" s="19" t="n">
        <v>-0.28</v>
      </c>
      <c r="S9" s="19" t="n">
        <v>4.71</v>
      </c>
      <c r="T9" s="19" t="n">
        <v>0</v>
      </c>
      <c r="U9" s="19" t="n">
        <v>-0.019</v>
      </c>
      <c r="V9" s="13" t="n">
        <f aca="false">SUM(P9:U9)</f>
        <v>9.641</v>
      </c>
      <c r="W9" s="13" t="n">
        <f aca="false">O9-V9</f>
        <v>-0.000999999999999446</v>
      </c>
    </row>
    <row r="10" customFormat="false" ht="12.8" hidden="false" customHeight="false" outlineLevel="0" collapsed="false">
      <c r="A10" s="12" t="n">
        <v>3</v>
      </c>
      <c r="B10" s="12" t="n">
        <v>8</v>
      </c>
      <c r="C10" s="35" t="s">
        <v>52</v>
      </c>
      <c r="D10" s="19" t="n">
        <v>5.04</v>
      </c>
      <c r="E10" s="19" t="n">
        <v>-0.02</v>
      </c>
      <c r="F10" s="19" t="n">
        <v>0.04</v>
      </c>
      <c r="G10" s="19" t="n">
        <v>5.06</v>
      </c>
      <c r="H10" s="19" t="n">
        <v>9.76</v>
      </c>
      <c r="I10" s="19" t="n">
        <v>4.71</v>
      </c>
      <c r="J10" s="19" t="n">
        <v>9.74</v>
      </c>
      <c r="K10" s="19" t="n">
        <v>-0.0299999999999994</v>
      </c>
      <c r="L10" s="19" t="n">
        <v>0.007</v>
      </c>
      <c r="O10" s="19" t="n">
        <f aca="false">J10</f>
        <v>9.74</v>
      </c>
      <c r="P10" s="19" t="n">
        <v>5.04</v>
      </c>
      <c r="Q10" s="19" t="n">
        <v>-0.02</v>
      </c>
      <c r="R10" s="19" t="n">
        <v>0.04</v>
      </c>
      <c r="S10" s="19" t="n">
        <v>4.71</v>
      </c>
      <c r="T10" s="19" t="n">
        <v>-0.0299999999999994</v>
      </c>
      <c r="U10" s="19" t="n">
        <v>0.007</v>
      </c>
      <c r="V10" s="13" t="n">
        <f aca="false">SUM(P10:U10)</f>
        <v>9.747</v>
      </c>
      <c r="W10" s="13" t="n">
        <f aca="false">O10-V10</f>
        <v>-0.00699999999999967</v>
      </c>
    </row>
    <row r="11" customFormat="false" ht="12.8" hidden="false" customHeight="false" outlineLevel="0" collapsed="false">
      <c r="A11" s="12" t="n">
        <v>3</v>
      </c>
      <c r="B11" s="12" t="n">
        <v>9</v>
      </c>
      <c r="C11" s="35" t="s">
        <v>53</v>
      </c>
      <c r="D11" s="19" t="n">
        <v>5.25</v>
      </c>
      <c r="E11" s="19" t="n">
        <v>-0.05</v>
      </c>
      <c r="F11" s="19" t="n">
        <v>-0.03</v>
      </c>
      <c r="G11" s="19" t="n">
        <v>5.17</v>
      </c>
      <c r="H11" s="19" t="n">
        <v>9.88</v>
      </c>
      <c r="I11" s="19" t="n">
        <v>4.71</v>
      </c>
      <c r="J11" s="19" t="n">
        <v>9.87</v>
      </c>
      <c r="K11" s="19" t="n">
        <v>-0.0100000000000016</v>
      </c>
      <c r="L11" s="19" t="n">
        <v>0.003</v>
      </c>
      <c r="O11" s="19" t="n">
        <f aca="false">J11</f>
        <v>9.87</v>
      </c>
      <c r="P11" s="19" t="n">
        <v>5.25</v>
      </c>
      <c r="Q11" s="19" t="n">
        <v>-0.05</v>
      </c>
      <c r="R11" s="19" t="n">
        <v>-0.03</v>
      </c>
      <c r="S11" s="19" t="n">
        <v>4.71</v>
      </c>
      <c r="T11" s="19" t="n">
        <v>-0.0100000000000016</v>
      </c>
      <c r="U11" s="19" t="n">
        <v>0.003</v>
      </c>
      <c r="V11" s="13" t="n">
        <f aca="false">SUM(P11:U11)</f>
        <v>9.873</v>
      </c>
      <c r="W11" s="13" t="n">
        <f aca="false">O11-V11</f>
        <v>-0.00300000000000011</v>
      </c>
    </row>
    <row r="12" customFormat="false" ht="12.8" hidden="false" customHeight="false" outlineLevel="0" collapsed="false">
      <c r="A12" s="12" t="n">
        <v>3</v>
      </c>
      <c r="B12" s="12" t="n">
        <v>10</v>
      </c>
      <c r="C12" s="35" t="s">
        <v>54</v>
      </c>
      <c r="D12" s="19" t="n">
        <v>5.13</v>
      </c>
      <c r="E12" s="19" t="n">
        <v>-0.02</v>
      </c>
      <c r="F12" s="19" t="n">
        <v>-0.07</v>
      </c>
      <c r="G12" s="19" t="n">
        <v>5.04</v>
      </c>
      <c r="H12" s="19" t="n">
        <v>9.74</v>
      </c>
      <c r="I12" s="19" t="n">
        <v>4.71</v>
      </c>
      <c r="J12" s="19" t="n">
        <v>9.66</v>
      </c>
      <c r="K12" s="19" t="n">
        <v>-0.0899999999999999</v>
      </c>
      <c r="L12" s="19" t="n">
        <v>0.007</v>
      </c>
      <c r="O12" s="19" t="n">
        <f aca="false">J12</f>
        <v>9.66</v>
      </c>
      <c r="P12" s="19" t="n">
        <v>5.13</v>
      </c>
      <c r="Q12" s="19" t="n">
        <v>-0.02</v>
      </c>
      <c r="R12" s="19" t="n">
        <v>-0.07</v>
      </c>
      <c r="S12" s="19" t="n">
        <v>4.71</v>
      </c>
      <c r="T12" s="19" t="n">
        <v>-0.0899999999999999</v>
      </c>
      <c r="U12" s="19" t="n">
        <v>0.007</v>
      </c>
      <c r="V12" s="13" t="n">
        <f aca="false">SUM(P12:U12)</f>
        <v>9.667</v>
      </c>
      <c r="W12" s="13" t="n">
        <f aca="false">O12-V12</f>
        <v>-0.00699999999999967</v>
      </c>
    </row>
    <row r="13" customFormat="false" ht="12.8" hidden="false" customHeight="false" outlineLevel="0" collapsed="false">
      <c r="A13" s="12" t="n">
        <v>3</v>
      </c>
      <c r="B13" s="12" t="n">
        <v>11</v>
      </c>
      <c r="C13" s="35" t="s">
        <v>56</v>
      </c>
      <c r="D13" s="19" t="n">
        <v>4.91</v>
      </c>
      <c r="E13" s="19" t="n">
        <v>-0.01</v>
      </c>
      <c r="F13" s="19" t="n">
        <v>0.17</v>
      </c>
      <c r="G13" s="19" t="n">
        <v>5.07</v>
      </c>
      <c r="H13" s="19" t="n">
        <v>9.78</v>
      </c>
      <c r="I13" s="19" t="n">
        <v>4.71</v>
      </c>
      <c r="J13" s="19" t="n">
        <v>9.8</v>
      </c>
      <c r="K13" s="19" t="n">
        <v>0.00999999999999979</v>
      </c>
      <c r="L13" s="19" t="n">
        <v>0.007</v>
      </c>
      <c r="O13" s="19" t="n">
        <f aca="false">J13</f>
        <v>9.8</v>
      </c>
      <c r="P13" s="19" t="n">
        <v>4.91</v>
      </c>
      <c r="Q13" s="19" t="n">
        <v>-0.01</v>
      </c>
      <c r="R13" s="19" t="n">
        <v>0.17</v>
      </c>
      <c r="S13" s="19" t="n">
        <v>4.71</v>
      </c>
      <c r="T13" s="19" t="n">
        <v>0.00999999999999979</v>
      </c>
      <c r="U13" s="19" t="n">
        <v>0.007</v>
      </c>
      <c r="V13" s="13" t="n">
        <f aca="false">SUM(P13:U13)</f>
        <v>9.797</v>
      </c>
      <c r="W13" s="13" t="n">
        <f aca="false">O13-V13</f>
        <v>0.00300000000000189</v>
      </c>
    </row>
    <row r="14" customFormat="false" ht="12.8" hidden="false" customHeight="false" outlineLevel="0" collapsed="false">
      <c r="A14" s="12" t="n">
        <v>3</v>
      </c>
      <c r="B14" s="12" t="n">
        <v>12</v>
      </c>
      <c r="C14" s="35" t="s">
        <v>58</v>
      </c>
      <c r="D14" s="19" t="n">
        <v>5.03</v>
      </c>
      <c r="E14" s="19" t="n">
        <v>-0.11</v>
      </c>
      <c r="F14" s="19" t="n">
        <v>0.16</v>
      </c>
      <c r="G14" s="19" t="n">
        <v>5.08</v>
      </c>
      <c r="H14" s="19" t="n">
        <v>9.79</v>
      </c>
      <c r="I14" s="19" t="n">
        <v>4.71</v>
      </c>
      <c r="J14" s="19" t="n">
        <v>9.79</v>
      </c>
      <c r="K14" s="19" t="n">
        <v>0</v>
      </c>
      <c r="L14" s="19" t="n">
        <v>0.007</v>
      </c>
      <c r="O14" s="19" t="n">
        <f aca="false">J14</f>
        <v>9.79</v>
      </c>
      <c r="P14" s="19" t="n">
        <v>5.03</v>
      </c>
      <c r="Q14" s="19" t="n">
        <v>-0.11</v>
      </c>
      <c r="R14" s="19" t="n">
        <v>0.16</v>
      </c>
      <c r="S14" s="19" t="n">
        <v>4.71</v>
      </c>
      <c r="T14" s="19" t="n">
        <v>0</v>
      </c>
      <c r="U14" s="19" t="n">
        <v>0.007</v>
      </c>
      <c r="V14" s="13" t="n">
        <f aca="false">SUM(P14:U14)</f>
        <v>9.797</v>
      </c>
      <c r="W14" s="13" t="n">
        <f aca="false">O14-V14</f>
        <v>-0.00700000000000145</v>
      </c>
    </row>
    <row r="15" customFormat="false" ht="12.8" hidden="false" customHeight="false" outlineLevel="0" collapsed="false">
      <c r="A15" s="12" t="n">
        <v>3</v>
      </c>
      <c r="B15" s="12" t="n">
        <v>13</v>
      </c>
      <c r="C15" s="35" t="s">
        <v>60</v>
      </c>
      <c r="D15" s="19" t="n">
        <v>4.32</v>
      </c>
      <c r="E15" s="19" t="n">
        <v>0.13</v>
      </c>
      <c r="F15" s="19" t="n">
        <v>0.69</v>
      </c>
      <c r="G15" s="19" t="n">
        <v>5.15</v>
      </c>
      <c r="H15" s="19" t="n">
        <v>9.85</v>
      </c>
      <c r="I15" s="19" t="n">
        <v>4.71</v>
      </c>
      <c r="J15" s="19" t="n">
        <v>9.84</v>
      </c>
      <c r="K15" s="19" t="n">
        <v>-0.0199999999999996</v>
      </c>
      <c r="L15" s="19" t="n">
        <v>0.007</v>
      </c>
      <c r="O15" s="19" t="n">
        <f aca="false">J15</f>
        <v>9.84</v>
      </c>
      <c r="P15" s="19" t="n">
        <v>4.32</v>
      </c>
      <c r="Q15" s="19" t="n">
        <v>0.13</v>
      </c>
      <c r="R15" s="19" t="n">
        <v>0.69</v>
      </c>
      <c r="S15" s="19" t="n">
        <v>4.71</v>
      </c>
      <c r="T15" s="19" t="n">
        <v>-0.0199999999999996</v>
      </c>
      <c r="U15" s="19" t="n">
        <v>0.007</v>
      </c>
      <c r="V15" s="13" t="n">
        <f aca="false">SUM(P15:U15)</f>
        <v>9.837</v>
      </c>
      <c r="W15" s="13" t="n">
        <f aca="false">O15-V15</f>
        <v>0.00300000000000011</v>
      </c>
    </row>
    <row r="16" customFormat="false" ht="12.8" hidden="false" customHeight="false" outlineLevel="0" collapsed="false">
      <c r="A16" s="12" t="n">
        <v>3</v>
      </c>
      <c r="B16" s="12" t="n">
        <v>14</v>
      </c>
      <c r="C16" s="35" t="s">
        <v>62</v>
      </c>
      <c r="D16" s="19" t="n">
        <v>4.85</v>
      </c>
      <c r="E16" s="19" t="n">
        <v>-0.05</v>
      </c>
      <c r="F16" s="19" t="n">
        <v>0.44</v>
      </c>
      <c r="G16" s="19" t="n">
        <v>5.24</v>
      </c>
      <c r="H16" s="19" t="n">
        <v>9.94</v>
      </c>
      <c r="I16" s="19" t="n">
        <v>4.71</v>
      </c>
      <c r="J16" s="19" t="n">
        <v>9.99</v>
      </c>
      <c r="K16" s="19" t="n">
        <v>0.0400000000000009</v>
      </c>
      <c r="L16" s="19" t="n">
        <v>0.007</v>
      </c>
      <c r="O16" s="19" t="n">
        <f aca="false">J16</f>
        <v>9.99</v>
      </c>
      <c r="P16" s="19" t="n">
        <v>4.85</v>
      </c>
      <c r="Q16" s="19" t="n">
        <v>-0.05</v>
      </c>
      <c r="R16" s="19" t="n">
        <v>0.44</v>
      </c>
      <c r="S16" s="19" t="n">
        <v>4.71</v>
      </c>
      <c r="T16" s="19" t="n">
        <v>0.0400000000000009</v>
      </c>
      <c r="U16" s="19" t="n">
        <v>0.007</v>
      </c>
      <c r="V16" s="13" t="n">
        <f aca="false">SUM(P16:U16)</f>
        <v>9.997</v>
      </c>
      <c r="W16" s="13" t="n">
        <f aca="false">O16-V16</f>
        <v>-0.00699999999999967</v>
      </c>
    </row>
    <row r="17" customFormat="false" ht="12.8" hidden="false" customHeight="false" outlineLevel="0" collapsed="false">
      <c r="A17" s="12" t="n">
        <v>3</v>
      </c>
      <c r="B17" s="12" t="n">
        <v>15</v>
      </c>
      <c r="C17" s="35" t="s">
        <v>64</v>
      </c>
      <c r="D17" s="19" t="n">
        <v>5.28</v>
      </c>
      <c r="E17" s="19" t="n">
        <v>-0.14</v>
      </c>
      <c r="F17" s="19" t="n">
        <v>-0.32</v>
      </c>
      <c r="G17" s="19" t="n">
        <v>4.82</v>
      </c>
      <c r="H17" s="19" t="n">
        <v>9.53</v>
      </c>
      <c r="I17" s="19" t="n">
        <v>4.71</v>
      </c>
      <c r="J17" s="19" t="n">
        <v>9.5</v>
      </c>
      <c r="K17" s="19" t="n">
        <v>-0.00999999999999979</v>
      </c>
      <c r="L17" s="19" t="n">
        <v>-0.02</v>
      </c>
      <c r="O17" s="19" t="n">
        <f aca="false">J17</f>
        <v>9.5</v>
      </c>
      <c r="P17" s="19" t="n">
        <v>5.28</v>
      </c>
      <c r="Q17" s="19" t="n">
        <v>-0.14</v>
      </c>
      <c r="R17" s="19" t="n">
        <v>-0.32</v>
      </c>
      <c r="S17" s="19" t="n">
        <v>4.71</v>
      </c>
      <c r="T17" s="19" t="n">
        <v>-0.00999999999999979</v>
      </c>
      <c r="U17" s="19" t="n">
        <v>-0.02</v>
      </c>
      <c r="V17" s="13" t="n">
        <f aca="false">SUM(P17:U17)</f>
        <v>9.5</v>
      </c>
      <c r="W17" s="13" t="n">
        <f aca="false">O17-V17</f>
        <v>0</v>
      </c>
    </row>
    <row r="18" customFormat="false" ht="12.8" hidden="false" customHeight="false" outlineLevel="0" collapsed="false">
      <c r="A18" s="12" t="n">
        <v>3</v>
      </c>
      <c r="B18" s="12" t="n">
        <v>16</v>
      </c>
      <c r="C18" s="35" t="s">
        <v>66</v>
      </c>
      <c r="D18" s="19" t="n">
        <v>4.91</v>
      </c>
      <c r="E18" s="19" t="n">
        <v>-0.09</v>
      </c>
      <c r="F18" s="19" t="n">
        <v>0.13</v>
      </c>
      <c r="G18" s="19" t="n">
        <v>4.95</v>
      </c>
      <c r="H18" s="19" t="n">
        <v>9.65</v>
      </c>
      <c r="I18" s="19" t="n">
        <v>4.71</v>
      </c>
      <c r="J18" s="19" t="n">
        <v>9.59</v>
      </c>
      <c r="K18" s="19" t="n">
        <v>0</v>
      </c>
      <c r="L18" s="19" t="n">
        <v>-0.056</v>
      </c>
      <c r="O18" s="19" t="n">
        <f aca="false">J18</f>
        <v>9.59</v>
      </c>
      <c r="P18" s="19" t="n">
        <v>4.91</v>
      </c>
      <c r="Q18" s="19" t="n">
        <v>-0.09</v>
      </c>
      <c r="R18" s="19" t="n">
        <v>0.13</v>
      </c>
      <c r="S18" s="19" t="n">
        <v>4.71</v>
      </c>
      <c r="T18" s="19" t="n">
        <v>0</v>
      </c>
      <c r="U18" s="19" t="n">
        <v>-0.056</v>
      </c>
      <c r="V18" s="13" t="n">
        <f aca="false">SUM(P18:U18)</f>
        <v>9.604</v>
      </c>
      <c r="W18" s="13" t="n">
        <f aca="false">O18-V18</f>
        <v>-0.0140000000000011</v>
      </c>
    </row>
    <row r="19" customFormat="false" ht="12.8" hidden="false" customHeight="false" outlineLevel="0" collapsed="false">
      <c r="A19" s="12" t="n">
        <v>3</v>
      </c>
      <c r="B19" s="12" t="n">
        <v>17</v>
      </c>
      <c r="C19" s="35" t="s">
        <v>67</v>
      </c>
      <c r="D19" s="19" t="n">
        <v>5.36</v>
      </c>
      <c r="E19" s="19" t="n">
        <v>-0.03</v>
      </c>
      <c r="F19" s="19" t="n">
        <v>0.02</v>
      </c>
      <c r="G19" s="19" t="n">
        <v>5.35</v>
      </c>
      <c r="H19" s="19" t="n">
        <v>10.06</v>
      </c>
      <c r="I19" s="19" t="n">
        <v>4.71</v>
      </c>
      <c r="J19" s="19" t="n">
        <v>10.11</v>
      </c>
      <c r="K19" s="19" t="n">
        <v>0.0399999999999992</v>
      </c>
      <c r="L19" s="19" t="n">
        <v>0.007</v>
      </c>
      <c r="O19" s="19" t="n">
        <f aca="false">J19</f>
        <v>10.11</v>
      </c>
      <c r="P19" s="19" t="n">
        <v>5.36</v>
      </c>
      <c r="Q19" s="19" t="n">
        <v>-0.03</v>
      </c>
      <c r="R19" s="19" t="n">
        <v>0.02</v>
      </c>
      <c r="S19" s="19" t="n">
        <v>4.71</v>
      </c>
      <c r="T19" s="19" t="n">
        <v>0.0399999999999992</v>
      </c>
      <c r="U19" s="19" t="n">
        <v>0.007</v>
      </c>
      <c r="V19" s="13" t="n">
        <f aca="false">SUM(P19:U19)</f>
        <v>10.107</v>
      </c>
      <c r="W19" s="13" t="n">
        <f aca="false">O19-V19</f>
        <v>0.00300000000000011</v>
      </c>
    </row>
    <row r="20" customFormat="false" ht="12.8" hidden="false" customHeight="false" outlineLevel="0" collapsed="false">
      <c r="A20" s="12" t="n">
        <v>3</v>
      </c>
      <c r="B20" s="12" t="n">
        <v>18</v>
      </c>
      <c r="C20" s="35" t="s">
        <v>69</v>
      </c>
      <c r="D20" s="19" t="n">
        <v>5.42</v>
      </c>
      <c r="E20" s="19" t="n">
        <v>-0.12</v>
      </c>
      <c r="F20" s="19" t="n">
        <v>-0.04</v>
      </c>
      <c r="G20" s="19" t="n">
        <v>5.26</v>
      </c>
      <c r="H20" s="19" t="n">
        <v>9.96</v>
      </c>
      <c r="I20" s="19" t="n">
        <v>4.71</v>
      </c>
      <c r="J20" s="19" t="n">
        <v>9.98</v>
      </c>
      <c r="K20" s="19" t="n">
        <v>0.0599999999999987</v>
      </c>
      <c r="L20" s="19" t="n">
        <v>-0.043</v>
      </c>
      <c r="O20" s="19" t="n">
        <f aca="false">J20</f>
        <v>9.98</v>
      </c>
      <c r="P20" s="19" t="n">
        <v>5.42</v>
      </c>
      <c r="Q20" s="19" t="n">
        <v>-0.12</v>
      </c>
      <c r="R20" s="19" t="n">
        <v>-0.04</v>
      </c>
      <c r="S20" s="19" t="n">
        <v>4.71</v>
      </c>
      <c r="T20" s="19" t="n">
        <v>0.0599999999999987</v>
      </c>
      <c r="U20" s="19" t="n">
        <v>-0.043</v>
      </c>
      <c r="V20" s="13" t="n">
        <f aca="false">SUM(P20:U20)</f>
        <v>9.987</v>
      </c>
      <c r="W20" s="13" t="n">
        <f aca="false">O20-V20</f>
        <v>-0.00699999999999967</v>
      </c>
    </row>
    <row r="21" customFormat="false" ht="12.8" hidden="false" customHeight="false" outlineLevel="0" collapsed="false">
      <c r="A21" s="12" t="n">
        <v>3</v>
      </c>
      <c r="B21" s="12" t="n">
        <v>19</v>
      </c>
      <c r="C21" s="35" t="s">
        <v>75</v>
      </c>
      <c r="D21" s="19" t="n">
        <v>5.45</v>
      </c>
      <c r="E21" s="19" t="n">
        <v>-0.14</v>
      </c>
      <c r="F21" s="19" t="n">
        <v>-0.17</v>
      </c>
      <c r="G21" s="19" t="n">
        <v>5.14</v>
      </c>
      <c r="H21" s="19" t="n">
        <v>9.85</v>
      </c>
      <c r="I21" s="19" t="n">
        <v>4.71</v>
      </c>
      <c r="J21" s="19" t="n">
        <v>9.79</v>
      </c>
      <c r="K21" s="19" t="n">
        <v>-0.0700000000000003</v>
      </c>
      <c r="L21" s="19" t="n">
        <v>0.007</v>
      </c>
      <c r="O21" s="19" t="n">
        <f aca="false">J21</f>
        <v>9.79</v>
      </c>
      <c r="P21" s="19" t="n">
        <v>5.45</v>
      </c>
      <c r="Q21" s="19" t="n">
        <v>-0.14</v>
      </c>
      <c r="R21" s="19" t="n">
        <v>-0.17</v>
      </c>
      <c r="S21" s="19" t="n">
        <v>4.71</v>
      </c>
      <c r="T21" s="19" t="n">
        <v>-0.0700000000000003</v>
      </c>
      <c r="U21" s="19" t="n">
        <v>0.007</v>
      </c>
      <c r="V21" s="13" t="n">
        <f aca="false">SUM(P21:U21)</f>
        <v>9.787</v>
      </c>
      <c r="W21" s="13" t="n">
        <f aca="false">O21-V21</f>
        <v>0.00300000000000011</v>
      </c>
    </row>
    <row r="22" customFormat="false" ht="12.8" hidden="false" customHeight="false" outlineLevel="0" collapsed="false">
      <c r="A22" s="12" t="n">
        <v>3</v>
      </c>
      <c r="B22" s="12" t="n">
        <v>20</v>
      </c>
      <c r="C22" s="35" t="s">
        <v>76</v>
      </c>
      <c r="D22" s="19" t="n">
        <v>5.24</v>
      </c>
      <c r="E22" s="19" t="n">
        <v>-0.07</v>
      </c>
      <c r="F22" s="19" t="n">
        <v>-0.21</v>
      </c>
      <c r="G22" s="19" t="n">
        <v>4.95</v>
      </c>
      <c r="H22" s="19" t="n">
        <v>9.66</v>
      </c>
      <c r="I22" s="19" t="n">
        <v>4.71</v>
      </c>
      <c r="J22" s="19" t="n">
        <v>9.71</v>
      </c>
      <c r="K22" s="19" t="n">
        <v>0.0399999999999992</v>
      </c>
      <c r="L22" s="19" t="n">
        <v>0.007</v>
      </c>
      <c r="O22" s="19" t="n">
        <f aca="false">J22</f>
        <v>9.71</v>
      </c>
      <c r="P22" s="19" t="n">
        <v>5.24</v>
      </c>
      <c r="Q22" s="19" t="n">
        <v>-0.07</v>
      </c>
      <c r="R22" s="19" t="n">
        <v>-0.21</v>
      </c>
      <c r="S22" s="19" t="n">
        <v>4.71</v>
      </c>
      <c r="T22" s="19" t="n">
        <v>0.0399999999999992</v>
      </c>
      <c r="U22" s="19" t="n">
        <v>0.007</v>
      </c>
      <c r="V22" s="13" t="n">
        <f aca="false">SUM(P22:U22)</f>
        <v>9.717</v>
      </c>
      <c r="W22" s="13" t="n">
        <f aca="false">O22-V22</f>
        <v>-0.0069999999999979</v>
      </c>
    </row>
    <row r="23" customFormat="false" ht="12.8" hidden="false" customHeight="false" outlineLevel="0" collapsed="false">
      <c r="A23" s="12" t="n">
        <v>3</v>
      </c>
      <c r="B23" s="12" t="n">
        <v>21</v>
      </c>
      <c r="C23" s="35" t="s">
        <v>78</v>
      </c>
      <c r="D23" s="19" t="n">
        <v>5.19</v>
      </c>
      <c r="E23" s="19" t="n">
        <v>0.01</v>
      </c>
      <c r="F23" s="19" t="n">
        <v>-0.06</v>
      </c>
      <c r="G23" s="19" t="n">
        <v>5.14</v>
      </c>
      <c r="H23" s="19" t="n">
        <v>9.85</v>
      </c>
      <c r="I23" s="19" t="n">
        <v>4.71</v>
      </c>
      <c r="J23" s="19" t="n">
        <v>9.83</v>
      </c>
      <c r="K23" s="19" t="n">
        <v>-0.0299999999999994</v>
      </c>
      <c r="L23" s="19" t="n">
        <v>0.007</v>
      </c>
      <c r="O23" s="19" t="n">
        <f aca="false">J23</f>
        <v>9.83</v>
      </c>
      <c r="P23" s="19" t="n">
        <v>5.19</v>
      </c>
      <c r="Q23" s="19" t="n">
        <v>0.01</v>
      </c>
      <c r="R23" s="19" t="n">
        <v>-0.06</v>
      </c>
      <c r="S23" s="19" t="n">
        <v>4.71</v>
      </c>
      <c r="T23" s="19" t="n">
        <v>-0.0299999999999994</v>
      </c>
      <c r="U23" s="19" t="n">
        <v>0.007</v>
      </c>
      <c r="V23" s="13" t="n">
        <f aca="false">SUM(P23:U23)</f>
        <v>9.827</v>
      </c>
      <c r="W23" s="13" t="n">
        <f aca="false">O23-V23</f>
        <v>0.00300000000000011</v>
      </c>
    </row>
    <row r="24" customFormat="false" ht="12.8" hidden="false" customHeight="false" outlineLevel="0" collapsed="false">
      <c r="A24" s="12" t="n">
        <v>3</v>
      </c>
      <c r="B24" s="12" t="n">
        <v>22</v>
      </c>
      <c r="C24" s="35" t="s">
        <v>80</v>
      </c>
      <c r="D24" s="19" t="n">
        <v>4.94</v>
      </c>
      <c r="E24" s="19" t="n">
        <v>-0.06</v>
      </c>
      <c r="F24" s="19" t="n">
        <v>0.12</v>
      </c>
      <c r="G24" s="19" t="n">
        <v>5</v>
      </c>
      <c r="H24" s="19" t="n">
        <v>9.7</v>
      </c>
      <c r="I24" s="19" t="n">
        <v>4.71</v>
      </c>
      <c r="J24" s="19" t="n">
        <v>9.72</v>
      </c>
      <c r="K24" s="19" t="n">
        <v>0.0200000000000014</v>
      </c>
      <c r="L24" s="19" t="n">
        <v>0.007</v>
      </c>
      <c r="O24" s="19" t="n">
        <f aca="false">J24</f>
        <v>9.72</v>
      </c>
      <c r="P24" s="19" t="n">
        <v>4.94</v>
      </c>
      <c r="Q24" s="19" t="n">
        <v>-0.06</v>
      </c>
      <c r="R24" s="19" t="n">
        <v>0.12</v>
      </c>
      <c r="S24" s="19" t="n">
        <v>4.71</v>
      </c>
      <c r="T24" s="19" t="n">
        <v>0.0200000000000014</v>
      </c>
      <c r="U24" s="19" t="n">
        <v>0.007</v>
      </c>
      <c r="V24" s="13" t="n">
        <f aca="false">SUM(P24:U24)</f>
        <v>9.737</v>
      </c>
      <c r="W24" s="13" t="n">
        <f aca="false">O24-V24</f>
        <v>-0.0170000000000012</v>
      </c>
    </row>
    <row r="25" customFormat="false" ht="12.8" hidden="false" customHeight="false" outlineLevel="0" collapsed="false">
      <c r="A25" s="12" t="n">
        <v>3</v>
      </c>
      <c r="B25" s="12" t="n">
        <v>23</v>
      </c>
      <c r="C25" s="35" t="s">
        <v>81</v>
      </c>
      <c r="D25" s="19" t="n">
        <v>4.68</v>
      </c>
      <c r="E25" s="19" t="n">
        <v>0.19</v>
      </c>
      <c r="F25" s="19" t="n">
        <v>0.31</v>
      </c>
      <c r="G25" s="19" t="n">
        <v>5.18</v>
      </c>
      <c r="H25" s="19" t="n">
        <v>9.89</v>
      </c>
      <c r="I25" s="19" t="n">
        <v>4.71</v>
      </c>
      <c r="J25" s="19" t="n">
        <v>9.91</v>
      </c>
      <c r="K25" s="19" t="n">
        <v>0.00999999999999979</v>
      </c>
      <c r="L25" s="19" t="n">
        <v>0.007</v>
      </c>
      <c r="O25" s="19" t="n">
        <f aca="false">J25</f>
        <v>9.91</v>
      </c>
      <c r="P25" s="19" t="n">
        <v>4.68</v>
      </c>
      <c r="Q25" s="19" t="n">
        <v>0.19</v>
      </c>
      <c r="R25" s="19" t="n">
        <v>0.31</v>
      </c>
      <c r="S25" s="19" t="n">
        <v>4.71</v>
      </c>
      <c r="T25" s="19" t="n">
        <v>0.00999999999999979</v>
      </c>
      <c r="U25" s="19" t="n">
        <v>0.007</v>
      </c>
      <c r="V25" s="13" t="n">
        <f aca="false">SUM(P25:U25)</f>
        <v>9.907</v>
      </c>
      <c r="W25" s="13" t="n">
        <f aca="false">O25-V25</f>
        <v>0.00300000000000011</v>
      </c>
    </row>
    <row r="26" customFormat="false" ht="12.8" hidden="false" customHeight="false" outlineLevel="0" collapsed="false">
      <c r="A26" s="12" t="n">
        <v>3</v>
      </c>
      <c r="B26" s="12" t="n">
        <v>24</v>
      </c>
      <c r="C26" s="35" t="s">
        <v>83</v>
      </c>
      <c r="D26" s="19" t="n">
        <v>5.04</v>
      </c>
      <c r="E26" s="19" t="n">
        <v>0.04</v>
      </c>
      <c r="F26" s="19" t="n">
        <v>0.04</v>
      </c>
      <c r="G26" s="19" t="n">
        <v>5.13</v>
      </c>
      <c r="H26" s="19" t="n">
        <v>9.83</v>
      </c>
      <c r="I26" s="19" t="n">
        <v>4.71</v>
      </c>
      <c r="J26" s="19" t="n">
        <v>9.81</v>
      </c>
      <c r="K26" s="19" t="n">
        <v>-0.0199999999999996</v>
      </c>
      <c r="L26" s="19" t="n">
        <v>0.007</v>
      </c>
      <c r="O26" s="19" t="n">
        <f aca="false">J26</f>
        <v>9.81</v>
      </c>
      <c r="P26" s="19" t="n">
        <v>5.04</v>
      </c>
      <c r="Q26" s="19" t="n">
        <v>0.04</v>
      </c>
      <c r="R26" s="19" t="n">
        <v>0.04</v>
      </c>
      <c r="S26" s="19" t="n">
        <v>4.71</v>
      </c>
      <c r="T26" s="19" t="n">
        <v>-0.0199999999999996</v>
      </c>
      <c r="U26" s="19" t="n">
        <v>0.007</v>
      </c>
      <c r="V26" s="13" t="n">
        <f aca="false">SUM(P26:U26)</f>
        <v>9.817</v>
      </c>
      <c r="W26" s="13" t="n">
        <f aca="false">O26-V26</f>
        <v>-0.00699999999999967</v>
      </c>
    </row>
    <row r="27" customFormat="false" ht="12.8" hidden="false" customHeight="false" outlineLevel="0" collapsed="false">
      <c r="A27" s="12" t="n">
        <v>3</v>
      </c>
      <c r="B27" s="12" t="n">
        <v>25</v>
      </c>
      <c r="C27" s="35" t="s">
        <v>84</v>
      </c>
      <c r="D27" s="19" t="n">
        <v>5.22</v>
      </c>
      <c r="E27" s="19" t="n">
        <v>0.05</v>
      </c>
      <c r="F27" s="19" t="n">
        <v>-0.15</v>
      </c>
      <c r="G27" s="19" t="n">
        <v>5.13</v>
      </c>
      <c r="H27" s="19" t="n">
        <v>9.84</v>
      </c>
      <c r="I27" s="19" t="n">
        <v>4.71</v>
      </c>
      <c r="J27" s="19" t="n">
        <v>9.78</v>
      </c>
      <c r="K27" s="19" t="n">
        <v>-0.0199999999999996</v>
      </c>
      <c r="L27" s="19" t="n">
        <v>-0.047</v>
      </c>
      <c r="O27" s="19" t="n">
        <f aca="false">J27</f>
        <v>9.78</v>
      </c>
      <c r="P27" s="19" t="n">
        <v>5.22</v>
      </c>
      <c r="Q27" s="19" t="n">
        <v>0.05</v>
      </c>
      <c r="R27" s="19" t="n">
        <v>-0.15</v>
      </c>
      <c r="S27" s="19" t="n">
        <v>4.71</v>
      </c>
      <c r="T27" s="19" t="n">
        <v>-0.0199999999999996</v>
      </c>
      <c r="U27" s="19" t="n">
        <v>-0.047</v>
      </c>
      <c r="V27" s="13" t="n">
        <f aca="false">SUM(P27:U27)</f>
        <v>9.763</v>
      </c>
      <c r="W27" s="13" t="n">
        <f aca="false">O27-V27</f>
        <v>0.0169999999999995</v>
      </c>
    </row>
    <row r="28" customFormat="false" ht="12.8" hidden="false" customHeight="false" outlineLevel="0" collapsed="false">
      <c r="A28" s="12" t="n">
        <v>3</v>
      </c>
      <c r="B28" s="12" t="n">
        <v>26</v>
      </c>
      <c r="C28" s="35" t="s">
        <v>88</v>
      </c>
      <c r="D28" s="19" t="n">
        <v>5.23</v>
      </c>
      <c r="E28" s="19" t="n">
        <v>0.06</v>
      </c>
      <c r="F28" s="19" t="n">
        <v>0.05</v>
      </c>
      <c r="G28" s="19" t="n">
        <v>5.33</v>
      </c>
      <c r="H28" s="19" t="n">
        <v>10.04</v>
      </c>
      <c r="I28" s="19" t="n">
        <v>4.71</v>
      </c>
      <c r="J28" s="19" t="n">
        <v>10.06</v>
      </c>
      <c r="K28" s="19" t="n">
        <v>0.0100000000000016</v>
      </c>
      <c r="L28" s="19" t="n">
        <v>0.004</v>
      </c>
      <c r="O28" s="19" t="n">
        <f aca="false">J28</f>
        <v>10.06</v>
      </c>
      <c r="P28" s="19" t="n">
        <v>5.23</v>
      </c>
      <c r="Q28" s="19" t="n">
        <v>0.06</v>
      </c>
      <c r="R28" s="19" t="n">
        <v>0.05</v>
      </c>
      <c r="S28" s="19" t="n">
        <v>4.71</v>
      </c>
      <c r="T28" s="19" t="n">
        <v>0.0100000000000016</v>
      </c>
      <c r="U28" s="19" t="n">
        <v>0.004</v>
      </c>
      <c r="V28" s="13" t="n">
        <f aca="false">SUM(P28:U28)</f>
        <v>10.064</v>
      </c>
      <c r="W28" s="13" t="n">
        <f aca="false">O28-V28</f>
        <v>-0.00400000000000134</v>
      </c>
    </row>
    <row r="29" customFormat="false" ht="12.8" hidden="false" customHeight="false" outlineLevel="0" collapsed="false">
      <c r="A29" s="12" t="n">
        <v>3</v>
      </c>
      <c r="B29" s="12" t="n">
        <v>27</v>
      </c>
      <c r="C29" s="35" t="s">
        <v>89</v>
      </c>
      <c r="D29" s="19" t="n">
        <v>5.22</v>
      </c>
      <c r="E29" s="19" t="n">
        <v>0.17</v>
      </c>
      <c r="F29" s="19" t="n">
        <v>0.16</v>
      </c>
      <c r="G29" s="19" t="n">
        <v>5.55</v>
      </c>
      <c r="H29" s="19" t="n">
        <v>10.26</v>
      </c>
      <c r="I29" s="19" t="n">
        <v>4.71</v>
      </c>
      <c r="J29" s="19" t="n">
        <v>10.29</v>
      </c>
      <c r="K29" s="19" t="n">
        <v>0.0199999999999996</v>
      </c>
      <c r="L29" s="19" t="n">
        <v>0.007</v>
      </c>
      <c r="O29" s="19" t="n">
        <f aca="false">J29</f>
        <v>10.29</v>
      </c>
      <c r="P29" s="19" t="n">
        <v>5.22</v>
      </c>
      <c r="Q29" s="19" t="n">
        <v>0.17</v>
      </c>
      <c r="R29" s="19" t="n">
        <v>0.16</v>
      </c>
      <c r="S29" s="19" t="n">
        <v>4.71</v>
      </c>
      <c r="T29" s="19" t="n">
        <v>0.0199999999999996</v>
      </c>
      <c r="U29" s="19" t="n">
        <v>0.007</v>
      </c>
      <c r="V29" s="13" t="n">
        <f aca="false">SUM(P29:U29)</f>
        <v>10.287</v>
      </c>
      <c r="W29" s="13" t="n">
        <f aca="false">O29-V29</f>
        <v>0.00300000000000011</v>
      </c>
    </row>
    <row r="30" customFormat="false" ht="12.8" hidden="false" customHeight="false" outlineLevel="0" collapsed="false">
      <c r="A30" s="12" t="n">
        <v>3</v>
      </c>
      <c r="B30" s="12" t="n">
        <v>28</v>
      </c>
      <c r="C30" s="35" t="s">
        <v>90</v>
      </c>
      <c r="D30" s="19" t="n">
        <v>5.47</v>
      </c>
      <c r="E30" s="19" t="n">
        <v>0.03</v>
      </c>
      <c r="F30" s="19" t="n">
        <v>-0.01</v>
      </c>
      <c r="G30" s="19" t="n">
        <v>5.49</v>
      </c>
      <c r="H30" s="19" t="n">
        <v>10.19</v>
      </c>
      <c r="I30" s="19" t="n">
        <v>4.71</v>
      </c>
      <c r="J30" s="19" t="n">
        <v>10.24</v>
      </c>
      <c r="K30" s="19" t="n">
        <v>0.0400000000000009</v>
      </c>
      <c r="L30" s="19" t="n">
        <v>0.007</v>
      </c>
      <c r="O30" s="19" t="n">
        <f aca="false">J30</f>
        <v>10.24</v>
      </c>
      <c r="P30" s="19" t="n">
        <v>5.47</v>
      </c>
      <c r="Q30" s="19" t="n">
        <v>0.03</v>
      </c>
      <c r="R30" s="19" t="n">
        <v>-0.01</v>
      </c>
      <c r="S30" s="19" t="n">
        <v>4.71</v>
      </c>
      <c r="T30" s="19" t="n">
        <v>0.0400000000000009</v>
      </c>
      <c r="U30" s="19" t="n">
        <v>0.007</v>
      </c>
      <c r="V30" s="13" t="n">
        <f aca="false">SUM(P30:U30)</f>
        <v>10.247</v>
      </c>
      <c r="W30" s="13" t="n">
        <f aca="false">O30-V30</f>
        <v>-0.00699999999999967</v>
      </c>
    </row>
    <row r="31" customFormat="false" ht="12.8" hidden="false" customHeight="false" outlineLevel="0" collapsed="false">
      <c r="A31" s="12" t="n">
        <v>3</v>
      </c>
      <c r="B31" s="12" t="n">
        <v>29</v>
      </c>
      <c r="C31" s="35" t="s">
        <v>91</v>
      </c>
      <c r="D31" s="19" t="n">
        <v>5.81</v>
      </c>
      <c r="E31" s="19" t="n">
        <v>-0.03</v>
      </c>
      <c r="F31" s="19" t="n">
        <v>-0.44</v>
      </c>
      <c r="G31" s="19" t="n">
        <v>5.34</v>
      </c>
      <c r="H31" s="19" t="n">
        <v>10.04</v>
      </c>
      <c r="I31" s="19" t="n">
        <v>4.71</v>
      </c>
      <c r="J31" s="19" t="n">
        <v>10</v>
      </c>
      <c r="K31" s="19" t="n">
        <v>-0.0299999999999994</v>
      </c>
      <c r="L31" s="19" t="n">
        <v>-0.007</v>
      </c>
      <c r="O31" s="19" t="n">
        <f aca="false">J31</f>
        <v>10</v>
      </c>
      <c r="P31" s="19" t="n">
        <v>5.81</v>
      </c>
      <c r="Q31" s="19" t="n">
        <v>-0.03</v>
      </c>
      <c r="R31" s="19" t="n">
        <v>-0.44</v>
      </c>
      <c r="S31" s="19" t="n">
        <v>4.71</v>
      </c>
      <c r="T31" s="19" t="n">
        <v>-0.0299999999999994</v>
      </c>
      <c r="U31" s="19" t="n">
        <v>-0.007</v>
      </c>
      <c r="V31" s="13" t="n">
        <f aca="false">SUM(P31:U31)</f>
        <v>10.013</v>
      </c>
      <c r="W31" s="13" t="n">
        <f aca="false">O31-V31</f>
        <v>-0.0129999999999999</v>
      </c>
    </row>
    <row r="32" customFormat="false" ht="12.8" hidden="false" customHeight="false" outlineLevel="0" collapsed="false">
      <c r="A32" s="12" t="n">
        <v>3</v>
      </c>
      <c r="B32" s="12" t="n">
        <v>30</v>
      </c>
      <c r="C32" s="35" t="s">
        <v>92</v>
      </c>
      <c r="D32" s="19" t="n">
        <v>5.96</v>
      </c>
      <c r="E32" s="19" t="n">
        <v>-0.01</v>
      </c>
      <c r="F32" s="19" t="n">
        <v>-0.52</v>
      </c>
      <c r="G32" s="19" t="n">
        <v>5.42</v>
      </c>
      <c r="H32" s="19" t="n">
        <v>10.13</v>
      </c>
      <c r="I32" s="19" t="n">
        <v>4.71</v>
      </c>
      <c r="J32" s="19" t="n">
        <v>10.11</v>
      </c>
      <c r="K32" s="19" t="n">
        <v>-0.0100000000000016</v>
      </c>
      <c r="L32" s="19" t="n">
        <v>-0.005</v>
      </c>
      <c r="O32" s="19" t="n">
        <f aca="false">J32</f>
        <v>10.11</v>
      </c>
      <c r="P32" s="19" t="n">
        <v>5.96</v>
      </c>
      <c r="Q32" s="19" t="n">
        <v>-0.01</v>
      </c>
      <c r="R32" s="19" t="n">
        <v>-0.52</v>
      </c>
      <c r="S32" s="19" t="n">
        <v>4.71</v>
      </c>
      <c r="T32" s="19" t="n">
        <v>-0.0100000000000016</v>
      </c>
      <c r="U32" s="19" t="n">
        <v>-0.005</v>
      </c>
      <c r="V32" s="13" t="n">
        <f aca="false">SUM(P32:U32)</f>
        <v>10.125</v>
      </c>
      <c r="W32" s="13" t="n">
        <f aca="false">O32-V32</f>
        <v>-0.0149999999999988</v>
      </c>
    </row>
    <row r="33" customFormat="false" ht="12.8" hidden="false" customHeight="false" outlineLevel="0" collapsed="false">
      <c r="A33" s="12" t="n">
        <v>3</v>
      </c>
      <c r="B33" s="12" t="n">
        <v>31</v>
      </c>
      <c r="C33" s="35" t="s">
        <v>93</v>
      </c>
      <c r="D33" s="19" t="n">
        <v>6.14</v>
      </c>
      <c r="E33" s="19" t="n">
        <v>-0.16</v>
      </c>
      <c r="F33" s="19" t="n">
        <v>-0.72</v>
      </c>
      <c r="G33" s="19" t="n">
        <v>5.27</v>
      </c>
      <c r="H33" s="19" t="n">
        <v>9.97</v>
      </c>
      <c r="I33" s="19" t="n">
        <v>4.71</v>
      </c>
      <c r="J33" s="19" t="n">
        <v>9.97</v>
      </c>
      <c r="K33" s="19" t="n">
        <v>-0.00999999999999979</v>
      </c>
      <c r="L33" s="19" t="n">
        <v>0.007</v>
      </c>
      <c r="O33" s="19" t="n">
        <f aca="false">J33</f>
        <v>9.97</v>
      </c>
      <c r="P33" s="19" t="n">
        <v>6.14</v>
      </c>
      <c r="Q33" s="19" t="n">
        <v>-0.16</v>
      </c>
      <c r="R33" s="19" t="n">
        <v>-0.72</v>
      </c>
      <c r="S33" s="19" t="n">
        <v>4.71</v>
      </c>
      <c r="T33" s="19" t="n">
        <v>-0.00999999999999979</v>
      </c>
      <c r="U33" s="19" t="n">
        <v>0.007</v>
      </c>
      <c r="V33" s="13" t="n">
        <f aca="false">SUM(P33:U33)</f>
        <v>9.967</v>
      </c>
      <c r="W33" s="13" t="n">
        <f aca="false">O33-V33</f>
        <v>0.00300000000000189</v>
      </c>
    </row>
    <row r="34" customFormat="false" ht="12.8" hidden="false" customHeight="false" outlineLevel="0" collapsed="false">
      <c r="A34" s="12" t="n">
        <v>3</v>
      </c>
      <c r="B34" s="12" t="n">
        <v>32</v>
      </c>
      <c r="C34" s="35" t="s">
        <v>94</v>
      </c>
      <c r="D34" s="19" t="n">
        <v>6.3</v>
      </c>
      <c r="E34" s="19" t="n">
        <v>-0.29</v>
      </c>
      <c r="F34" s="19" t="n">
        <v>-0.6</v>
      </c>
      <c r="G34" s="19" t="n">
        <v>5.41</v>
      </c>
      <c r="H34" s="19" t="n">
        <v>10.11</v>
      </c>
      <c r="I34" s="19" t="n">
        <v>4.71</v>
      </c>
      <c r="J34" s="19" t="n">
        <v>10.03</v>
      </c>
      <c r="K34" s="19" t="n">
        <v>-0.0199999999999996</v>
      </c>
      <c r="L34" s="19" t="n">
        <v>-0.057</v>
      </c>
      <c r="O34" s="19" t="n">
        <f aca="false">J34</f>
        <v>10.03</v>
      </c>
      <c r="P34" s="19" t="n">
        <v>6.3</v>
      </c>
      <c r="Q34" s="19" t="n">
        <v>-0.29</v>
      </c>
      <c r="R34" s="19" t="n">
        <v>-0.6</v>
      </c>
      <c r="S34" s="19" t="n">
        <v>4.71</v>
      </c>
      <c r="T34" s="19" t="n">
        <v>-0.0199999999999996</v>
      </c>
      <c r="U34" s="19" t="n">
        <v>-0.057</v>
      </c>
      <c r="V34" s="13" t="n">
        <f aca="false">SUM(P34:U34)</f>
        <v>10.043</v>
      </c>
      <c r="W34" s="13" t="n">
        <f aca="false">O34-V34</f>
        <v>-0.0129999999999999</v>
      </c>
    </row>
    <row r="35" customFormat="false" ht="12.8" hidden="false" customHeight="false" outlineLevel="0" collapsed="false">
      <c r="A35" s="12" t="n">
        <v>3</v>
      </c>
      <c r="B35" s="12" t="n">
        <v>33</v>
      </c>
      <c r="C35" s="35" t="s">
        <v>95</v>
      </c>
      <c r="D35" s="19" t="n">
        <v>5.64</v>
      </c>
      <c r="E35" s="19" t="n">
        <v>0.06</v>
      </c>
      <c r="F35" s="19" t="n">
        <v>-0.2</v>
      </c>
      <c r="G35" s="19" t="n">
        <v>5.51</v>
      </c>
      <c r="H35" s="19" t="n">
        <v>10.21</v>
      </c>
      <c r="I35" s="19" t="n">
        <v>4.71</v>
      </c>
      <c r="J35" s="19" t="n">
        <v>10.18</v>
      </c>
      <c r="K35" s="19" t="n">
        <v>-0.0200000000000014</v>
      </c>
      <c r="L35" s="19" t="n">
        <v>-0.009</v>
      </c>
      <c r="O35" s="19" t="n">
        <f aca="false">J35</f>
        <v>10.18</v>
      </c>
      <c r="P35" s="19" t="n">
        <v>5.64</v>
      </c>
      <c r="Q35" s="19" t="n">
        <v>0.06</v>
      </c>
      <c r="R35" s="19" t="n">
        <v>-0.2</v>
      </c>
      <c r="S35" s="19" t="n">
        <v>4.71</v>
      </c>
      <c r="T35" s="19" t="n">
        <v>-0.0200000000000014</v>
      </c>
      <c r="U35" s="19" t="n">
        <v>-0.009</v>
      </c>
      <c r="V35" s="13" t="n">
        <f aca="false">SUM(P35:U35)</f>
        <v>10.181</v>
      </c>
      <c r="W35" s="13" t="n">
        <f aca="false">O35-V35</f>
        <v>-0.000999999999997669</v>
      </c>
    </row>
    <row r="36" customFormat="false" ht="12.8" hidden="false" customHeight="false" outlineLevel="0" collapsed="false">
      <c r="A36" s="12" t="n">
        <v>3</v>
      </c>
      <c r="B36" s="12" t="n">
        <v>34</v>
      </c>
      <c r="C36" s="35" t="s">
        <v>97</v>
      </c>
      <c r="D36" s="19" t="n">
        <v>5.41</v>
      </c>
      <c r="E36" s="19" t="n">
        <v>0.03</v>
      </c>
      <c r="F36" s="19" t="n">
        <v>-0.12</v>
      </c>
      <c r="G36" s="19" t="n">
        <v>5.33</v>
      </c>
      <c r="H36" s="19" t="n">
        <v>10.03</v>
      </c>
      <c r="I36" s="19" t="n">
        <v>4.71</v>
      </c>
      <c r="J36" s="19" t="n">
        <v>10.04</v>
      </c>
      <c r="K36" s="19" t="n">
        <v>0</v>
      </c>
      <c r="L36" s="19" t="n">
        <v>0.007</v>
      </c>
      <c r="O36" s="19" t="n">
        <f aca="false">J36</f>
        <v>10.04</v>
      </c>
      <c r="P36" s="19" t="n">
        <v>5.41</v>
      </c>
      <c r="Q36" s="19" t="n">
        <v>0.03</v>
      </c>
      <c r="R36" s="19" t="n">
        <v>-0.12</v>
      </c>
      <c r="S36" s="19" t="n">
        <v>4.71</v>
      </c>
      <c r="T36" s="19" t="n">
        <v>0</v>
      </c>
      <c r="U36" s="19" t="n">
        <v>0.007</v>
      </c>
      <c r="V36" s="13" t="n">
        <f aca="false">SUM(P36:U36)</f>
        <v>10.037</v>
      </c>
      <c r="W36" s="13" t="n">
        <f aca="false">O36-V36</f>
        <v>0.00300000000000011</v>
      </c>
    </row>
    <row r="37" customFormat="false" ht="12.8" hidden="false" customHeight="false" outlineLevel="0" collapsed="false">
      <c r="A37" s="12" t="n">
        <v>3</v>
      </c>
      <c r="B37" s="12" t="n">
        <v>35</v>
      </c>
      <c r="C37" s="35" t="s">
        <v>98</v>
      </c>
      <c r="D37" s="19" t="n">
        <v>5.87</v>
      </c>
      <c r="E37" s="19" t="n">
        <v>-0.2</v>
      </c>
      <c r="F37" s="19" t="n">
        <v>-0.15</v>
      </c>
      <c r="G37" s="19" t="n">
        <v>5.51</v>
      </c>
      <c r="H37" s="19" t="n">
        <v>10.22</v>
      </c>
      <c r="I37" s="19" t="n">
        <v>4.71</v>
      </c>
      <c r="J37" s="19" t="n">
        <v>10.22</v>
      </c>
      <c r="K37" s="19" t="n">
        <v>-0.00999999999999979</v>
      </c>
      <c r="L37" s="19" t="n">
        <v>0.007</v>
      </c>
      <c r="O37" s="19" t="n">
        <f aca="false">J37</f>
        <v>10.22</v>
      </c>
      <c r="P37" s="19" t="n">
        <v>5.87</v>
      </c>
      <c r="Q37" s="19" t="n">
        <v>-0.2</v>
      </c>
      <c r="R37" s="19" t="n">
        <v>-0.15</v>
      </c>
      <c r="S37" s="19" t="n">
        <v>4.71</v>
      </c>
      <c r="T37" s="19" t="n">
        <v>-0.00999999999999979</v>
      </c>
      <c r="U37" s="19" t="n">
        <v>0.007</v>
      </c>
      <c r="V37" s="13" t="n">
        <f aca="false">SUM(P37:U37)</f>
        <v>10.227</v>
      </c>
      <c r="W37" s="13" t="n">
        <f aca="false">O37-V37</f>
        <v>-0.00699999999999967</v>
      </c>
    </row>
    <row r="38" customFormat="false" ht="12.8" hidden="false" customHeight="false" outlineLevel="0" collapsed="false">
      <c r="A38" s="12" t="n">
        <v>3</v>
      </c>
      <c r="B38" s="12" t="n">
        <v>36</v>
      </c>
      <c r="C38" s="35" t="s">
        <v>99</v>
      </c>
      <c r="D38" s="19" t="n">
        <v>6.14</v>
      </c>
      <c r="E38" s="19" t="n">
        <v>-0.11</v>
      </c>
      <c r="F38" s="19" t="n">
        <v>-0.43</v>
      </c>
      <c r="G38" s="19" t="n">
        <v>5.61</v>
      </c>
      <c r="H38" s="19" t="n">
        <v>10.31</v>
      </c>
      <c r="I38" s="19" t="n">
        <v>4.71</v>
      </c>
      <c r="J38" s="19" t="n">
        <v>10.29</v>
      </c>
      <c r="K38" s="19" t="n">
        <v>-0.0300000000000011</v>
      </c>
      <c r="L38" s="19" t="n">
        <v>0.007</v>
      </c>
      <c r="O38" s="19" t="n">
        <f aca="false">J38</f>
        <v>10.29</v>
      </c>
      <c r="P38" s="19" t="n">
        <v>6.14</v>
      </c>
      <c r="Q38" s="19" t="n">
        <v>-0.11</v>
      </c>
      <c r="R38" s="19" t="n">
        <v>-0.43</v>
      </c>
      <c r="S38" s="19" t="n">
        <v>4.71</v>
      </c>
      <c r="T38" s="19" t="n">
        <v>-0.0300000000000011</v>
      </c>
      <c r="U38" s="19" t="n">
        <v>0.007</v>
      </c>
      <c r="V38" s="13" t="n">
        <f aca="false">SUM(P38:U38)</f>
        <v>10.287</v>
      </c>
      <c r="W38" s="13" t="n">
        <f aca="false">O38-V38</f>
        <v>0.00300000000000011</v>
      </c>
    </row>
    <row r="39" customFormat="false" ht="12.8" hidden="false" customHeight="false" outlineLevel="0" collapsed="false">
      <c r="A39" s="12" t="n">
        <v>3</v>
      </c>
      <c r="B39" s="12" t="n">
        <v>37</v>
      </c>
      <c r="C39" s="35" t="s">
        <v>100</v>
      </c>
      <c r="D39" s="19" t="n">
        <v>6.02</v>
      </c>
      <c r="E39" s="19" t="n">
        <v>-0.07</v>
      </c>
      <c r="F39" s="19" t="n">
        <v>-0.33</v>
      </c>
      <c r="G39" s="19" t="n">
        <v>5.63</v>
      </c>
      <c r="H39" s="19" t="n">
        <v>10.33</v>
      </c>
      <c r="I39" s="19" t="n">
        <v>4.71</v>
      </c>
      <c r="J39" s="19" t="n">
        <v>10.28</v>
      </c>
      <c r="K39" s="19" t="n">
        <v>-0.0500000000000007</v>
      </c>
      <c r="L39" s="19" t="n">
        <v>0.001</v>
      </c>
      <c r="O39" s="19" t="n">
        <f aca="false">J39</f>
        <v>10.28</v>
      </c>
      <c r="P39" s="19" t="n">
        <v>6.02</v>
      </c>
      <c r="Q39" s="19" t="n">
        <v>-0.07</v>
      </c>
      <c r="R39" s="19" t="n">
        <v>-0.33</v>
      </c>
      <c r="S39" s="19" t="n">
        <v>4.71</v>
      </c>
      <c r="T39" s="19" t="n">
        <v>-0.0500000000000007</v>
      </c>
      <c r="U39" s="19" t="n">
        <v>0.001</v>
      </c>
      <c r="V39" s="13" t="n">
        <f aca="false">SUM(P39:U39)</f>
        <v>10.281</v>
      </c>
      <c r="W39" s="13" t="n">
        <f aca="false">O39-V39</f>
        <v>-0.000999999999999446</v>
      </c>
    </row>
    <row r="40" customFormat="false" ht="12.8" hidden="false" customHeight="false" outlineLevel="0" collapsed="false">
      <c r="A40" s="12" t="n">
        <v>3</v>
      </c>
      <c r="B40" s="12" t="n">
        <v>38</v>
      </c>
      <c r="C40" s="35" t="s">
        <v>101</v>
      </c>
      <c r="D40" s="19" t="n">
        <v>5.93</v>
      </c>
      <c r="E40" s="19" t="n">
        <v>0.03</v>
      </c>
      <c r="F40" s="19" t="n">
        <v>-0.51</v>
      </c>
      <c r="G40" s="19" t="n">
        <v>5.45</v>
      </c>
      <c r="H40" s="19" t="n">
        <v>10.16</v>
      </c>
      <c r="I40" s="19" t="n">
        <v>4.71</v>
      </c>
      <c r="J40" s="19" t="n">
        <v>10.22</v>
      </c>
      <c r="K40" s="19" t="n">
        <v>0.0600000000000005</v>
      </c>
      <c r="L40" s="19" t="n">
        <v>0.007</v>
      </c>
      <c r="O40" s="19" t="n">
        <f aca="false">J40</f>
        <v>10.22</v>
      </c>
      <c r="P40" s="19" t="n">
        <v>5.93</v>
      </c>
      <c r="Q40" s="19" t="n">
        <v>0.03</v>
      </c>
      <c r="R40" s="19" t="n">
        <v>-0.51</v>
      </c>
      <c r="S40" s="19" t="n">
        <v>4.71</v>
      </c>
      <c r="T40" s="19" t="n">
        <v>0.0600000000000005</v>
      </c>
      <c r="U40" s="19" t="n">
        <v>0.007</v>
      </c>
      <c r="V40" s="13" t="n">
        <f aca="false">SUM(P40:U40)</f>
        <v>10.227</v>
      </c>
      <c r="W40" s="13" t="n">
        <f aca="false">O40-V40</f>
        <v>-0.00699999999999967</v>
      </c>
    </row>
    <row r="41" customFormat="false" ht="12.8" hidden="false" customHeight="false" outlineLevel="0" collapsed="false">
      <c r="A41" s="12" t="n">
        <v>3</v>
      </c>
      <c r="B41" s="12" t="n">
        <v>39</v>
      </c>
      <c r="C41" s="35" t="s">
        <v>102</v>
      </c>
      <c r="D41" s="19" t="n">
        <v>6.1</v>
      </c>
      <c r="E41" s="19" t="n">
        <v>-0.14</v>
      </c>
      <c r="F41" s="19" t="n">
        <v>-0.46</v>
      </c>
      <c r="G41" s="19" t="n">
        <v>5.5</v>
      </c>
      <c r="H41" s="19" t="n">
        <v>10.2</v>
      </c>
      <c r="I41" s="19" t="n">
        <v>4.71</v>
      </c>
      <c r="J41" s="19" t="n">
        <v>10.17</v>
      </c>
      <c r="K41" s="19" t="n">
        <v>-0.0399999999999992</v>
      </c>
      <c r="L41" s="19" t="n">
        <v>0.007</v>
      </c>
      <c r="O41" s="19" t="n">
        <f aca="false">J41</f>
        <v>10.17</v>
      </c>
      <c r="P41" s="19" t="n">
        <v>6.1</v>
      </c>
      <c r="Q41" s="19" t="n">
        <v>-0.14</v>
      </c>
      <c r="R41" s="19" t="n">
        <v>-0.46</v>
      </c>
      <c r="S41" s="19" t="n">
        <v>4.71</v>
      </c>
      <c r="T41" s="19" t="n">
        <v>-0.0399999999999992</v>
      </c>
      <c r="U41" s="19" t="n">
        <v>0.007</v>
      </c>
      <c r="V41" s="13" t="n">
        <f aca="false">SUM(P41:U41)</f>
        <v>10.177</v>
      </c>
      <c r="W41" s="13" t="n">
        <f aca="false">O41-V41</f>
        <v>-0.00699999999999967</v>
      </c>
    </row>
    <row r="42" customFormat="false" ht="12.8" hidden="false" customHeight="false" outlineLevel="0" collapsed="false">
      <c r="A42" s="12" t="n">
        <v>3</v>
      </c>
      <c r="B42" s="12" t="n">
        <v>40</v>
      </c>
      <c r="C42" s="35" t="s">
        <v>103</v>
      </c>
      <c r="D42" s="19" t="n">
        <v>5.84</v>
      </c>
      <c r="E42" s="19" t="n">
        <v>0.02</v>
      </c>
      <c r="F42" s="19" t="n">
        <v>-0.3</v>
      </c>
      <c r="G42" s="19" t="n">
        <v>5.56</v>
      </c>
      <c r="H42" s="19" t="n">
        <v>10.27</v>
      </c>
      <c r="I42" s="19" t="n">
        <v>4.71</v>
      </c>
      <c r="J42" s="19" t="n">
        <v>10.22</v>
      </c>
      <c r="K42" s="19" t="n">
        <v>-0.0399999999999992</v>
      </c>
      <c r="L42" s="19" t="n">
        <v>-0.011</v>
      </c>
      <c r="O42" s="19" t="n">
        <f aca="false">J42</f>
        <v>10.22</v>
      </c>
      <c r="P42" s="19" t="n">
        <v>5.84</v>
      </c>
      <c r="Q42" s="19" t="n">
        <v>0.02</v>
      </c>
      <c r="R42" s="19" t="n">
        <v>-0.3</v>
      </c>
      <c r="S42" s="19" t="n">
        <v>4.71</v>
      </c>
      <c r="T42" s="19" t="n">
        <v>-0.0399999999999992</v>
      </c>
      <c r="U42" s="19" t="n">
        <v>-0.011</v>
      </c>
      <c r="V42" s="13" t="n">
        <f aca="false">SUM(P42:U42)</f>
        <v>10.219</v>
      </c>
      <c r="W42" s="13" t="n">
        <f aca="false">O42-V42</f>
        <v>0.000999999999999446</v>
      </c>
    </row>
    <row r="43" customFormat="false" ht="12.8" hidden="false" customHeight="false" outlineLevel="0" collapsed="false">
      <c r="A43" s="12" t="n">
        <v>3</v>
      </c>
      <c r="B43" s="12" t="n">
        <v>41</v>
      </c>
      <c r="C43" s="35" t="s">
        <v>104</v>
      </c>
      <c r="D43" s="19" t="n">
        <v>7.05</v>
      </c>
      <c r="E43" s="19" t="n">
        <v>-0.19</v>
      </c>
      <c r="F43" s="19" t="n">
        <v>-0.79</v>
      </c>
      <c r="G43" s="19" t="n">
        <v>6.07</v>
      </c>
      <c r="H43" s="19" t="n">
        <v>10.77</v>
      </c>
      <c r="I43" s="19" t="n">
        <v>4.71</v>
      </c>
      <c r="J43" s="19" t="n">
        <v>10.68</v>
      </c>
      <c r="K43" s="19" t="n">
        <v>-0.0700000000000003</v>
      </c>
      <c r="L43" s="19" t="n">
        <v>-0.027</v>
      </c>
      <c r="O43" s="19" t="n">
        <f aca="false">J43</f>
        <v>10.68</v>
      </c>
      <c r="P43" s="19" t="n">
        <v>7.05</v>
      </c>
      <c r="Q43" s="19" t="n">
        <v>-0.19</v>
      </c>
      <c r="R43" s="19" t="n">
        <v>-0.79</v>
      </c>
      <c r="S43" s="19" t="n">
        <v>4.71</v>
      </c>
      <c r="T43" s="19" t="n">
        <v>-0.0700000000000003</v>
      </c>
      <c r="U43" s="19" t="n">
        <v>-0.027</v>
      </c>
      <c r="V43" s="13" t="n">
        <f aca="false">SUM(P43:U43)</f>
        <v>10.683</v>
      </c>
      <c r="W43" s="13" t="n">
        <f aca="false">O43-V43</f>
        <v>-0.00300000000000011</v>
      </c>
    </row>
    <row r="44" customFormat="false" ht="12.8" hidden="false" customHeight="false" outlineLevel="0" collapsed="false">
      <c r="A44" s="12" t="n">
        <v>3</v>
      </c>
      <c r="B44" s="12" t="n">
        <v>42</v>
      </c>
      <c r="C44" s="35" t="s">
        <v>105</v>
      </c>
      <c r="D44" s="19" t="n">
        <v>6.58</v>
      </c>
      <c r="E44" s="19" t="n">
        <v>-0.2</v>
      </c>
      <c r="F44" s="19" t="n">
        <v>-0.79</v>
      </c>
      <c r="G44" s="19" t="n">
        <v>5.59</v>
      </c>
      <c r="H44" s="19" t="n">
        <v>10.29</v>
      </c>
      <c r="I44" s="19" t="n">
        <v>4.71</v>
      </c>
      <c r="J44" s="19" t="n">
        <v>10.26</v>
      </c>
      <c r="K44" s="19" t="n">
        <v>-0.00999999999999979</v>
      </c>
      <c r="L44" s="19" t="n">
        <v>-0.016</v>
      </c>
      <c r="O44" s="19" t="n">
        <f aca="false">J44</f>
        <v>10.26</v>
      </c>
      <c r="P44" s="19" t="n">
        <v>6.58</v>
      </c>
      <c r="Q44" s="19" t="n">
        <v>-0.2</v>
      </c>
      <c r="R44" s="19" t="n">
        <v>-0.79</v>
      </c>
      <c r="S44" s="19" t="n">
        <v>4.71</v>
      </c>
      <c r="T44" s="19" t="n">
        <v>-0.00999999999999979</v>
      </c>
      <c r="U44" s="19" t="n">
        <v>-0.016</v>
      </c>
      <c r="V44" s="13" t="n">
        <f aca="false">SUM(P44:U44)</f>
        <v>10.274</v>
      </c>
      <c r="W44" s="13" t="n">
        <f aca="false">O44-V44</f>
        <v>-0.0140000000000011</v>
      </c>
    </row>
    <row r="45" customFormat="false" ht="12.8" hidden="false" customHeight="false" outlineLevel="0" collapsed="false">
      <c r="A45" s="12" t="n">
        <v>3</v>
      </c>
      <c r="B45" s="12" t="n">
        <v>43</v>
      </c>
      <c r="C45" s="35" t="s">
        <v>106</v>
      </c>
      <c r="D45" s="19" t="n">
        <v>6.33</v>
      </c>
      <c r="E45" s="19" t="n">
        <v>-0.07</v>
      </c>
      <c r="F45" s="19" t="n">
        <v>-0.66</v>
      </c>
      <c r="G45" s="19" t="n">
        <v>5.6</v>
      </c>
      <c r="H45" s="19" t="n">
        <v>10.3</v>
      </c>
      <c r="I45" s="19" t="n">
        <v>4.71</v>
      </c>
      <c r="J45" s="19" t="n">
        <v>10.29</v>
      </c>
      <c r="K45" s="19" t="n">
        <v>0.0299999999999994</v>
      </c>
      <c r="L45" s="19" t="n">
        <v>-0.033</v>
      </c>
      <c r="O45" s="19" t="n">
        <f aca="false">J45</f>
        <v>10.29</v>
      </c>
      <c r="P45" s="19" t="n">
        <v>6.33</v>
      </c>
      <c r="Q45" s="19" t="n">
        <v>-0.07</v>
      </c>
      <c r="R45" s="19" t="n">
        <v>-0.66</v>
      </c>
      <c r="S45" s="19" t="n">
        <v>4.71</v>
      </c>
      <c r="T45" s="19" t="n">
        <v>0.0299999999999994</v>
      </c>
      <c r="U45" s="19" t="n">
        <v>-0.033</v>
      </c>
      <c r="V45" s="13" t="n">
        <f aca="false">SUM(P45:U45)</f>
        <v>10.307</v>
      </c>
      <c r="W45" s="13" t="n">
        <f aca="false">O45-V45</f>
        <v>-0.0170000000000012</v>
      </c>
    </row>
    <row r="46" customFormat="false" ht="12.8" hidden="false" customHeight="false" outlineLevel="0" collapsed="false">
      <c r="A46" s="12" t="n">
        <v>3</v>
      </c>
      <c r="B46" s="12" t="n">
        <v>44</v>
      </c>
      <c r="C46" s="35" t="s">
        <v>107</v>
      </c>
      <c r="D46" s="19" t="n">
        <v>6.41</v>
      </c>
      <c r="E46" s="19" t="n">
        <v>-0.19</v>
      </c>
      <c r="F46" s="19" t="n">
        <v>-0.64</v>
      </c>
      <c r="G46" s="19" t="n">
        <v>5.58</v>
      </c>
      <c r="H46" s="19" t="n">
        <v>10.28</v>
      </c>
      <c r="I46" s="19" t="n">
        <v>4.71</v>
      </c>
      <c r="J46" s="19" t="n">
        <v>10.3</v>
      </c>
      <c r="K46" s="19" t="n">
        <v>0.0200000000000014</v>
      </c>
      <c r="L46" s="19" t="n">
        <v>-0.005</v>
      </c>
      <c r="O46" s="19" t="n">
        <f aca="false">J46</f>
        <v>10.3</v>
      </c>
      <c r="P46" s="19" t="n">
        <v>6.41</v>
      </c>
      <c r="Q46" s="19" t="n">
        <v>-0.19</v>
      </c>
      <c r="R46" s="19" t="n">
        <v>-0.64</v>
      </c>
      <c r="S46" s="19" t="n">
        <v>4.71</v>
      </c>
      <c r="T46" s="19" t="n">
        <v>0.0200000000000014</v>
      </c>
      <c r="U46" s="19" t="n">
        <v>-0.005</v>
      </c>
      <c r="V46" s="13" t="n">
        <f aca="false">SUM(P46:U46)</f>
        <v>10.305</v>
      </c>
      <c r="W46" s="13" t="n">
        <f aca="false">O46-V46</f>
        <v>-0.00500000000000078</v>
      </c>
    </row>
    <row r="47" customFormat="false" ht="12.8" hidden="false" customHeight="false" outlineLevel="0" collapsed="false">
      <c r="A47" s="12" t="n">
        <v>3</v>
      </c>
      <c r="B47" s="12" t="n">
        <v>45</v>
      </c>
      <c r="C47" s="35" t="s">
        <v>108</v>
      </c>
      <c r="D47" s="19" t="n">
        <v>6.14</v>
      </c>
      <c r="E47" s="19" t="n">
        <v>-0.08</v>
      </c>
      <c r="F47" s="19" t="n">
        <v>-0.85</v>
      </c>
      <c r="G47" s="19" t="n">
        <v>5.21</v>
      </c>
      <c r="H47" s="19" t="n">
        <v>9.91</v>
      </c>
      <c r="I47" s="19" t="n">
        <v>4.71</v>
      </c>
      <c r="J47" s="19" t="n">
        <v>9.83</v>
      </c>
      <c r="K47" s="19" t="n">
        <v>-0.0700000000000003</v>
      </c>
      <c r="L47" s="19" t="n">
        <v>-0.015</v>
      </c>
      <c r="O47" s="19" t="n">
        <f aca="false">J47</f>
        <v>9.83</v>
      </c>
      <c r="P47" s="19" t="n">
        <v>6.14</v>
      </c>
      <c r="Q47" s="19" t="n">
        <v>-0.08</v>
      </c>
      <c r="R47" s="19" t="n">
        <v>-0.85</v>
      </c>
      <c r="S47" s="19" t="n">
        <v>4.71</v>
      </c>
      <c r="T47" s="19" t="n">
        <v>-0.0700000000000003</v>
      </c>
      <c r="U47" s="19" t="n">
        <v>-0.015</v>
      </c>
      <c r="V47" s="13" t="n">
        <f aca="false">SUM(P47:U47)</f>
        <v>9.835</v>
      </c>
      <c r="W47" s="13" t="n">
        <f aca="false">O47-V47</f>
        <v>-0.00499999999999901</v>
      </c>
    </row>
    <row r="48" customFormat="false" ht="12.8" hidden="false" customHeight="false" outlineLevel="0" collapsed="false">
      <c r="A48" s="12" t="n">
        <v>3</v>
      </c>
      <c r="B48" s="12" t="n">
        <v>46</v>
      </c>
      <c r="C48" s="35" t="s">
        <v>109</v>
      </c>
      <c r="D48" s="19" t="n">
        <v>6.53</v>
      </c>
      <c r="E48" s="19" t="n">
        <v>-0.05</v>
      </c>
      <c r="F48" s="19" t="n">
        <v>-0.91</v>
      </c>
      <c r="G48" s="19" t="n">
        <v>5.57</v>
      </c>
      <c r="H48" s="19" t="n">
        <v>10.28</v>
      </c>
      <c r="I48" s="19" t="n">
        <v>4.71</v>
      </c>
      <c r="J48" s="19" t="n">
        <v>10.36</v>
      </c>
      <c r="K48" s="19" t="n">
        <v>0.0700000000000003</v>
      </c>
      <c r="L48" s="19" t="n">
        <v>0.007</v>
      </c>
      <c r="O48" s="19" t="n">
        <f aca="false">J48</f>
        <v>10.36</v>
      </c>
      <c r="P48" s="19" t="n">
        <v>6.53</v>
      </c>
      <c r="Q48" s="19" t="n">
        <v>-0.05</v>
      </c>
      <c r="R48" s="19" t="n">
        <v>-0.91</v>
      </c>
      <c r="S48" s="19" t="n">
        <v>4.71</v>
      </c>
      <c r="T48" s="19" t="n">
        <v>0.0700000000000003</v>
      </c>
      <c r="U48" s="19" t="n">
        <v>0.007</v>
      </c>
      <c r="V48" s="13" t="n">
        <f aca="false">SUM(P48:U48)</f>
        <v>10.357</v>
      </c>
      <c r="W48" s="13" t="n">
        <f aca="false">O48-V48</f>
        <v>0.00300000000000011</v>
      </c>
    </row>
    <row r="49" customFormat="false" ht="12.8" hidden="false" customHeight="false" outlineLevel="0" collapsed="false">
      <c r="A49" s="12" t="n">
        <v>3</v>
      </c>
      <c r="B49" s="12" t="n">
        <v>47</v>
      </c>
      <c r="C49" s="35" t="s">
        <v>110</v>
      </c>
      <c r="D49" s="19" t="n">
        <v>6.56</v>
      </c>
      <c r="E49" s="19" t="n">
        <v>0.28</v>
      </c>
      <c r="F49" s="19" t="n">
        <v>-1.58</v>
      </c>
      <c r="G49" s="19" t="n">
        <v>5.26</v>
      </c>
      <c r="H49" s="19" t="n">
        <v>9.97</v>
      </c>
      <c r="I49" s="19" t="n">
        <v>4.71</v>
      </c>
      <c r="J49" s="19" t="n">
        <v>9.95</v>
      </c>
      <c r="K49" s="19" t="n">
        <v>0.00999999999999979</v>
      </c>
      <c r="L49" s="19" t="n">
        <v>-0.028</v>
      </c>
      <c r="O49" s="19" t="n">
        <f aca="false">J49</f>
        <v>9.95</v>
      </c>
      <c r="P49" s="19" t="n">
        <v>6.56</v>
      </c>
      <c r="Q49" s="19" t="n">
        <v>0.28</v>
      </c>
      <c r="R49" s="19" t="n">
        <v>-1.58</v>
      </c>
      <c r="S49" s="19" t="n">
        <v>4.71</v>
      </c>
      <c r="T49" s="19" t="n">
        <v>0.00999999999999979</v>
      </c>
      <c r="U49" s="19" t="n">
        <v>-0.028</v>
      </c>
      <c r="V49" s="13" t="n">
        <f aca="false">SUM(P49:U49)</f>
        <v>9.952</v>
      </c>
      <c r="W49" s="13" t="n">
        <f aca="false">O49-V49</f>
        <v>-0.00199999999999889</v>
      </c>
    </row>
    <row r="50" customFormat="false" ht="15.65" hidden="false" customHeight="false" outlineLevel="0" collapsed="false">
      <c r="A50" s="12" t="n">
        <v>4</v>
      </c>
      <c r="B50" s="18" t="n">
        <v>1</v>
      </c>
      <c r="C50" s="34" t="s">
        <v>42</v>
      </c>
      <c r="D50" s="34" t="n">
        <v>6.26</v>
      </c>
      <c r="E50" s="34" t="n">
        <v>-0.31</v>
      </c>
      <c r="F50" s="34" t="n">
        <v>-0.26</v>
      </c>
      <c r="G50" s="34" t="n">
        <v>5.69</v>
      </c>
      <c r="H50" s="34" t="n">
        <v>10.41</v>
      </c>
      <c r="I50" s="19" t="n">
        <v>4.71</v>
      </c>
      <c r="J50" s="34" t="n">
        <v>10.39</v>
      </c>
      <c r="K50" s="34" t="n">
        <v>-0.0299999999999994</v>
      </c>
      <c r="L50" s="34" t="n">
        <v>0.007</v>
      </c>
      <c r="O50" s="19" t="n">
        <f aca="false">J50</f>
        <v>10.39</v>
      </c>
      <c r="P50" s="34" t="n">
        <v>6.26</v>
      </c>
      <c r="Q50" s="34" t="n">
        <v>-0.31</v>
      </c>
      <c r="R50" s="34" t="n">
        <v>-0.26</v>
      </c>
      <c r="S50" s="19" t="n">
        <v>4.71</v>
      </c>
      <c r="T50" s="34" t="n">
        <v>-0.0299999999999994</v>
      </c>
      <c r="U50" s="34" t="n">
        <v>0.007</v>
      </c>
      <c r="V50" s="13" t="n">
        <f aca="false">SUM(P50:U50)</f>
        <v>10.377</v>
      </c>
      <c r="W50" s="13" t="n">
        <f aca="false">O50-V50</f>
        <v>0.0129999999999999</v>
      </c>
    </row>
    <row r="51" customFormat="false" ht="15.65" hidden="false" customHeight="false" outlineLevel="0" collapsed="false">
      <c r="A51" s="18" t="n">
        <v>4</v>
      </c>
      <c r="B51" s="34" t="n">
        <v>2</v>
      </c>
      <c r="C51" s="34" t="s">
        <v>45</v>
      </c>
      <c r="D51" s="34" t="n">
        <v>6.37</v>
      </c>
      <c r="E51" s="34" t="n">
        <v>-0.3</v>
      </c>
      <c r="F51" s="34" t="n">
        <v>-0.81</v>
      </c>
      <c r="G51" s="34" t="n">
        <v>5.26</v>
      </c>
      <c r="H51" s="34" t="n">
        <v>9.98</v>
      </c>
      <c r="I51" s="19" t="n">
        <v>4.71</v>
      </c>
      <c r="J51" s="34" t="n">
        <v>10.03</v>
      </c>
      <c r="K51" s="34" t="n">
        <v>0.0399999999999992</v>
      </c>
      <c r="L51" s="34" t="n">
        <v>0.003</v>
      </c>
      <c r="O51" s="19" t="n">
        <f aca="false">J51</f>
        <v>10.03</v>
      </c>
      <c r="P51" s="34" t="n">
        <v>6.37</v>
      </c>
      <c r="Q51" s="34" t="n">
        <v>-0.3</v>
      </c>
      <c r="R51" s="34" t="n">
        <v>-0.81</v>
      </c>
      <c r="S51" s="19" t="n">
        <v>4.71</v>
      </c>
      <c r="T51" s="34" t="n">
        <v>0.0399999999999992</v>
      </c>
      <c r="U51" s="34" t="n">
        <v>0.003</v>
      </c>
      <c r="V51" s="13" t="n">
        <f aca="false">SUM(P51:U51)</f>
        <v>10.013</v>
      </c>
      <c r="W51" s="13" t="n">
        <f aca="false">O51-V51</f>
        <v>0.0169999999999995</v>
      </c>
    </row>
    <row r="52" customFormat="false" ht="15.65" hidden="false" customHeight="false" outlineLevel="0" collapsed="false">
      <c r="A52" s="12" t="n">
        <v>4</v>
      </c>
      <c r="B52" s="34" t="n">
        <v>3</v>
      </c>
      <c r="C52" s="34" t="s">
        <v>46</v>
      </c>
      <c r="D52" s="34" t="n">
        <v>6.01</v>
      </c>
      <c r="E52" s="34" t="n">
        <v>-0.32</v>
      </c>
      <c r="F52" s="34" t="n">
        <v>-0.57</v>
      </c>
      <c r="G52" s="34" t="n">
        <v>5.12</v>
      </c>
      <c r="H52" s="34" t="n">
        <v>9.84</v>
      </c>
      <c r="I52" s="19" t="n">
        <v>4.71</v>
      </c>
      <c r="J52" s="34" t="n">
        <v>9.91</v>
      </c>
      <c r="K52" s="34" t="n">
        <v>0.0600000000000005</v>
      </c>
      <c r="L52" s="34" t="n">
        <v>0.007</v>
      </c>
      <c r="O52" s="19" t="n">
        <f aca="false">J52</f>
        <v>9.91</v>
      </c>
      <c r="P52" s="34" t="n">
        <v>6.01</v>
      </c>
      <c r="Q52" s="34" t="n">
        <v>-0.32</v>
      </c>
      <c r="R52" s="34" t="n">
        <v>-0.57</v>
      </c>
      <c r="S52" s="19" t="n">
        <v>4.71</v>
      </c>
      <c r="T52" s="34" t="n">
        <v>0.0600000000000005</v>
      </c>
      <c r="U52" s="34" t="n">
        <v>0.007</v>
      </c>
      <c r="V52" s="13" t="n">
        <f aca="false">SUM(P52:U52)</f>
        <v>9.897</v>
      </c>
      <c r="W52" s="13" t="n">
        <f aca="false">O52-V52</f>
        <v>0.0129999999999999</v>
      </c>
    </row>
    <row r="53" customFormat="false" ht="15.65" hidden="false" customHeight="false" outlineLevel="0" collapsed="false">
      <c r="A53" s="18" t="n">
        <v>4</v>
      </c>
      <c r="B53" s="34" t="n">
        <v>4</v>
      </c>
      <c r="C53" s="34" t="s">
        <v>48</v>
      </c>
      <c r="D53" s="34" t="n">
        <v>5.91</v>
      </c>
      <c r="E53" s="34" t="n">
        <v>-0.17</v>
      </c>
      <c r="F53" s="34" t="n">
        <v>-0.32</v>
      </c>
      <c r="G53" s="34" t="n">
        <v>5.42</v>
      </c>
      <c r="H53" s="34" t="n">
        <v>10.13</v>
      </c>
      <c r="I53" s="19" t="n">
        <v>4.71</v>
      </c>
      <c r="J53" s="34" t="n">
        <v>10.18</v>
      </c>
      <c r="K53" s="34" t="n">
        <v>0.0699999999999985</v>
      </c>
      <c r="L53" s="34" t="n">
        <v>-0.017</v>
      </c>
      <c r="O53" s="19" t="n">
        <f aca="false">J53</f>
        <v>10.18</v>
      </c>
      <c r="P53" s="34" t="n">
        <v>5.91</v>
      </c>
      <c r="Q53" s="34" t="n">
        <v>-0.17</v>
      </c>
      <c r="R53" s="34" t="n">
        <v>-0.32</v>
      </c>
      <c r="S53" s="19" t="n">
        <v>4.71</v>
      </c>
      <c r="T53" s="34" t="n">
        <v>0.0699999999999985</v>
      </c>
      <c r="U53" s="34" t="n">
        <v>-0.017</v>
      </c>
      <c r="V53" s="13" t="n">
        <f aca="false">SUM(P53:U53)</f>
        <v>10.183</v>
      </c>
      <c r="W53" s="13" t="n">
        <f aca="false">O53-V53</f>
        <v>-0.00300000000000011</v>
      </c>
    </row>
    <row r="54" customFormat="false" ht="15.65" hidden="false" customHeight="false" outlineLevel="0" collapsed="false">
      <c r="A54" s="12" t="n">
        <v>4</v>
      </c>
      <c r="B54" s="34" t="n">
        <v>5</v>
      </c>
      <c r="C54" s="34" t="s">
        <v>49</v>
      </c>
      <c r="D54" s="34" t="n">
        <v>6.99</v>
      </c>
      <c r="E54" s="34" t="n">
        <v>-0.63</v>
      </c>
      <c r="F54" s="34" t="n">
        <v>-0.8</v>
      </c>
      <c r="G54" s="34" t="n">
        <v>5.56</v>
      </c>
      <c r="H54" s="34" t="n">
        <v>10.28</v>
      </c>
      <c r="I54" s="19" t="n">
        <v>4.71</v>
      </c>
      <c r="J54" s="34" t="n">
        <v>10.27</v>
      </c>
      <c r="K54" s="34" t="n">
        <v>0.0200000000000014</v>
      </c>
      <c r="L54" s="34" t="n">
        <v>-0.028</v>
      </c>
      <c r="O54" s="19" t="n">
        <f aca="false">J54</f>
        <v>10.27</v>
      </c>
      <c r="P54" s="34" t="n">
        <v>6.99</v>
      </c>
      <c r="Q54" s="34" t="n">
        <v>-0.63</v>
      </c>
      <c r="R54" s="34" t="n">
        <v>-0.8</v>
      </c>
      <c r="S54" s="19" t="n">
        <v>4.71</v>
      </c>
      <c r="T54" s="34" t="n">
        <v>0.0200000000000014</v>
      </c>
      <c r="U54" s="34" t="n">
        <v>-0.028</v>
      </c>
      <c r="V54" s="13" t="n">
        <f aca="false">SUM(P54:U54)</f>
        <v>10.262</v>
      </c>
      <c r="W54" s="13" t="n">
        <f aca="false">O54-V54</f>
        <v>0.00799999999999912</v>
      </c>
    </row>
    <row r="55" customFormat="false" ht="15.65" hidden="false" customHeight="false" outlineLevel="0" collapsed="false">
      <c r="A55" s="18" t="n">
        <v>4</v>
      </c>
      <c r="B55" s="34" t="n">
        <v>6</v>
      </c>
      <c r="C55" s="34" t="s">
        <v>50</v>
      </c>
      <c r="D55" s="34" t="n">
        <v>6.1</v>
      </c>
      <c r="E55" s="34" t="n">
        <v>-0.27</v>
      </c>
      <c r="F55" s="34" t="n">
        <v>-0.5</v>
      </c>
      <c r="G55" s="34" t="n">
        <v>5.32</v>
      </c>
      <c r="H55" s="34" t="n">
        <v>10.04</v>
      </c>
      <c r="I55" s="19" t="n">
        <v>4.71</v>
      </c>
      <c r="J55" s="34" t="n">
        <v>9.99</v>
      </c>
      <c r="K55" s="34" t="n">
        <v>0</v>
      </c>
      <c r="L55" s="34" t="n">
        <v>-0.043</v>
      </c>
      <c r="O55" s="19" t="n">
        <f aca="false">J55</f>
        <v>9.99</v>
      </c>
      <c r="P55" s="34" t="n">
        <v>6.1</v>
      </c>
      <c r="Q55" s="34" t="n">
        <v>-0.27</v>
      </c>
      <c r="R55" s="34" t="n">
        <v>-0.5</v>
      </c>
      <c r="S55" s="19" t="n">
        <v>4.71</v>
      </c>
      <c r="T55" s="34" t="n">
        <v>0</v>
      </c>
      <c r="U55" s="34" t="n">
        <v>-0.043</v>
      </c>
      <c r="V55" s="13" t="n">
        <f aca="false">SUM(P55:U55)</f>
        <v>9.997</v>
      </c>
      <c r="W55" s="13" t="n">
        <f aca="false">O55-V55</f>
        <v>-0.00699999999999967</v>
      </c>
    </row>
    <row r="56" customFormat="false" ht="15.65" hidden="false" customHeight="false" outlineLevel="0" collapsed="false">
      <c r="A56" s="12" t="n">
        <v>4</v>
      </c>
      <c r="B56" s="34" t="n">
        <v>7</v>
      </c>
      <c r="C56" s="34" t="s">
        <v>51</v>
      </c>
      <c r="D56" s="34" t="n">
        <v>5.37</v>
      </c>
      <c r="E56" s="34" t="n">
        <v>-0.16</v>
      </c>
      <c r="F56" s="34" t="n">
        <v>-0.27</v>
      </c>
      <c r="G56" s="34" t="n">
        <v>4.94</v>
      </c>
      <c r="H56" s="34" t="n">
        <v>9.65</v>
      </c>
      <c r="I56" s="19" t="n">
        <v>4.71</v>
      </c>
      <c r="J56" s="34" t="n">
        <v>9.65</v>
      </c>
      <c r="K56" s="34" t="n">
        <v>0.0299999999999994</v>
      </c>
      <c r="L56" s="34" t="n">
        <v>-0.023</v>
      </c>
      <c r="O56" s="19" t="n">
        <f aca="false">J56</f>
        <v>9.65</v>
      </c>
      <c r="P56" s="34" t="n">
        <v>5.37</v>
      </c>
      <c r="Q56" s="34" t="n">
        <v>-0.16</v>
      </c>
      <c r="R56" s="34" t="n">
        <v>-0.27</v>
      </c>
      <c r="S56" s="19" t="n">
        <v>4.71</v>
      </c>
      <c r="T56" s="34" t="n">
        <v>0.0299999999999994</v>
      </c>
      <c r="U56" s="34" t="n">
        <v>-0.023</v>
      </c>
      <c r="V56" s="13" t="n">
        <f aca="false">SUM(P56:U56)</f>
        <v>9.657</v>
      </c>
      <c r="W56" s="13" t="n">
        <f aca="false">O56-V56</f>
        <v>-0.00699999999999967</v>
      </c>
    </row>
    <row r="57" customFormat="false" ht="15.65" hidden="false" customHeight="false" outlineLevel="0" collapsed="false">
      <c r="A57" s="18" t="n">
        <v>4</v>
      </c>
      <c r="B57" s="34" t="n">
        <v>8</v>
      </c>
      <c r="C57" s="34" t="s">
        <v>52</v>
      </c>
      <c r="D57" s="34" t="n">
        <v>5.05</v>
      </c>
      <c r="E57" s="34" t="n">
        <v>-0.04</v>
      </c>
      <c r="F57" s="34" t="n">
        <v>0.04</v>
      </c>
      <c r="G57" s="34" t="n">
        <v>5.06</v>
      </c>
      <c r="H57" s="34" t="n">
        <v>9.77</v>
      </c>
      <c r="I57" s="19" t="n">
        <v>4.71</v>
      </c>
      <c r="J57" s="34" t="n">
        <v>9.77</v>
      </c>
      <c r="K57" s="34" t="n">
        <v>-0.00999999999999979</v>
      </c>
      <c r="L57" s="34" t="n">
        <v>0.007</v>
      </c>
      <c r="O57" s="19" t="n">
        <f aca="false">J57</f>
        <v>9.77</v>
      </c>
      <c r="P57" s="34" t="n">
        <v>5.05</v>
      </c>
      <c r="Q57" s="34" t="n">
        <v>-0.04</v>
      </c>
      <c r="R57" s="34" t="n">
        <v>0.04</v>
      </c>
      <c r="S57" s="19" t="n">
        <v>4.71</v>
      </c>
      <c r="T57" s="34" t="n">
        <v>-0.00999999999999979</v>
      </c>
      <c r="U57" s="34" t="n">
        <v>0.007</v>
      </c>
      <c r="V57" s="13" t="n">
        <f aca="false">SUM(P57:U57)</f>
        <v>9.757</v>
      </c>
      <c r="W57" s="13" t="n">
        <f aca="false">O57-V57</f>
        <v>0.0129999999999999</v>
      </c>
    </row>
    <row r="58" customFormat="false" ht="15.65" hidden="false" customHeight="false" outlineLevel="0" collapsed="false">
      <c r="A58" s="12" t="n">
        <v>4</v>
      </c>
      <c r="B58" s="34" t="n">
        <v>9</v>
      </c>
      <c r="C58" s="34" t="s">
        <v>53</v>
      </c>
      <c r="D58" s="34" t="n">
        <v>5.29</v>
      </c>
      <c r="E58" s="34" t="n">
        <v>-0.06</v>
      </c>
      <c r="F58" s="34" t="n">
        <v>-0.05</v>
      </c>
      <c r="G58" s="34" t="n">
        <v>5.18</v>
      </c>
      <c r="H58" s="34" t="n">
        <v>9.89</v>
      </c>
      <c r="I58" s="19" t="n">
        <v>4.71</v>
      </c>
      <c r="J58" s="34" t="n">
        <v>9.9</v>
      </c>
      <c r="K58" s="34" t="n">
        <v>0.0399999999999992</v>
      </c>
      <c r="L58" s="34" t="n">
        <v>-0.025</v>
      </c>
      <c r="O58" s="19" t="n">
        <f aca="false">J58</f>
        <v>9.9</v>
      </c>
      <c r="P58" s="34" t="n">
        <v>5.29</v>
      </c>
      <c r="Q58" s="34" t="n">
        <v>-0.06</v>
      </c>
      <c r="R58" s="34" t="n">
        <v>-0.05</v>
      </c>
      <c r="S58" s="19" t="n">
        <v>4.71</v>
      </c>
      <c r="T58" s="34" t="n">
        <v>0.0399999999999992</v>
      </c>
      <c r="U58" s="34" t="n">
        <v>-0.025</v>
      </c>
      <c r="V58" s="13" t="n">
        <f aca="false">SUM(P58:U58)</f>
        <v>9.905</v>
      </c>
      <c r="W58" s="13" t="n">
        <f aca="false">O58-V58</f>
        <v>-0.00499999999999901</v>
      </c>
    </row>
    <row r="59" customFormat="false" ht="15.65" hidden="false" customHeight="false" outlineLevel="0" collapsed="false">
      <c r="A59" s="18" t="n">
        <v>4</v>
      </c>
      <c r="B59" s="34" t="n">
        <v>10</v>
      </c>
      <c r="C59" s="34" t="s">
        <v>54</v>
      </c>
      <c r="D59" s="34" t="n">
        <v>5.15</v>
      </c>
      <c r="E59" s="34" t="n">
        <v>-0.02</v>
      </c>
      <c r="F59" s="34" t="n">
        <v>-0.08</v>
      </c>
      <c r="G59" s="34" t="n">
        <v>5.04</v>
      </c>
      <c r="H59" s="34" t="n">
        <v>9.76</v>
      </c>
      <c r="I59" s="19" t="n">
        <v>4.71</v>
      </c>
      <c r="J59" s="34" t="n">
        <v>9.73</v>
      </c>
      <c r="K59" s="34" t="n">
        <v>-0.0399999999999992</v>
      </c>
      <c r="L59" s="34" t="n">
        <v>0.007</v>
      </c>
      <c r="O59" s="19" t="n">
        <f aca="false">J59</f>
        <v>9.73</v>
      </c>
      <c r="P59" s="34" t="n">
        <v>5.15</v>
      </c>
      <c r="Q59" s="34" t="n">
        <v>-0.02</v>
      </c>
      <c r="R59" s="34" t="n">
        <v>-0.08</v>
      </c>
      <c r="S59" s="19" t="n">
        <v>4.71</v>
      </c>
      <c r="T59" s="34" t="n">
        <v>-0.0399999999999992</v>
      </c>
      <c r="U59" s="34" t="n">
        <v>0.007</v>
      </c>
      <c r="V59" s="13" t="n">
        <f aca="false">SUM(P59:U59)</f>
        <v>9.727</v>
      </c>
      <c r="W59" s="13" t="n">
        <f aca="false">O59-V59</f>
        <v>0.00300000000000011</v>
      </c>
    </row>
    <row r="60" customFormat="false" ht="15.65" hidden="false" customHeight="false" outlineLevel="0" collapsed="false">
      <c r="A60" s="12" t="n">
        <v>4</v>
      </c>
      <c r="B60" s="34" t="n">
        <v>11</v>
      </c>
      <c r="C60" s="34" t="s">
        <v>56</v>
      </c>
      <c r="D60" s="34" t="n">
        <v>4.91</v>
      </c>
      <c r="E60" s="34" t="n">
        <v>-0.02</v>
      </c>
      <c r="F60" s="34" t="n">
        <v>0.14</v>
      </c>
      <c r="G60" s="34" t="n">
        <v>5.03</v>
      </c>
      <c r="H60" s="34" t="n">
        <v>9.75</v>
      </c>
      <c r="I60" s="19" t="n">
        <v>4.71</v>
      </c>
      <c r="J60" s="34" t="n">
        <v>9.71</v>
      </c>
      <c r="K60" s="34" t="n">
        <v>-0.0399999999999992</v>
      </c>
      <c r="L60" s="34" t="n">
        <v>0.007</v>
      </c>
      <c r="O60" s="19" t="n">
        <f aca="false">J60</f>
        <v>9.71</v>
      </c>
      <c r="P60" s="34" t="n">
        <v>4.91</v>
      </c>
      <c r="Q60" s="34" t="n">
        <v>-0.02</v>
      </c>
      <c r="R60" s="34" t="n">
        <v>0.14</v>
      </c>
      <c r="S60" s="19" t="n">
        <v>4.71</v>
      </c>
      <c r="T60" s="34" t="n">
        <v>-0.0399999999999992</v>
      </c>
      <c r="U60" s="34" t="n">
        <v>0.007</v>
      </c>
      <c r="V60" s="13" t="n">
        <f aca="false">SUM(P60:U60)</f>
        <v>9.707</v>
      </c>
      <c r="W60" s="13" t="n">
        <f aca="false">O60-V60</f>
        <v>0.00300000000000011</v>
      </c>
    </row>
    <row r="61" customFormat="false" ht="15.65" hidden="false" customHeight="false" outlineLevel="0" collapsed="false">
      <c r="A61" s="18" t="n">
        <v>4</v>
      </c>
      <c r="B61" s="34" t="n">
        <v>12</v>
      </c>
      <c r="C61" s="34" t="s">
        <v>58</v>
      </c>
      <c r="D61" s="34" t="n">
        <v>5.02</v>
      </c>
      <c r="E61" s="34" t="n">
        <v>-0.11</v>
      </c>
      <c r="F61" s="34" t="n">
        <v>0.14</v>
      </c>
      <c r="G61" s="34" t="n">
        <v>5.05</v>
      </c>
      <c r="H61" s="34" t="n">
        <v>9.76</v>
      </c>
      <c r="I61" s="19" t="n">
        <v>4.71</v>
      </c>
      <c r="J61" s="34" t="n">
        <v>9.76</v>
      </c>
      <c r="K61" s="34" t="n">
        <v>-0.00999999999999979</v>
      </c>
      <c r="L61" s="34" t="n">
        <v>0.007</v>
      </c>
      <c r="O61" s="19" t="n">
        <f aca="false">J61</f>
        <v>9.76</v>
      </c>
      <c r="P61" s="34" t="n">
        <v>5.02</v>
      </c>
      <c r="Q61" s="34" t="n">
        <v>-0.11</v>
      </c>
      <c r="R61" s="34" t="n">
        <v>0.14</v>
      </c>
      <c r="S61" s="19" t="n">
        <v>4.71</v>
      </c>
      <c r="T61" s="34" t="n">
        <v>-0.00999999999999979</v>
      </c>
      <c r="U61" s="34" t="n">
        <v>0.007</v>
      </c>
      <c r="V61" s="13" t="n">
        <f aca="false">SUM(P61:U61)</f>
        <v>9.757</v>
      </c>
      <c r="W61" s="13" t="n">
        <f aca="false">O61-V61</f>
        <v>0.00300000000000011</v>
      </c>
    </row>
    <row r="62" customFormat="false" ht="15.65" hidden="false" customHeight="false" outlineLevel="0" collapsed="false">
      <c r="A62" s="12" t="n">
        <v>4</v>
      </c>
      <c r="B62" s="34" t="n">
        <v>13</v>
      </c>
      <c r="C62" s="34" t="s">
        <v>60</v>
      </c>
      <c r="D62" s="34" t="n">
        <v>4.31</v>
      </c>
      <c r="E62" s="34" t="n">
        <v>0.13</v>
      </c>
      <c r="F62" s="34" t="n">
        <v>0.67</v>
      </c>
      <c r="G62" s="34" t="n">
        <v>5.11</v>
      </c>
      <c r="H62" s="34" t="n">
        <v>9.82</v>
      </c>
      <c r="I62" s="19" t="n">
        <v>4.71</v>
      </c>
      <c r="J62" s="34" t="n">
        <v>9.81</v>
      </c>
      <c r="K62" s="34" t="n">
        <v>-0.0199999999999996</v>
      </c>
      <c r="L62" s="34" t="n">
        <v>0.007</v>
      </c>
      <c r="O62" s="19" t="n">
        <f aca="false">J62</f>
        <v>9.81</v>
      </c>
      <c r="P62" s="34" t="n">
        <v>4.31</v>
      </c>
      <c r="Q62" s="34" t="n">
        <v>0.13</v>
      </c>
      <c r="R62" s="34" t="n">
        <v>0.67</v>
      </c>
      <c r="S62" s="19" t="n">
        <v>4.71</v>
      </c>
      <c r="T62" s="34" t="n">
        <v>-0.0199999999999996</v>
      </c>
      <c r="U62" s="34" t="n">
        <v>0.007</v>
      </c>
      <c r="V62" s="13" t="n">
        <f aca="false">SUM(P62:U62)</f>
        <v>9.807</v>
      </c>
      <c r="W62" s="13" t="n">
        <f aca="false">O62-V62</f>
        <v>0.00300000000000011</v>
      </c>
    </row>
    <row r="63" customFormat="false" ht="15.65" hidden="false" customHeight="false" outlineLevel="0" collapsed="false">
      <c r="A63" s="18" t="n">
        <v>4</v>
      </c>
      <c r="B63" s="34" t="n">
        <v>14</v>
      </c>
      <c r="C63" s="34" t="s">
        <v>62</v>
      </c>
      <c r="D63" s="34" t="n">
        <v>4.82</v>
      </c>
      <c r="E63" s="34" t="n">
        <v>-0.06</v>
      </c>
      <c r="F63" s="34" t="n">
        <v>0.41</v>
      </c>
      <c r="G63" s="34" t="n">
        <v>5.16</v>
      </c>
      <c r="H63" s="34" t="n">
        <v>9.88</v>
      </c>
      <c r="I63" s="19" t="n">
        <v>4.71</v>
      </c>
      <c r="J63" s="34" t="n">
        <v>9.85</v>
      </c>
      <c r="K63" s="34" t="n">
        <v>-0.0400000000000009</v>
      </c>
      <c r="L63" s="34" t="n">
        <v>0.007</v>
      </c>
      <c r="O63" s="19" t="n">
        <f aca="false">J63</f>
        <v>9.85</v>
      </c>
      <c r="P63" s="34" t="n">
        <v>4.82</v>
      </c>
      <c r="Q63" s="34" t="n">
        <v>-0.06</v>
      </c>
      <c r="R63" s="34" t="n">
        <v>0.41</v>
      </c>
      <c r="S63" s="19" t="n">
        <v>4.71</v>
      </c>
      <c r="T63" s="34" t="n">
        <v>-0.0400000000000009</v>
      </c>
      <c r="U63" s="34" t="n">
        <v>0.007</v>
      </c>
      <c r="V63" s="13" t="n">
        <f aca="false">SUM(P63:U63)</f>
        <v>9.847</v>
      </c>
      <c r="W63" s="13" t="n">
        <f aca="false">O63-V63</f>
        <v>0.00300000000000011</v>
      </c>
    </row>
    <row r="64" customFormat="false" ht="15.65" hidden="false" customHeight="false" outlineLevel="0" collapsed="false">
      <c r="A64" s="12" t="n">
        <v>4</v>
      </c>
      <c r="B64" s="34" t="n">
        <v>15</v>
      </c>
      <c r="C64" s="34" t="s">
        <v>64</v>
      </c>
      <c r="D64" s="34" t="n">
        <v>5.28</v>
      </c>
      <c r="E64" s="34" t="n">
        <v>-0.14</v>
      </c>
      <c r="F64" s="34" t="n">
        <v>-0.31</v>
      </c>
      <c r="G64" s="34" t="n">
        <v>4.82</v>
      </c>
      <c r="H64" s="34" t="n">
        <v>9.54</v>
      </c>
      <c r="I64" s="19" t="n">
        <v>4.71</v>
      </c>
      <c r="J64" s="34" t="n">
        <v>9.51</v>
      </c>
      <c r="K64" s="34" t="n">
        <v>0</v>
      </c>
      <c r="L64" s="34" t="n">
        <v>-0.032</v>
      </c>
      <c r="O64" s="19" t="n">
        <f aca="false">J64</f>
        <v>9.51</v>
      </c>
      <c r="P64" s="34" t="n">
        <v>5.28</v>
      </c>
      <c r="Q64" s="34" t="n">
        <v>-0.14</v>
      </c>
      <c r="R64" s="34" t="n">
        <v>-0.31</v>
      </c>
      <c r="S64" s="19" t="n">
        <v>4.71</v>
      </c>
      <c r="T64" s="34" t="n">
        <v>0</v>
      </c>
      <c r="U64" s="34" t="n">
        <v>-0.032</v>
      </c>
      <c r="V64" s="13" t="n">
        <f aca="false">SUM(P64:U64)</f>
        <v>9.508</v>
      </c>
      <c r="W64" s="13" t="n">
        <f aca="false">O64-V64</f>
        <v>0.00199999999999889</v>
      </c>
    </row>
    <row r="65" customFormat="false" ht="15.65" hidden="false" customHeight="false" outlineLevel="0" collapsed="false">
      <c r="A65" s="18" t="n">
        <v>4</v>
      </c>
      <c r="B65" s="34" t="n">
        <v>16</v>
      </c>
      <c r="C65" s="34" t="s">
        <v>66</v>
      </c>
      <c r="D65" s="34" t="n">
        <v>4.88</v>
      </c>
      <c r="E65" s="34" t="n">
        <v>-0.09</v>
      </c>
      <c r="F65" s="34" t="n">
        <v>0.13</v>
      </c>
      <c r="G65" s="34" t="n">
        <v>4.92</v>
      </c>
      <c r="H65" s="34" t="n">
        <v>9.64</v>
      </c>
      <c r="I65" s="19" t="n">
        <v>4.71</v>
      </c>
      <c r="J65" s="34" t="n">
        <v>9.61</v>
      </c>
      <c r="K65" s="34" t="n">
        <v>0.0199999999999996</v>
      </c>
      <c r="L65" s="34" t="n">
        <v>-0.051</v>
      </c>
      <c r="O65" s="19" t="n">
        <f aca="false">J65</f>
        <v>9.61</v>
      </c>
      <c r="P65" s="34" t="n">
        <v>4.88</v>
      </c>
      <c r="Q65" s="34" t="n">
        <v>-0.09</v>
      </c>
      <c r="R65" s="34" t="n">
        <v>0.13</v>
      </c>
      <c r="S65" s="19" t="n">
        <v>4.71</v>
      </c>
      <c r="T65" s="34" t="n">
        <v>0.0199999999999996</v>
      </c>
      <c r="U65" s="34" t="n">
        <v>-0.051</v>
      </c>
      <c r="V65" s="13" t="n">
        <f aca="false">SUM(P65:U65)</f>
        <v>9.599</v>
      </c>
      <c r="W65" s="13" t="n">
        <f aca="false">O65-V65</f>
        <v>0.011000000000001</v>
      </c>
    </row>
    <row r="66" customFormat="false" ht="15.65" hidden="false" customHeight="false" outlineLevel="0" collapsed="false">
      <c r="A66" s="12" t="n">
        <v>4</v>
      </c>
      <c r="B66" s="34" t="n">
        <v>17</v>
      </c>
      <c r="C66" s="34" t="s">
        <v>67</v>
      </c>
      <c r="D66" s="34" t="n">
        <v>5.27</v>
      </c>
      <c r="E66" s="34" t="n">
        <v>-0.03</v>
      </c>
      <c r="F66" s="34" t="n">
        <v>0</v>
      </c>
      <c r="G66" s="34" t="n">
        <v>5.24</v>
      </c>
      <c r="H66" s="34" t="n">
        <v>9.95</v>
      </c>
      <c r="I66" s="19" t="n">
        <v>4.71</v>
      </c>
      <c r="J66" s="34" t="n">
        <v>9.89</v>
      </c>
      <c r="K66" s="34" t="n">
        <v>-0.0599999999999987</v>
      </c>
      <c r="L66" s="34" t="n">
        <v>0.007</v>
      </c>
      <c r="O66" s="19" t="n">
        <f aca="false">J66</f>
        <v>9.89</v>
      </c>
      <c r="P66" s="34" t="n">
        <v>5.27</v>
      </c>
      <c r="Q66" s="34" t="n">
        <v>-0.03</v>
      </c>
      <c r="R66" s="34" t="n">
        <v>0</v>
      </c>
      <c r="S66" s="19" t="n">
        <v>4.71</v>
      </c>
      <c r="T66" s="34" t="n">
        <v>-0.0599999999999987</v>
      </c>
      <c r="U66" s="34" t="n">
        <v>0.007</v>
      </c>
      <c r="V66" s="13" t="n">
        <f aca="false">SUM(P66:U66)</f>
        <v>9.897</v>
      </c>
      <c r="W66" s="13" t="n">
        <f aca="false">O66-V66</f>
        <v>-0.00699999999999967</v>
      </c>
    </row>
    <row r="67" customFormat="false" ht="15.65" hidden="false" customHeight="false" outlineLevel="0" collapsed="false">
      <c r="A67" s="18" t="n">
        <v>4</v>
      </c>
      <c r="B67" s="34" t="n">
        <v>18</v>
      </c>
      <c r="C67" s="34" t="s">
        <v>69</v>
      </c>
      <c r="D67" s="34" t="n">
        <v>5.4</v>
      </c>
      <c r="E67" s="34" t="n">
        <v>-0.12</v>
      </c>
      <c r="F67" s="34" t="n">
        <v>-0.03</v>
      </c>
      <c r="G67" s="34" t="n">
        <v>5.25</v>
      </c>
      <c r="H67" s="34" t="n">
        <v>9.96</v>
      </c>
      <c r="I67" s="19" t="n">
        <v>4.71</v>
      </c>
      <c r="J67" s="34" t="n">
        <v>9.96</v>
      </c>
      <c r="K67" s="34" t="n">
        <v>0</v>
      </c>
      <c r="L67" s="34" t="n">
        <v>0.007</v>
      </c>
      <c r="O67" s="19" t="n">
        <f aca="false">J67</f>
        <v>9.96</v>
      </c>
      <c r="P67" s="34" t="n">
        <v>5.4</v>
      </c>
      <c r="Q67" s="34" t="n">
        <v>-0.12</v>
      </c>
      <c r="R67" s="34" t="n">
        <v>-0.03</v>
      </c>
      <c r="S67" s="19" t="n">
        <v>4.71</v>
      </c>
      <c r="T67" s="34" t="n">
        <v>0</v>
      </c>
      <c r="U67" s="34" t="n">
        <v>0.007</v>
      </c>
      <c r="V67" s="13" t="n">
        <f aca="false">SUM(P67:U67)</f>
        <v>9.967</v>
      </c>
      <c r="W67" s="13" t="n">
        <f aca="false">O67-V67</f>
        <v>-0.00699999999999967</v>
      </c>
    </row>
    <row r="68" customFormat="false" ht="15.65" hidden="false" customHeight="false" outlineLevel="0" collapsed="false">
      <c r="A68" s="12" t="n">
        <v>4</v>
      </c>
      <c r="B68" s="34" t="n">
        <v>19</v>
      </c>
      <c r="C68" s="34" t="s">
        <v>75</v>
      </c>
      <c r="D68" s="34" t="n">
        <v>5.37</v>
      </c>
      <c r="E68" s="34" t="n">
        <v>-0.14</v>
      </c>
      <c r="F68" s="34" t="n">
        <v>-0.18</v>
      </c>
      <c r="G68" s="34" t="n">
        <v>5.05</v>
      </c>
      <c r="H68" s="34" t="n">
        <v>9.77</v>
      </c>
      <c r="I68" s="19" t="n">
        <v>4.71</v>
      </c>
      <c r="J68" s="34" t="n">
        <v>9.66</v>
      </c>
      <c r="K68" s="34" t="n">
        <v>-0.0899999999999999</v>
      </c>
      <c r="L68" s="34" t="n">
        <v>-0.021</v>
      </c>
      <c r="O68" s="19" t="n">
        <f aca="false">J68</f>
        <v>9.66</v>
      </c>
      <c r="P68" s="34" t="n">
        <v>5.37</v>
      </c>
      <c r="Q68" s="34" t="n">
        <v>-0.14</v>
      </c>
      <c r="R68" s="34" t="n">
        <v>-0.18</v>
      </c>
      <c r="S68" s="19" t="n">
        <v>4.71</v>
      </c>
      <c r="T68" s="34" t="n">
        <v>-0.0899999999999999</v>
      </c>
      <c r="U68" s="34" t="n">
        <v>-0.021</v>
      </c>
      <c r="V68" s="13" t="n">
        <f aca="false">SUM(P68:U68)</f>
        <v>9.649</v>
      </c>
      <c r="W68" s="13" t="n">
        <f aca="false">O68-V68</f>
        <v>0.011000000000001</v>
      </c>
    </row>
    <row r="69" customFormat="false" ht="15.65" hidden="false" customHeight="false" outlineLevel="0" collapsed="false">
      <c r="A69" s="18" t="n">
        <v>4</v>
      </c>
      <c r="B69" s="34" t="n">
        <v>20</v>
      </c>
      <c r="C69" s="34" t="s">
        <v>76</v>
      </c>
      <c r="D69" s="34" t="n">
        <v>5.26</v>
      </c>
      <c r="E69" s="34" t="n">
        <v>-0.08</v>
      </c>
      <c r="F69" s="34" t="n">
        <v>-0.24</v>
      </c>
      <c r="G69" s="34" t="n">
        <v>4.94</v>
      </c>
      <c r="H69" s="34" t="n">
        <v>9.65</v>
      </c>
      <c r="I69" s="19" t="n">
        <v>4.71</v>
      </c>
      <c r="J69" s="34" t="n">
        <v>9.67</v>
      </c>
      <c r="K69" s="34" t="n">
        <v>0.0299999999999994</v>
      </c>
      <c r="L69" s="34" t="n">
        <v>-0.011</v>
      </c>
      <c r="O69" s="19" t="n">
        <f aca="false">J69</f>
        <v>9.67</v>
      </c>
      <c r="P69" s="34" t="n">
        <v>5.26</v>
      </c>
      <c r="Q69" s="34" t="n">
        <v>-0.08</v>
      </c>
      <c r="R69" s="34" t="n">
        <v>-0.24</v>
      </c>
      <c r="S69" s="19" t="n">
        <v>4.71</v>
      </c>
      <c r="T69" s="34" t="n">
        <v>0.0299999999999994</v>
      </c>
      <c r="U69" s="34" t="n">
        <v>-0.011</v>
      </c>
      <c r="V69" s="13" t="n">
        <f aca="false">SUM(P69:U69)</f>
        <v>9.669</v>
      </c>
      <c r="W69" s="13" t="n">
        <f aca="false">O69-V69</f>
        <v>0.000999999999999446</v>
      </c>
    </row>
    <row r="70" customFormat="false" ht="15.65" hidden="false" customHeight="false" outlineLevel="0" collapsed="false">
      <c r="A70" s="12" t="n">
        <v>4</v>
      </c>
      <c r="B70" s="34" t="n">
        <v>21</v>
      </c>
      <c r="C70" s="34" t="s">
        <v>78</v>
      </c>
      <c r="D70" s="34" t="n">
        <v>5.21</v>
      </c>
      <c r="E70" s="34" t="n">
        <v>0.01</v>
      </c>
      <c r="F70" s="34" t="n">
        <v>-0.08</v>
      </c>
      <c r="G70" s="34" t="n">
        <v>5.14</v>
      </c>
      <c r="H70" s="34" t="n">
        <v>9.86</v>
      </c>
      <c r="I70" s="19" t="n">
        <v>4.71</v>
      </c>
      <c r="J70" s="34" t="n">
        <v>9.82</v>
      </c>
      <c r="K70" s="34" t="n">
        <v>-0.0399999999999992</v>
      </c>
      <c r="L70" s="34" t="n">
        <v>-0.003</v>
      </c>
      <c r="O70" s="19" t="n">
        <f aca="false">J70</f>
        <v>9.82</v>
      </c>
      <c r="P70" s="34" t="n">
        <v>5.21</v>
      </c>
      <c r="Q70" s="34" t="n">
        <v>0.01</v>
      </c>
      <c r="R70" s="34" t="n">
        <v>-0.08</v>
      </c>
      <c r="S70" s="19" t="n">
        <v>4.71</v>
      </c>
      <c r="T70" s="34" t="n">
        <v>-0.0399999999999992</v>
      </c>
      <c r="U70" s="34" t="n">
        <v>-0.003</v>
      </c>
      <c r="V70" s="13" t="n">
        <f aca="false">SUM(P70:U70)</f>
        <v>9.807</v>
      </c>
      <c r="W70" s="13" t="n">
        <f aca="false">O70-V70</f>
        <v>0.0129999999999999</v>
      </c>
    </row>
    <row r="71" customFormat="false" ht="15.65" hidden="false" customHeight="false" outlineLevel="0" collapsed="false">
      <c r="A71" s="18" t="n">
        <v>4</v>
      </c>
      <c r="B71" s="34" t="n">
        <v>22</v>
      </c>
      <c r="C71" s="34" t="s">
        <v>80</v>
      </c>
      <c r="D71" s="34" t="n">
        <v>4.96</v>
      </c>
      <c r="E71" s="34" t="n">
        <v>-0.05</v>
      </c>
      <c r="F71" s="34" t="n">
        <v>0.1</v>
      </c>
      <c r="G71" s="34" t="n">
        <v>5.02</v>
      </c>
      <c r="H71" s="34" t="n">
        <v>9.74</v>
      </c>
      <c r="I71" s="19" t="n">
        <v>4.71</v>
      </c>
      <c r="J71" s="34" t="n">
        <v>9.75</v>
      </c>
      <c r="K71" s="34" t="n">
        <v>0.0299999999999994</v>
      </c>
      <c r="L71" s="34" t="n">
        <v>-0.02</v>
      </c>
      <c r="O71" s="19" t="n">
        <f aca="false">J71</f>
        <v>9.75</v>
      </c>
      <c r="P71" s="34" t="n">
        <v>4.96</v>
      </c>
      <c r="Q71" s="34" t="n">
        <v>-0.05</v>
      </c>
      <c r="R71" s="34" t="n">
        <v>0.1</v>
      </c>
      <c r="S71" s="19" t="n">
        <v>4.71</v>
      </c>
      <c r="T71" s="34" t="n">
        <v>0.0299999999999994</v>
      </c>
      <c r="U71" s="34" t="n">
        <v>-0.02</v>
      </c>
      <c r="V71" s="13" t="n">
        <f aca="false">SUM(P71:U71)</f>
        <v>9.73</v>
      </c>
      <c r="W71" s="13" t="n">
        <f aca="false">O71-V71</f>
        <v>0.0199999999999996</v>
      </c>
    </row>
    <row r="72" customFormat="false" ht="15.65" hidden="false" customHeight="false" outlineLevel="0" collapsed="false">
      <c r="A72" s="12" t="n">
        <v>4</v>
      </c>
      <c r="B72" s="34" t="n">
        <v>23</v>
      </c>
      <c r="C72" s="34" t="s">
        <v>81</v>
      </c>
      <c r="D72" s="34" t="n">
        <v>4.71</v>
      </c>
      <c r="E72" s="34" t="n">
        <v>0.2</v>
      </c>
      <c r="F72" s="34" t="n">
        <v>0.27</v>
      </c>
      <c r="G72" s="34" t="n">
        <v>5.18</v>
      </c>
      <c r="H72" s="34" t="n">
        <v>9.9</v>
      </c>
      <c r="I72" s="19" t="n">
        <v>4.71</v>
      </c>
      <c r="J72" s="34" t="n">
        <v>9.93</v>
      </c>
      <c r="K72" s="34" t="n">
        <v>0.0199999999999996</v>
      </c>
      <c r="L72" s="34" t="n">
        <v>0.007</v>
      </c>
      <c r="O72" s="19" t="n">
        <f aca="false">J72</f>
        <v>9.93</v>
      </c>
      <c r="P72" s="34" t="n">
        <v>4.71</v>
      </c>
      <c r="Q72" s="34" t="n">
        <v>0.2</v>
      </c>
      <c r="R72" s="34" t="n">
        <v>0.27</v>
      </c>
      <c r="S72" s="19" t="n">
        <v>4.71</v>
      </c>
      <c r="T72" s="34" t="n">
        <v>0.0199999999999996</v>
      </c>
      <c r="U72" s="34" t="n">
        <v>0.007</v>
      </c>
      <c r="V72" s="13" t="n">
        <f aca="false">SUM(P72:U72)</f>
        <v>9.917</v>
      </c>
      <c r="W72" s="13" t="n">
        <f aca="false">O72-V72</f>
        <v>0.0129999999999999</v>
      </c>
    </row>
    <row r="73" customFormat="false" ht="15.65" hidden="false" customHeight="false" outlineLevel="0" collapsed="false">
      <c r="A73" s="18" t="n">
        <v>4</v>
      </c>
      <c r="B73" s="34" t="n">
        <v>24</v>
      </c>
      <c r="C73" s="34" t="s">
        <v>83</v>
      </c>
      <c r="D73" s="34" t="n">
        <v>5.08</v>
      </c>
      <c r="E73" s="34" t="n">
        <v>0.03</v>
      </c>
      <c r="F73" s="34" t="n">
        <v>0.03</v>
      </c>
      <c r="G73" s="34" t="n">
        <v>5.14</v>
      </c>
      <c r="H73" s="34" t="n">
        <v>9.85</v>
      </c>
      <c r="I73" s="19" t="n">
        <v>4.71</v>
      </c>
      <c r="J73" s="34" t="n">
        <v>9.91</v>
      </c>
      <c r="K73" s="34" t="n">
        <v>0.0500000000000007</v>
      </c>
      <c r="L73" s="34" t="n">
        <v>0.007</v>
      </c>
      <c r="O73" s="19" t="n">
        <f aca="false">J73</f>
        <v>9.91</v>
      </c>
      <c r="P73" s="34" t="n">
        <v>5.08</v>
      </c>
      <c r="Q73" s="34" t="n">
        <v>0.03</v>
      </c>
      <c r="R73" s="34" t="n">
        <v>0.03</v>
      </c>
      <c r="S73" s="19" t="n">
        <v>4.71</v>
      </c>
      <c r="T73" s="34" t="n">
        <v>0.0500000000000007</v>
      </c>
      <c r="U73" s="34" t="n">
        <v>0.007</v>
      </c>
      <c r="V73" s="13" t="n">
        <f aca="false">SUM(P73:U73)</f>
        <v>9.907</v>
      </c>
      <c r="W73" s="13" t="n">
        <f aca="false">O73-V73</f>
        <v>0.00300000000000011</v>
      </c>
    </row>
    <row r="74" customFormat="false" ht="15.65" hidden="false" customHeight="false" outlineLevel="0" collapsed="false">
      <c r="A74" s="12" t="n">
        <v>4</v>
      </c>
      <c r="B74" s="34" t="n">
        <v>25</v>
      </c>
      <c r="C74" s="34" t="s">
        <v>84</v>
      </c>
      <c r="D74" s="34" t="n">
        <v>5.2</v>
      </c>
      <c r="E74" s="34" t="n">
        <v>0.07</v>
      </c>
      <c r="F74" s="34" t="n">
        <v>-0.15</v>
      </c>
      <c r="G74" s="34" t="n">
        <v>5.12</v>
      </c>
      <c r="H74" s="34" t="n">
        <v>9.83</v>
      </c>
      <c r="I74" s="19" t="n">
        <v>4.71</v>
      </c>
      <c r="J74" s="34" t="n">
        <v>9.83</v>
      </c>
      <c r="K74" s="34" t="n">
        <v>0.0199999999999996</v>
      </c>
      <c r="L74" s="34" t="n">
        <v>-0.023</v>
      </c>
      <c r="O74" s="19" t="n">
        <f aca="false">J74</f>
        <v>9.83</v>
      </c>
      <c r="P74" s="34" t="n">
        <v>5.2</v>
      </c>
      <c r="Q74" s="34" t="n">
        <v>0.07</v>
      </c>
      <c r="R74" s="34" t="n">
        <v>-0.15</v>
      </c>
      <c r="S74" s="19" t="n">
        <v>4.71</v>
      </c>
      <c r="T74" s="34" t="n">
        <v>0.0199999999999996</v>
      </c>
      <c r="U74" s="34" t="n">
        <v>-0.023</v>
      </c>
      <c r="V74" s="13" t="n">
        <f aca="false">SUM(P74:U74)</f>
        <v>9.827</v>
      </c>
      <c r="W74" s="13" t="n">
        <f aca="false">O74-V74</f>
        <v>0.00300000000000011</v>
      </c>
    </row>
    <row r="75" customFormat="false" ht="15.65" hidden="false" customHeight="false" outlineLevel="0" collapsed="false">
      <c r="A75" s="18" t="n">
        <v>4</v>
      </c>
      <c r="B75" s="34" t="n">
        <v>26</v>
      </c>
      <c r="C75" s="34" t="s">
        <v>88</v>
      </c>
      <c r="D75" s="34" t="n">
        <v>5.18</v>
      </c>
      <c r="E75" s="34" t="n">
        <v>0.07</v>
      </c>
      <c r="F75" s="34" t="n">
        <v>0.02</v>
      </c>
      <c r="G75" s="34" t="n">
        <v>5.27</v>
      </c>
      <c r="H75" s="34" t="n">
        <v>9.98</v>
      </c>
      <c r="I75" s="19" t="n">
        <v>4.71</v>
      </c>
      <c r="J75" s="34" t="n">
        <v>9.95</v>
      </c>
      <c r="K75" s="34" t="n">
        <v>-0.0400000000000009</v>
      </c>
      <c r="L75" s="34" t="n">
        <v>0.007</v>
      </c>
      <c r="O75" s="19" t="n">
        <f aca="false">J75</f>
        <v>9.95</v>
      </c>
      <c r="P75" s="34" t="n">
        <v>5.18</v>
      </c>
      <c r="Q75" s="34" t="n">
        <v>0.07</v>
      </c>
      <c r="R75" s="34" t="n">
        <v>0.02</v>
      </c>
      <c r="S75" s="19" t="n">
        <v>4.71</v>
      </c>
      <c r="T75" s="34" t="n">
        <v>-0.0400000000000009</v>
      </c>
      <c r="U75" s="34" t="n">
        <v>0.007</v>
      </c>
      <c r="V75" s="13" t="n">
        <f aca="false">SUM(P75:U75)</f>
        <v>9.947</v>
      </c>
      <c r="W75" s="13" t="n">
        <f aca="false">O75-V75</f>
        <v>0.00300000000000011</v>
      </c>
    </row>
    <row r="76" customFormat="false" ht="15.65" hidden="false" customHeight="false" outlineLevel="0" collapsed="false">
      <c r="A76" s="12" t="n">
        <v>4</v>
      </c>
      <c r="B76" s="34" t="n">
        <v>27</v>
      </c>
      <c r="C76" s="34" t="s">
        <v>89</v>
      </c>
      <c r="D76" s="34" t="n">
        <v>5.18</v>
      </c>
      <c r="E76" s="34" t="n">
        <v>0.18</v>
      </c>
      <c r="F76" s="34" t="n">
        <v>0.15</v>
      </c>
      <c r="G76" s="34" t="n">
        <v>5.51</v>
      </c>
      <c r="H76" s="34" t="n">
        <v>10.22</v>
      </c>
      <c r="I76" s="19" t="n">
        <v>4.71</v>
      </c>
      <c r="J76" s="34" t="n">
        <v>10.22</v>
      </c>
      <c r="K76" s="34" t="n">
        <v>-0.00999999999999979</v>
      </c>
      <c r="L76" s="34" t="n">
        <v>0.007</v>
      </c>
      <c r="O76" s="19" t="n">
        <f aca="false">J76</f>
        <v>10.22</v>
      </c>
      <c r="P76" s="34" t="n">
        <v>5.18</v>
      </c>
      <c r="Q76" s="34" t="n">
        <v>0.18</v>
      </c>
      <c r="R76" s="34" t="n">
        <v>0.15</v>
      </c>
      <c r="S76" s="19" t="n">
        <v>4.71</v>
      </c>
      <c r="T76" s="34" t="n">
        <v>-0.00999999999999979</v>
      </c>
      <c r="U76" s="34" t="n">
        <v>0.007</v>
      </c>
      <c r="V76" s="13" t="n">
        <f aca="false">SUM(P76:U76)</f>
        <v>10.217</v>
      </c>
      <c r="W76" s="13" t="n">
        <f aca="false">O76-V76</f>
        <v>0.00300000000000189</v>
      </c>
    </row>
    <row r="77" customFormat="false" ht="15.65" hidden="false" customHeight="false" outlineLevel="0" collapsed="false">
      <c r="A77" s="18" t="n">
        <v>4</v>
      </c>
      <c r="B77" s="34" t="n">
        <v>28</v>
      </c>
      <c r="C77" s="34" t="s">
        <v>90</v>
      </c>
      <c r="D77" s="34" t="n">
        <v>5.4</v>
      </c>
      <c r="E77" s="34" t="n">
        <v>0.03</v>
      </c>
      <c r="F77" s="34" t="n">
        <v>-0.01</v>
      </c>
      <c r="G77" s="34" t="n">
        <v>5.43</v>
      </c>
      <c r="H77" s="34" t="n">
        <v>10.14</v>
      </c>
      <c r="I77" s="19" t="n">
        <v>4.71</v>
      </c>
      <c r="J77" s="34" t="n">
        <v>10.13</v>
      </c>
      <c r="K77" s="34" t="n">
        <v>-0.00999999999999979</v>
      </c>
      <c r="L77" s="34" t="n">
        <v>0.007</v>
      </c>
      <c r="O77" s="19" t="n">
        <f aca="false">J77</f>
        <v>10.13</v>
      </c>
      <c r="P77" s="34" t="n">
        <v>5.4</v>
      </c>
      <c r="Q77" s="34" t="n">
        <v>0.03</v>
      </c>
      <c r="R77" s="34" t="n">
        <v>-0.01</v>
      </c>
      <c r="S77" s="19" t="n">
        <v>4.71</v>
      </c>
      <c r="T77" s="34" t="n">
        <v>-0.00999999999999979</v>
      </c>
      <c r="U77" s="34" t="n">
        <v>0.007</v>
      </c>
      <c r="V77" s="13" t="n">
        <f aca="false">SUM(P77:U77)</f>
        <v>10.127</v>
      </c>
      <c r="W77" s="13" t="n">
        <f aca="false">O77-V77</f>
        <v>0.00300000000000011</v>
      </c>
    </row>
    <row r="78" customFormat="false" ht="15.65" hidden="false" customHeight="false" outlineLevel="0" collapsed="false">
      <c r="A78" s="12" t="n">
        <v>4</v>
      </c>
      <c r="B78" s="34" t="n">
        <v>29</v>
      </c>
      <c r="C78" s="34" t="s">
        <v>91</v>
      </c>
      <c r="D78" s="34" t="n">
        <v>5.79</v>
      </c>
      <c r="E78" s="34" t="n">
        <v>-0.02</v>
      </c>
      <c r="F78" s="34" t="n">
        <v>-0.44</v>
      </c>
      <c r="G78" s="34" t="n">
        <v>5.33</v>
      </c>
      <c r="H78" s="34" t="n">
        <v>10.04</v>
      </c>
      <c r="I78" s="19" t="n">
        <v>4.71</v>
      </c>
      <c r="J78" s="34" t="n">
        <v>9.96</v>
      </c>
      <c r="K78" s="34" t="n">
        <v>-0.0699999999999985</v>
      </c>
      <c r="L78" s="34" t="n">
        <v>-0.012</v>
      </c>
      <c r="O78" s="19" t="n">
        <f aca="false">J78</f>
        <v>9.96</v>
      </c>
      <c r="P78" s="34" t="n">
        <v>5.79</v>
      </c>
      <c r="Q78" s="34" t="n">
        <v>-0.02</v>
      </c>
      <c r="R78" s="34" t="n">
        <v>-0.44</v>
      </c>
      <c r="S78" s="19" t="n">
        <v>4.71</v>
      </c>
      <c r="T78" s="34" t="n">
        <v>-0.0699999999999985</v>
      </c>
      <c r="U78" s="34" t="n">
        <v>-0.012</v>
      </c>
      <c r="V78" s="13" t="n">
        <f aca="false">SUM(P78:U78)</f>
        <v>9.958</v>
      </c>
      <c r="W78" s="13" t="n">
        <f aca="false">O78-V78</f>
        <v>0.00200000000000067</v>
      </c>
    </row>
    <row r="79" customFormat="false" ht="15.65" hidden="false" customHeight="false" outlineLevel="0" collapsed="false">
      <c r="A79" s="18" t="n">
        <v>4</v>
      </c>
      <c r="B79" s="34" t="n">
        <v>30</v>
      </c>
      <c r="C79" s="34" t="s">
        <v>92</v>
      </c>
      <c r="D79" s="34" t="n">
        <v>5.96</v>
      </c>
      <c r="E79" s="34" t="n">
        <v>-0.03</v>
      </c>
      <c r="F79" s="34" t="n">
        <v>-0.48</v>
      </c>
      <c r="G79" s="34" t="n">
        <v>5.44</v>
      </c>
      <c r="H79" s="34" t="n">
        <v>10.15</v>
      </c>
      <c r="I79" s="19" t="n">
        <v>4.71</v>
      </c>
      <c r="J79" s="34" t="n">
        <v>10.18</v>
      </c>
      <c r="K79" s="34" t="n">
        <v>0.0299999999999994</v>
      </c>
      <c r="L79" s="34" t="n">
        <v>0.003</v>
      </c>
      <c r="O79" s="19" t="n">
        <f aca="false">J79</f>
        <v>10.18</v>
      </c>
      <c r="P79" s="34" t="n">
        <v>5.96</v>
      </c>
      <c r="Q79" s="34" t="n">
        <v>-0.03</v>
      </c>
      <c r="R79" s="34" t="n">
        <v>-0.48</v>
      </c>
      <c r="S79" s="19" t="n">
        <v>4.71</v>
      </c>
      <c r="T79" s="34" t="n">
        <v>0.0299999999999994</v>
      </c>
      <c r="U79" s="34" t="n">
        <v>0.003</v>
      </c>
      <c r="V79" s="13" t="n">
        <f aca="false">SUM(P79:U79)</f>
        <v>10.193</v>
      </c>
      <c r="W79" s="13" t="n">
        <f aca="false">O79-V79</f>
        <v>-0.0129999999999999</v>
      </c>
    </row>
    <row r="80" customFormat="false" ht="15.65" hidden="false" customHeight="false" outlineLevel="0" collapsed="false">
      <c r="A80" s="12" t="n">
        <v>4</v>
      </c>
      <c r="B80" s="34" t="n">
        <v>31</v>
      </c>
      <c r="C80" s="34" t="s">
        <v>93</v>
      </c>
      <c r="D80" s="34" t="n">
        <v>6.07</v>
      </c>
      <c r="E80" s="34" t="n">
        <v>-0.15</v>
      </c>
      <c r="F80" s="34" t="n">
        <v>-0.67</v>
      </c>
      <c r="G80" s="34" t="n">
        <v>5.24</v>
      </c>
      <c r="H80" s="34" t="n">
        <v>9.95</v>
      </c>
      <c r="I80" s="19" t="n">
        <v>4.71</v>
      </c>
      <c r="J80" s="34" t="n">
        <v>9.94</v>
      </c>
      <c r="K80" s="34" t="n">
        <v>-0.00999999999999979</v>
      </c>
      <c r="L80" s="34" t="n">
        <v>0.007</v>
      </c>
      <c r="O80" s="19" t="n">
        <f aca="false">J80</f>
        <v>9.94</v>
      </c>
      <c r="P80" s="34" t="n">
        <v>6.07</v>
      </c>
      <c r="Q80" s="34" t="n">
        <v>-0.15</v>
      </c>
      <c r="R80" s="34" t="n">
        <v>-0.67</v>
      </c>
      <c r="S80" s="19" t="n">
        <v>4.71</v>
      </c>
      <c r="T80" s="34" t="n">
        <v>-0.00999999999999979</v>
      </c>
      <c r="U80" s="34" t="n">
        <v>0.007</v>
      </c>
      <c r="V80" s="13" t="n">
        <f aca="false">SUM(P80:U80)</f>
        <v>9.957</v>
      </c>
      <c r="W80" s="13" t="n">
        <f aca="false">O80-V80</f>
        <v>-0.0170000000000012</v>
      </c>
    </row>
    <row r="81" customFormat="false" ht="15.65" hidden="false" customHeight="false" outlineLevel="0" collapsed="false">
      <c r="A81" s="18" t="n">
        <v>4</v>
      </c>
      <c r="B81" s="34" t="n">
        <v>32</v>
      </c>
      <c r="C81" s="34" t="s">
        <v>94</v>
      </c>
      <c r="D81" s="34" t="n">
        <v>6.4</v>
      </c>
      <c r="E81" s="34" t="n">
        <v>-0.29</v>
      </c>
      <c r="F81" s="34" t="n">
        <v>-0.55</v>
      </c>
      <c r="G81" s="34" t="n">
        <v>5.56</v>
      </c>
      <c r="H81" s="34" t="n">
        <v>10.27</v>
      </c>
      <c r="I81" s="19" t="n">
        <v>4.71</v>
      </c>
      <c r="J81" s="34" t="n">
        <v>10.35</v>
      </c>
      <c r="K81" s="34" t="n">
        <v>0.0999999999999996</v>
      </c>
      <c r="L81" s="34" t="n">
        <v>-0.016</v>
      </c>
      <c r="O81" s="19" t="n">
        <f aca="false">J81</f>
        <v>10.35</v>
      </c>
      <c r="P81" s="34" t="n">
        <v>6.4</v>
      </c>
      <c r="Q81" s="34" t="n">
        <v>-0.29</v>
      </c>
      <c r="R81" s="34" t="n">
        <v>-0.55</v>
      </c>
      <c r="S81" s="19" t="n">
        <v>4.71</v>
      </c>
      <c r="T81" s="34" t="n">
        <v>0.0999999999999996</v>
      </c>
      <c r="U81" s="34" t="n">
        <v>-0.016</v>
      </c>
      <c r="V81" s="13" t="n">
        <f aca="false">SUM(P81:U81)</f>
        <v>10.354</v>
      </c>
      <c r="W81" s="13" t="n">
        <f aca="false">O81-V81</f>
        <v>-0.00399999999999956</v>
      </c>
    </row>
    <row r="82" customFormat="false" ht="15.65" hidden="false" customHeight="false" outlineLevel="0" collapsed="false">
      <c r="A82" s="12" t="n">
        <v>4</v>
      </c>
      <c r="B82" s="34" t="n">
        <v>33</v>
      </c>
      <c r="C82" s="34" t="s">
        <v>95</v>
      </c>
      <c r="D82" s="34" t="n">
        <v>5.61</v>
      </c>
      <c r="E82" s="34" t="n">
        <v>0.07</v>
      </c>
      <c r="F82" s="34" t="n">
        <v>-0.18</v>
      </c>
      <c r="G82" s="34" t="n">
        <v>5.51</v>
      </c>
      <c r="H82" s="34" t="n">
        <v>10.22</v>
      </c>
      <c r="I82" s="19" t="n">
        <v>4.71</v>
      </c>
      <c r="J82" s="34" t="n">
        <v>10.25</v>
      </c>
      <c r="K82" s="34" t="n">
        <v>0.0199999999999996</v>
      </c>
      <c r="L82" s="34" t="n">
        <v>0.007</v>
      </c>
      <c r="O82" s="19" t="n">
        <f aca="false">J82</f>
        <v>10.25</v>
      </c>
      <c r="P82" s="34" t="n">
        <v>5.61</v>
      </c>
      <c r="Q82" s="34" t="n">
        <v>0.07</v>
      </c>
      <c r="R82" s="34" t="n">
        <v>-0.18</v>
      </c>
      <c r="S82" s="19" t="n">
        <v>4.71</v>
      </c>
      <c r="T82" s="34" t="n">
        <v>0.0199999999999996</v>
      </c>
      <c r="U82" s="34" t="n">
        <v>0.007</v>
      </c>
      <c r="V82" s="13" t="n">
        <f aca="false">SUM(P82:U82)</f>
        <v>10.237</v>
      </c>
      <c r="W82" s="13" t="n">
        <f aca="false">O82-V82</f>
        <v>0.0129999999999999</v>
      </c>
    </row>
    <row r="83" customFormat="false" ht="15.65" hidden="false" customHeight="false" outlineLevel="0" collapsed="false">
      <c r="A83" s="18" t="n">
        <v>4</v>
      </c>
      <c r="B83" s="34" t="n">
        <v>34</v>
      </c>
      <c r="C83" s="34" t="s">
        <v>97</v>
      </c>
      <c r="D83" s="34" t="n">
        <v>5.41</v>
      </c>
      <c r="E83" s="34" t="n">
        <v>0.05</v>
      </c>
      <c r="F83" s="34" t="n">
        <v>-0.12</v>
      </c>
      <c r="G83" s="34" t="n">
        <v>5.35</v>
      </c>
      <c r="H83" s="34" t="n">
        <v>10.06</v>
      </c>
      <c r="I83" s="19" t="n">
        <v>4.71</v>
      </c>
      <c r="J83" s="34" t="n">
        <v>10.09</v>
      </c>
      <c r="K83" s="34" t="n">
        <v>0.0299999999999994</v>
      </c>
      <c r="L83" s="34" t="n">
        <v>0.007</v>
      </c>
      <c r="O83" s="19" t="n">
        <f aca="false">J83</f>
        <v>10.09</v>
      </c>
      <c r="P83" s="34" t="n">
        <v>5.41</v>
      </c>
      <c r="Q83" s="34" t="n">
        <v>0.05</v>
      </c>
      <c r="R83" s="34" t="n">
        <v>-0.12</v>
      </c>
      <c r="S83" s="19" t="n">
        <v>4.71</v>
      </c>
      <c r="T83" s="34" t="n">
        <v>0.0299999999999994</v>
      </c>
      <c r="U83" s="34" t="n">
        <v>0.007</v>
      </c>
      <c r="V83" s="13" t="n">
        <f aca="false">SUM(P83:U83)</f>
        <v>10.087</v>
      </c>
      <c r="W83" s="13" t="n">
        <f aca="false">O83-V83</f>
        <v>0.00300000000000011</v>
      </c>
    </row>
    <row r="84" customFormat="false" ht="15.65" hidden="false" customHeight="false" outlineLevel="0" collapsed="false">
      <c r="A84" s="12" t="n">
        <v>4</v>
      </c>
      <c r="B84" s="34" t="n">
        <v>35</v>
      </c>
      <c r="C84" s="34" t="s">
        <v>98</v>
      </c>
      <c r="D84" s="34" t="n">
        <v>5.78</v>
      </c>
      <c r="E84" s="34" t="n">
        <v>-0.2</v>
      </c>
      <c r="F84" s="34" t="n">
        <v>-0.1</v>
      </c>
      <c r="G84" s="34" t="n">
        <v>5.48</v>
      </c>
      <c r="H84" s="34" t="n">
        <v>10.19</v>
      </c>
      <c r="I84" s="19" t="n">
        <v>4.71</v>
      </c>
      <c r="J84" s="34" t="n">
        <v>10.15</v>
      </c>
      <c r="K84" s="34" t="n">
        <v>-0.0299999999999994</v>
      </c>
      <c r="L84" s="34" t="n">
        <v>-0.011</v>
      </c>
      <c r="O84" s="19" t="n">
        <f aca="false">J84</f>
        <v>10.15</v>
      </c>
      <c r="P84" s="34" t="n">
        <v>5.78</v>
      </c>
      <c r="Q84" s="34" t="n">
        <v>-0.2</v>
      </c>
      <c r="R84" s="34" t="n">
        <v>-0.1</v>
      </c>
      <c r="S84" s="19" t="n">
        <v>4.71</v>
      </c>
      <c r="T84" s="34" t="n">
        <v>-0.0299999999999994</v>
      </c>
      <c r="U84" s="34" t="n">
        <v>-0.011</v>
      </c>
      <c r="V84" s="13" t="n">
        <f aca="false">SUM(P84:U84)</f>
        <v>10.149</v>
      </c>
      <c r="W84" s="13" t="n">
        <f aca="false">O84-V84</f>
        <v>0.000999999999999446</v>
      </c>
    </row>
    <row r="85" customFormat="false" ht="15.65" hidden="false" customHeight="false" outlineLevel="0" collapsed="false">
      <c r="A85" s="18" t="n">
        <v>4</v>
      </c>
      <c r="B85" s="34" t="n">
        <v>36</v>
      </c>
      <c r="C85" s="34" t="s">
        <v>99</v>
      </c>
      <c r="D85" s="34" t="n">
        <v>6.17</v>
      </c>
      <c r="E85" s="34" t="n">
        <v>-0.11</v>
      </c>
      <c r="F85" s="34" t="n">
        <v>-0.38</v>
      </c>
      <c r="G85" s="34" t="n">
        <v>5.69</v>
      </c>
      <c r="H85" s="34" t="n">
        <v>10.4</v>
      </c>
      <c r="I85" s="19" t="n">
        <v>4.71</v>
      </c>
      <c r="J85" s="34" t="n">
        <v>10.43</v>
      </c>
      <c r="K85" s="34" t="n">
        <v>0.0499999999999989</v>
      </c>
      <c r="L85" s="34" t="n">
        <v>-0.023</v>
      </c>
      <c r="O85" s="19" t="n">
        <f aca="false">J85</f>
        <v>10.43</v>
      </c>
      <c r="P85" s="34" t="n">
        <v>6.17</v>
      </c>
      <c r="Q85" s="34" t="n">
        <v>-0.11</v>
      </c>
      <c r="R85" s="34" t="n">
        <v>-0.38</v>
      </c>
      <c r="S85" s="19" t="n">
        <v>4.71</v>
      </c>
      <c r="T85" s="34" t="n">
        <v>0.0499999999999989</v>
      </c>
      <c r="U85" s="34" t="n">
        <v>-0.023</v>
      </c>
      <c r="V85" s="13" t="n">
        <f aca="false">SUM(P85:U85)</f>
        <v>10.417</v>
      </c>
      <c r="W85" s="13" t="n">
        <f aca="false">O85-V85</f>
        <v>0.0129999999999999</v>
      </c>
    </row>
    <row r="86" customFormat="false" ht="15.65" hidden="false" customHeight="false" outlineLevel="0" collapsed="false">
      <c r="A86" s="12" t="n">
        <v>4</v>
      </c>
      <c r="B86" s="34" t="n">
        <v>37</v>
      </c>
      <c r="C86" s="34" t="s">
        <v>100</v>
      </c>
      <c r="D86" s="34" t="n">
        <v>6</v>
      </c>
      <c r="E86" s="34" t="n">
        <v>-0.07</v>
      </c>
      <c r="F86" s="34" t="n">
        <v>-0.3</v>
      </c>
      <c r="G86" s="34" t="n">
        <v>5.63</v>
      </c>
      <c r="H86" s="34" t="n">
        <v>10.35</v>
      </c>
      <c r="I86" s="19" t="n">
        <v>4.71</v>
      </c>
      <c r="J86" s="34" t="n">
        <v>10.34</v>
      </c>
      <c r="K86" s="34" t="n">
        <v>-0.0199999999999996</v>
      </c>
      <c r="L86" s="34" t="n">
        <v>0.007</v>
      </c>
      <c r="O86" s="19" t="n">
        <f aca="false">J86</f>
        <v>10.34</v>
      </c>
      <c r="P86" s="34" t="n">
        <v>6</v>
      </c>
      <c r="Q86" s="34" t="n">
        <v>-0.07</v>
      </c>
      <c r="R86" s="34" t="n">
        <v>-0.3</v>
      </c>
      <c r="S86" s="19" t="n">
        <v>4.71</v>
      </c>
      <c r="T86" s="34" t="n">
        <v>-0.0199999999999996</v>
      </c>
      <c r="U86" s="34" t="n">
        <v>0.007</v>
      </c>
      <c r="V86" s="13" t="n">
        <f aca="false">SUM(P86:U86)</f>
        <v>10.327</v>
      </c>
      <c r="W86" s="13" t="n">
        <f aca="false">O86-V86</f>
        <v>0.0129999999999999</v>
      </c>
    </row>
    <row r="87" customFormat="false" ht="15.65" hidden="false" customHeight="false" outlineLevel="0" collapsed="false">
      <c r="A87" s="18" t="n">
        <v>4</v>
      </c>
      <c r="B87" s="34" t="n">
        <v>38</v>
      </c>
      <c r="C87" s="34" t="s">
        <v>101</v>
      </c>
      <c r="D87" s="34" t="n">
        <v>5.89</v>
      </c>
      <c r="E87" s="34" t="n">
        <v>0.03</v>
      </c>
      <c r="F87" s="34" t="n">
        <v>-0.46</v>
      </c>
      <c r="G87" s="34" t="n">
        <v>5.47</v>
      </c>
      <c r="H87" s="34" t="n">
        <v>10.19</v>
      </c>
      <c r="I87" s="19" t="n">
        <v>4.71</v>
      </c>
      <c r="J87" s="34" t="n">
        <v>10.26</v>
      </c>
      <c r="K87" s="34" t="n">
        <v>0.0700000000000003</v>
      </c>
      <c r="L87" s="34" t="n">
        <v>0.007</v>
      </c>
      <c r="O87" s="19" t="n">
        <f aca="false">J87</f>
        <v>10.26</v>
      </c>
      <c r="P87" s="34" t="n">
        <v>5.89</v>
      </c>
      <c r="Q87" s="34" t="n">
        <v>0.03</v>
      </c>
      <c r="R87" s="34" t="n">
        <v>-0.46</v>
      </c>
      <c r="S87" s="19" t="n">
        <v>4.71</v>
      </c>
      <c r="T87" s="34" t="n">
        <v>0.0700000000000003</v>
      </c>
      <c r="U87" s="34" t="n">
        <v>0.007</v>
      </c>
      <c r="V87" s="13" t="n">
        <f aca="false">SUM(P87:U87)</f>
        <v>10.247</v>
      </c>
      <c r="W87" s="13" t="n">
        <f aca="false">O87-V87</f>
        <v>0.0129999999999999</v>
      </c>
    </row>
    <row r="88" customFormat="false" ht="15.65" hidden="false" customHeight="false" outlineLevel="0" collapsed="false">
      <c r="A88" s="12" t="n">
        <v>4</v>
      </c>
      <c r="B88" s="34" t="n">
        <v>39</v>
      </c>
      <c r="C88" s="34" t="s">
        <v>102</v>
      </c>
      <c r="D88" s="34" t="n">
        <v>6.11</v>
      </c>
      <c r="E88" s="34" t="n">
        <v>-0.16</v>
      </c>
      <c r="F88" s="34" t="n">
        <v>-0.38</v>
      </c>
      <c r="G88" s="34" t="n">
        <v>5.57</v>
      </c>
      <c r="H88" s="34" t="n">
        <v>10.29</v>
      </c>
      <c r="I88" s="19" t="n">
        <v>4.71</v>
      </c>
      <c r="J88" s="34" t="n">
        <v>10.3</v>
      </c>
      <c r="K88" s="34" t="n">
        <v>0</v>
      </c>
      <c r="L88" s="34" t="n">
        <v>0.007</v>
      </c>
      <c r="O88" s="19" t="n">
        <f aca="false">J88</f>
        <v>10.3</v>
      </c>
      <c r="P88" s="34" t="n">
        <v>6.11</v>
      </c>
      <c r="Q88" s="34" t="n">
        <v>-0.16</v>
      </c>
      <c r="R88" s="34" t="n">
        <v>-0.38</v>
      </c>
      <c r="S88" s="19" t="n">
        <v>4.71</v>
      </c>
      <c r="T88" s="34" t="n">
        <v>0</v>
      </c>
      <c r="U88" s="34" t="n">
        <v>0.007</v>
      </c>
      <c r="V88" s="13" t="n">
        <f aca="false">SUM(P88:U88)</f>
        <v>10.287</v>
      </c>
      <c r="W88" s="13" t="n">
        <f aca="false">O88-V88</f>
        <v>0.0129999999999999</v>
      </c>
    </row>
    <row r="89" customFormat="false" ht="15.65" hidden="false" customHeight="false" outlineLevel="0" collapsed="false">
      <c r="A89" s="18" t="n">
        <v>4</v>
      </c>
      <c r="B89" s="34" t="n">
        <v>40</v>
      </c>
      <c r="C89" s="34" t="s">
        <v>103</v>
      </c>
      <c r="D89" s="34" t="n">
        <v>5.79</v>
      </c>
      <c r="E89" s="34" t="n">
        <v>0.05</v>
      </c>
      <c r="F89" s="34" t="n">
        <v>-0.28</v>
      </c>
      <c r="G89" s="34" t="n">
        <v>5.56</v>
      </c>
      <c r="H89" s="34" t="n">
        <v>10.28</v>
      </c>
      <c r="I89" s="19" t="n">
        <v>4.71</v>
      </c>
      <c r="J89" s="34" t="n">
        <v>10.21</v>
      </c>
      <c r="K89" s="34" t="n">
        <v>-0.0699999999999985</v>
      </c>
      <c r="L89" s="34" t="n">
        <v>0.007</v>
      </c>
      <c r="O89" s="19" t="n">
        <f aca="false">J89</f>
        <v>10.21</v>
      </c>
      <c r="P89" s="34" t="n">
        <v>5.79</v>
      </c>
      <c r="Q89" s="34" t="n">
        <v>0.05</v>
      </c>
      <c r="R89" s="34" t="n">
        <v>-0.28</v>
      </c>
      <c r="S89" s="19" t="n">
        <v>4.71</v>
      </c>
      <c r="T89" s="34" t="n">
        <v>-0.0699999999999985</v>
      </c>
      <c r="U89" s="34" t="n">
        <v>0.007</v>
      </c>
      <c r="V89" s="13" t="n">
        <f aca="false">SUM(P89:U89)</f>
        <v>10.207</v>
      </c>
      <c r="W89" s="13" t="n">
        <f aca="false">O89-V89</f>
        <v>0.00300000000000011</v>
      </c>
    </row>
    <row r="90" customFormat="false" ht="15.65" hidden="false" customHeight="false" outlineLevel="0" collapsed="false">
      <c r="A90" s="12" t="n">
        <v>4</v>
      </c>
      <c r="B90" s="34" t="n">
        <v>41</v>
      </c>
      <c r="C90" s="34" t="s">
        <v>104</v>
      </c>
      <c r="D90" s="34" t="n">
        <v>7.13</v>
      </c>
      <c r="E90" s="34" t="n">
        <v>-0.19</v>
      </c>
      <c r="F90" s="34" t="n">
        <v>-0.74</v>
      </c>
      <c r="G90" s="34" t="n">
        <v>6.21</v>
      </c>
      <c r="H90" s="34" t="n">
        <v>10.92</v>
      </c>
      <c r="I90" s="19" t="n">
        <v>4.71</v>
      </c>
      <c r="J90" s="34" t="n">
        <v>11</v>
      </c>
      <c r="K90" s="34" t="n">
        <v>0.0700000000000003</v>
      </c>
      <c r="L90" s="34" t="n">
        <v>0.007</v>
      </c>
      <c r="O90" s="19" t="n">
        <f aca="false">J90</f>
        <v>11</v>
      </c>
      <c r="P90" s="34" t="n">
        <v>7.13</v>
      </c>
      <c r="Q90" s="34" t="n">
        <v>-0.19</v>
      </c>
      <c r="R90" s="34" t="n">
        <v>-0.74</v>
      </c>
      <c r="S90" s="19" t="n">
        <v>4.71</v>
      </c>
      <c r="T90" s="34" t="n">
        <v>0.0700000000000003</v>
      </c>
      <c r="U90" s="34" t="n">
        <v>0.007</v>
      </c>
      <c r="V90" s="13" t="n">
        <f aca="false">SUM(P90:U90)</f>
        <v>10.987</v>
      </c>
      <c r="W90" s="13" t="n">
        <f aca="false">O90-V90</f>
        <v>0.0129999999999999</v>
      </c>
    </row>
    <row r="91" customFormat="false" ht="15.65" hidden="false" customHeight="false" outlineLevel="0" collapsed="false">
      <c r="A91" s="18" t="n">
        <v>4</v>
      </c>
      <c r="B91" s="34" t="n">
        <v>42</v>
      </c>
      <c r="C91" s="34" t="s">
        <v>105</v>
      </c>
      <c r="D91" s="34" t="n">
        <v>6.62</v>
      </c>
      <c r="E91" s="34" t="n">
        <v>-0.21</v>
      </c>
      <c r="F91" s="34" t="n">
        <v>-0.74</v>
      </c>
      <c r="G91" s="34" t="n">
        <v>5.67</v>
      </c>
      <c r="H91" s="34" t="n">
        <v>10.38</v>
      </c>
      <c r="I91" s="19" t="n">
        <v>4.71</v>
      </c>
      <c r="J91" s="34" t="n">
        <v>10.47</v>
      </c>
      <c r="K91" s="34" t="n">
        <v>0.0899999999999999</v>
      </c>
      <c r="L91" s="34" t="n">
        <v>-0.002</v>
      </c>
      <c r="O91" s="19" t="n">
        <f aca="false">J91</f>
        <v>10.47</v>
      </c>
      <c r="P91" s="34" t="n">
        <v>6.62</v>
      </c>
      <c r="Q91" s="34" t="n">
        <v>-0.21</v>
      </c>
      <c r="R91" s="34" t="n">
        <v>-0.74</v>
      </c>
      <c r="S91" s="19" t="n">
        <v>4.71</v>
      </c>
      <c r="T91" s="34" t="n">
        <v>0.0899999999999999</v>
      </c>
      <c r="U91" s="34" t="n">
        <v>-0.002</v>
      </c>
      <c r="V91" s="13" t="n">
        <f aca="false">SUM(P91:U91)</f>
        <v>10.468</v>
      </c>
      <c r="W91" s="13" t="n">
        <f aca="false">O91-V91</f>
        <v>0.00200000000000067</v>
      </c>
    </row>
    <row r="92" customFormat="false" ht="15.65" hidden="false" customHeight="false" outlineLevel="0" collapsed="false">
      <c r="A92" s="12" t="n">
        <v>4</v>
      </c>
      <c r="B92" s="34" t="n">
        <v>43</v>
      </c>
      <c r="C92" s="34" t="s">
        <v>106</v>
      </c>
      <c r="D92" s="34" t="n">
        <v>6.39</v>
      </c>
      <c r="E92" s="34" t="n">
        <v>-0.06</v>
      </c>
      <c r="F92" s="34" t="n">
        <v>-0.63</v>
      </c>
      <c r="G92" s="34" t="n">
        <v>5.69</v>
      </c>
      <c r="H92" s="34" t="n">
        <v>10.41</v>
      </c>
      <c r="I92" s="19" t="n">
        <v>4.71</v>
      </c>
      <c r="J92" s="34" t="n">
        <v>10.45</v>
      </c>
      <c r="K92" s="34" t="n">
        <v>0.0800000000000001</v>
      </c>
      <c r="L92" s="34" t="n">
        <v>-0.037</v>
      </c>
      <c r="O92" s="19" t="n">
        <f aca="false">J92</f>
        <v>10.45</v>
      </c>
      <c r="P92" s="34" t="n">
        <v>6.39</v>
      </c>
      <c r="Q92" s="34" t="n">
        <v>-0.06</v>
      </c>
      <c r="R92" s="34" t="n">
        <v>-0.63</v>
      </c>
      <c r="S92" s="19" t="n">
        <v>4.71</v>
      </c>
      <c r="T92" s="34" t="n">
        <v>0.0800000000000001</v>
      </c>
      <c r="U92" s="34" t="n">
        <v>-0.037</v>
      </c>
      <c r="V92" s="13" t="n">
        <f aca="false">SUM(P92:U92)</f>
        <v>10.453</v>
      </c>
      <c r="W92" s="13" t="n">
        <f aca="false">O92-V92</f>
        <v>-0.00300000000000011</v>
      </c>
    </row>
    <row r="93" customFormat="false" ht="15.65" hidden="false" customHeight="false" outlineLevel="0" collapsed="false">
      <c r="A93" s="18" t="n">
        <v>4</v>
      </c>
      <c r="B93" s="34" t="n">
        <v>44</v>
      </c>
      <c r="C93" s="34" t="s">
        <v>107</v>
      </c>
      <c r="D93" s="34" t="n">
        <v>6.49</v>
      </c>
      <c r="E93" s="34" t="n">
        <v>-0.21</v>
      </c>
      <c r="F93" s="34" t="n">
        <v>-0.6</v>
      </c>
      <c r="G93" s="34" t="n">
        <v>5.68</v>
      </c>
      <c r="H93" s="34" t="n">
        <v>10.4</v>
      </c>
      <c r="I93" s="19" t="n">
        <v>4.71</v>
      </c>
      <c r="J93" s="34" t="n">
        <v>10.52</v>
      </c>
      <c r="K93" s="34" t="n">
        <v>0.129999999999999</v>
      </c>
      <c r="L93" s="34" t="n">
        <v>-0.009</v>
      </c>
      <c r="O93" s="19" t="n">
        <f aca="false">J93</f>
        <v>10.52</v>
      </c>
      <c r="P93" s="34" t="n">
        <v>6.49</v>
      </c>
      <c r="Q93" s="34" t="n">
        <v>-0.21</v>
      </c>
      <c r="R93" s="34" t="n">
        <v>-0.6</v>
      </c>
      <c r="S93" s="19" t="n">
        <v>4.71</v>
      </c>
      <c r="T93" s="34" t="n">
        <v>0.129999999999999</v>
      </c>
      <c r="U93" s="34" t="n">
        <v>-0.009</v>
      </c>
      <c r="V93" s="13" t="n">
        <f aca="false">SUM(P93:U93)</f>
        <v>10.511</v>
      </c>
      <c r="W93" s="13" t="n">
        <f aca="false">O93-V93</f>
        <v>0.00900000000000034</v>
      </c>
    </row>
    <row r="94" customFormat="false" ht="15.65" hidden="false" customHeight="false" outlineLevel="0" collapsed="false">
      <c r="A94" s="12" t="n">
        <v>4</v>
      </c>
      <c r="B94" s="34" t="n">
        <v>45</v>
      </c>
      <c r="C94" s="34" t="s">
        <v>108</v>
      </c>
      <c r="D94" s="34" t="n">
        <v>6.17</v>
      </c>
      <c r="E94" s="34" t="n">
        <v>-0.08</v>
      </c>
      <c r="F94" s="34" t="n">
        <v>-0.76</v>
      </c>
      <c r="G94" s="34" t="n">
        <v>5.33</v>
      </c>
      <c r="H94" s="34" t="n">
        <v>10.04</v>
      </c>
      <c r="I94" s="19" t="n">
        <v>4.71</v>
      </c>
      <c r="J94" s="34" t="n">
        <v>10.14</v>
      </c>
      <c r="K94" s="34" t="n">
        <v>0.100000000000001</v>
      </c>
      <c r="L94" s="34" t="n">
        <v>0.002</v>
      </c>
      <c r="O94" s="19" t="n">
        <f aca="false">J94</f>
        <v>10.14</v>
      </c>
      <c r="P94" s="34" t="n">
        <v>6.17</v>
      </c>
      <c r="Q94" s="34" t="n">
        <v>-0.08</v>
      </c>
      <c r="R94" s="34" t="n">
        <v>-0.76</v>
      </c>
      <c r="S94" s="19" t="n">
        <v>4.71</v>
      </c>
      <c r="T94" s="34" t="n">
        <v>0.100000000000001</v>
      </c>
      <c r="U94" s="34" t="n">
        <v>0.002</v>
      </c>
      <c r="V94" s="13" t="n">
        <f aca="false">SUM(P94:U94)</f>
        <v>10.142</v>
      </c>
      <c r="W94" s="13" t="n">
        <f aca="false">O94-V94</f>
        <v>-0.00200000000000067</v>
      </c>
    </row>
    <row r="95" customFormat="false" ht="15.65" hidden="false" customHeight="false" outlineLevel="0" collapsed="false">
      <c r="A95" s="18" t="n">
        <v>4</v>
      </c>
      <c r="B95" s="34" t="n">
        <v>46</v>
      </c>
      <c r="C95" s="34" t="s">
        <v>109</v>
      </c>
      <c r="D95" s="34" t="n">
        <v>6.62</v>
      </c>
      <c r="E95" s="34" t="n">
        <v>-0.03</v>
      </c>
      <c r="F95" s="34" t="n">
        <v>-0.85</v>
      </c>
      <c r="G95" s="34" t="n">
        <v>5.73</v>
      </c>
      <c r="H95" s="34" t="n">
        <v>10.45</v>
      </c>
      <c r="I95" s="19" t="n">
        <v>4.71</v>
      </c>
      <c r="J95" s="34" t="n">
        <v>10.65</v>
      </c>
      <c r="K95" s="34" t="n">
        <v>0.200000000000001</v>
      </c>
      <c r="L95" s="34" t="n">
        <v>0.007</v>
      </c>
      <c r="O95" s="19" t="n">
        <f aca="false">J95</f>
        <v>10.65</v>
      </c>
      <c r="P95" s="34" t="n">
        <v>6.62</v>
      </c>
      <c r="Q95" s="34" t="n">
        <v>-0.03</v>
      </c>
      <c r="R95" s="34" t="n">
        <v>-0.85</v>
      </c>
      <c r="S95" s="19" t="n">
        <v>4.71</v>
      </c>
      <c r="T95" s="34" t="n">
        <v>0.200000000000001</v>
      </c>
      <c r="U95" s="34" t="n">
        <v>0.007</v>
      </c>
      <c r="V95" s="13" t="n">
        <f aca="false">SUM(P95:U95)</f>
        <v>10.657</v>
      </c>
      <c r="W95" s="13" t="n">
        <f aca="false">O95-V95</f>
        <v>-0.00699999999999967</v>
      </c>
    </row>
    <row r="96" customFormat="false" ht="15.65" hidden="false" customHeight="false" outlineLevel="0" collapsed="false">
      <c r="A96" s="12" t="n">
        <v>4</v>
      </c>
      <c r="B96" s="34" t="n">
        <v>47</v>
      </c>
      <c r="C96" s="34" t="s">
        <v>110</v>
      </c>
      <c r="D96" s="34" t="n">
        <v>6.6</v>
      </c>
      <c r="E96" s="34" t="n">
        <v>0.3</v>
      </c>
      <c r="F96" s="34" t="n">
        <v>-1.56</v>
      </c>
      <c r="G96" s="34" t="n">
        <v>5.33</v>
      </c>
      <c r="H96" s="34" t="n">
        <v>10.05</v>
      </c>
      <c r="I96" s="19" t="n">
        <v>4.71</v>
      </c>
      <c r="J96" s="34" t="n">
        <v>10.09</v>
      </c>
      <c r="K96" s="34" t="n">
        <v>0.0599999999999987</v>
      </c>
      <c r="L96" s="34" t="n">
        <v>-0.021</v>
      </c>
      <c r="O96" s="19" t="n">
        <f aca="false">J96</f>
        <v>10.09</v>
      </c>
      <c r="P96" s="34" t="n">
        <v>6.6</v>
      </c>
      <c r="Q96" s="34" t="n">
        <v>0.3</v>
      </c>
      <c r="R96" s="34" t="n">
        <v>-1.56</v>
      </c>
      <c r="S96" s="19" t="n">
        <v>4.71</v>
      </c>
      <c r="T96" s="34" t="n">
        <v>0.0599999999999987</v>
      </c>
      <c r="U96" s="34" t="n">
        <v>-0.021</v>
      </c>
      <c r="V96" s="13" t="n">
        <f aca="false">SUM(P96:U96)</f>
        <v>10.089</v>
      </c>
      <c r="W96" s="13" t="n">
        <f aca="false">O96-V96</f>
        <v>0.001000000000003</v>
      </c>
    </row>
    <row r="97" customFormat="false" ht="15.65" hidden="false" customHeight="false" outlineLevel="0" collapsed="false">
      <c r="A97" s="12" t="n">
        <v>5</v>
      </c>
      <c r="B97" s="34" t="n">
        <v>1</v>
      </c>
      <c r="C97" s="34" t="s">
        <v>42</v>
      </c>
      <c r="D97" s="34" t="n">
        <v>6.28</v>
      </c>
      <c r="E97" s="34" t="n">
        <v>-0.31</v>
      </c>
      <c r="F97" s="34" t="n">
        <v>-0.26</v>
      </c>
      <c r="G97" s="34" t="n">
        <v>5.71</v>
      </c>
      <c r="H97" s="34" t="n">
        <v>10.35</v>
      </c>
      <c r="I97" s="19" t="n">
        <v>4.64</v>
      </c>
      <c r="J97" s="34" t="n">
        <v>10.29</v>
      </c>
      <c r="K97" s="34" t="n">
        <v>-0.0700000000000003</v>
      </c>
      <c r="L97" s="34" t="n">
        <v>0.01</v>
      </c>
      <c r="O97" s="19" t="n">
        <f aca="false">J97</f>
        <v>10.29</v>
      </c>
      <c r="P97" s="34" t="n">
        <v>6.28</v>
      </c>
      <c r="Q97" s="34" t="n">
        <v>-0.31</v>
      </c>
      <c r="R97" s="34" t="n">
        <v>-0.26</v>
      </c>
      <c r="S97" s="19" t="n">
        <v>4.64</v>
      </c>
      <c r="T97" s="34" t="n">
        <v>-0.0700000000000003</v>
      </c>
      <c r="U97" s="34" t="n">
        <v>0.01</v>
      </c>
      <c r="V97" s="13" t="n">
        <f aca="false">SUM(P97:U97)</f>
        <v>10.29</v>
      </c>
      <c r="W97" s="13" t="n">
        <f aca="false">O97-V97</f>
        <v>0</v>
      </c>
    </row>
    <row r="98" customFormat="false" ht="15.65" hidden="false" customHeight="false" outlineLevel="0" collapsed="false">
      <c r="A98" s="12" t="n">
        <v>5</v>
      </c>
      <c r="B98" s="34" t="n">
        <v>2</v>
      </c>
      <c r="C98" s="34" t="s">
        <v>45</v>
      </c>
      <c r="D98" s="34" t="n">
        <v>6.33</v>
      </c>
      <c r="E98" s="34" t="n">
        <v>-0.31</v>
      </c>
      <c r="F98" s="34" t="n">
        <v>-0.8</v>
      </c>
      <c r="G98" s="34" t="n">
        <v>5.21</v>
      </c>
      <c r="H98" s="34" t="n">
        <v>9.85</v>
      </c>
      <c r="I98" s="19" t="n">
        <v>4.64</v>
      </c>
      <c r="J98" s="34" t="n">
        <v>9.79</v>
      </c>
      <c r="K98" s="34" t="n">
        <v>-0.0700000000000003</v>
      </c>
      <c r="L98" s="34" t="n">
        <v>0.01</v>
      </c>
      <c r="O98" s="19" t="n">
        <f aca="false">J98</f>
        <v>9.79</v>
      </c>
      <c r="P98" s="34" t="n">
        <v>6.33</v>
      </c>
      <c r="Q98" s="34" t="n">
        <v>-0.31</v>
      </c>
      <c r="R98" s="34" t="n">
        <v>-0.8</v>
      </c>
      <c r="S98" s="19" t="n">
        <v>4.64</v>
      </c>
      <c r="T98" s="34" t="n">
        <v>-0.0700000000000003</v>
      </c>
      <c r="U98" s="34" t="n">
        <v>0.01</v>
      </c>
      <c r="V98" s="13" t="n">
        <f aca="false">SUM(P98:U98)</f>
        <v>9.8</v>
      </c>
      <c r="W98" s="13" t="n">
        <f aca="false">O98-V98</f>
        <v>-0.00999999999999979</v>
      </c>
    </row>
    <row r="99" customFormat="false" ht="15.65" hidden="false" customHeight="false" outlineLevel="0" collapsed="false">
      <c r="A99" s="12" t="n">
        <v>5</v>
      </c>
      <c r="B99" s="34" t="n">
        <v>3</v>
      </c>
      <c r="C99" s="34" t="s">
        <v>46</v>
      </c>
      <c r="D99" s="34" t="n">
        <v>6</v>
      </c>
      <c r="E99" s="34" t="n">
        <v>-0.32</v>
      </c>
      <c r="F99" s="34" t="n">
        <v>-0.57</v>
      </c>
      <c r="G99" s="34" t="n">
        <v>5.11</v>
      </c>
      <c r="H99" s="34" t="n">
        <v>9.75</v>
      </c>
      <c r="I99" s="19" t="n">
        <v>4.64</v>
      </c>
      <c r="J99" s="34" t="n">
        <v>9.77</v>
      </c>
      <c r="K99" s="34" t="n">
        <v>0.00999999999999979</v>
      </c>
      <c r="L99" s="34" t="n">
        <v>0.01</v>
      </c>
      <c r="O99" s="19" t="n">
        <f aca="false">J99</f>
        <v>9.77</v>
      </c>
      <c r="P99" s="34" t="n">
        <v>6</v>
      </c>
      <c r="Q99" s="34" t="n">
        <v>-0.32</v>
      </c>
      <c r="R99" s="34" t="n">
        <v>-0.57</v>
      </c>
      <c r="S99" s="19" t="n">
        <v>4.64</v>
      </c>
      <c r="T99" s="34" t="n">
        <v>0.00999999999999979</v>
      </c>
      <c r="U99" s="34" t="n">
        <v>0.01</v>
      </c>
      <c r="V99" s="13" t="n">
        <f aca="false">SUM(P99:U99)</f>
        <v>9.77</v>
      </c>
      <c r="W99" s="13" t="n">
        <f aca="false">O99-V99</f>
        <v>0</v>
      </c>
    </row>
    <row r="100" customFormat="false" ht="15.65" hidden="false" customHeight="false" outlineLevel="0" collapsed="false">
      <c r="A100" s="12" t="n">
        <v>5</v>
      </c>
      <c r="B100" s="34" t="n">
        <v>4</v>
      </c>
      <c r="C100" s="34" t="s">
        <v>48</v>
      </c>
      <c r="D100" s="34" t="n">
        <v>5.91</v>
      </c>
      <c r="E100" s="34" t="n">
        <v>-0.17</v>
      </c>
      <c r="F100" s="34" t="n">
        <v>-0.32</v>
      </c>
      <c r="G100" s="34" t="n">
        <v>5.41</v>
      </c>
      <c r="H100" s="34" t="n">
        <v>10.05</v>
      </c>
      <c r="I100" s="19" t="n">
        <v>4.64</v>
      </c>
      <c r="J100" s="34" t="n">
        <v>10.05</v>
      </c>
      <c r="K100" s="34" t="n">
        <v>0.00999999999999979</v>
      </c>
      <c r="L100" s="34" t="n">
        <v>-0.012</v>
      </c>
      <c r="O100" s="19" t="n">
        <f aca="false">J100</f>
        <v>10.05</v>
      </c>
      <c r="P100" s="34" t="n">
        <v>5.91</v>
      </c>
      <c r="Q100" s="34" t="n">
        <v>-0.17</v>
      </c>
      <c r="R100" s="34" t="n">
        <v>-0.32</v>
      </c>
      <c r="S100" s="19" t="n">
        <v>4.64</v>
      </c>
      <c r="T100" s="34" t="n">
        <v>0.00999999999999979</v>
      </c>
      <c r="U100" s="34" t="n">
        <v>-0.012</v>
      </c>
      <c r="V100" s="13" t="n">
        <f aca="false">SUM(P100:U100)</f>
        <v>10.058</v>
      </c>
      <c r="W100" s="13" t="n">
        <f aca="false">O100-V100</f>
        <v>-0.00799999999999912</v>
      </c>
    </row>
    <row r="101" customFormat="false" ht="15.65" hidden="false" customHeight="false" outlineLevel="0" collapsed="false">
      <c r="A101" s="12" t="n">
        <v>5</v>
      </c>
      <c r="B101" s="34" t="n">
        <v>5</v>
      </c>
      <c r="C101" s="34" t="s">
        <v>49</v>
      </c>
      <c r="D101" s="34" t="n">
        <v>6.8</v>
      </c>
      <c r="E101" s="34" t="n">
        <v>-0.64</v>
      </c>
      <c r="F101" s="34" t="n">
        <v>-0.76</v>
      </c>
      <c r="G101" s="34" t="n">
        <v>5.4</v>
      </c>
      <c r="H101" s="34" t="n">
        <v>10.04</v>
      </c>
      <c r="I101" s="19" t="n">
        <v>4.64</v>
      </c>
      <c r="J101" s="34" t="n">
        <v>9.86</v>
      </c>
      <c r="K101" s="34" t="n">
        <v>-0.139999999999999</v>
      </c>
      <c r="L101" s="34" t="n">
        <v>-0.038</v>
      </c>
      <c r="O101" s="19" t="n">
        <f aca="false">J101</f>
        <v>9.86</v>
      </c>
      <c r="P101" s="34" t="n">
        <v>6.8</v>
      </c>
      <c r="Q101" s="34" t="n">
        <v>-0.64</v>
      </c>
      <c r="R101" s="34" t="n">
        <v>-0.76</v>
      </c>
      <c r="S101" s="19" t="n">
        <v>4.64</v>
      </c>
      <c r="T101" s="34" t="n">
        <v>-0.139999999999999</v>
      </c>
      <c r="U101" s="34" t="n">
        <v>-0.038</v>
      </c>
      <c r="V101" s="13" t="n">
        <f aca="false">SUM(P101:U101)</f>
        <v>9.862</v>
      </c>
      <c r="W101" s="13" t="n">
        <f aca="false">O101-V101</f>
        <v>-0.00200000000000067</v>
      </c>
    </row>
    <row r="102" customFormat="false" ht="15.65" hidden="false" customHeight="false" outlineLevel="0" collapsed="false">
      <c r="A102" s="12" t="n">
        <v>5</v>
      </c>
      <c r="B102" s="34" t="n">
        <v>6</v>
      </c>
      <c r="C102" s="34" t="s">
        <v>50</v>
      </c>
      <c r="D102" s="34" t="n">
        <v>6.15</v>
      </c>
      <c r="E102" s="34" t="n">
        <v>-0.28</v>
      </c>
      <c r="F102" s="34" t="n">
        <v>-0.48</v>
      </c>
      <c r="G102" s="34" t="n">
        <v>5.39</v>
      </c>
      <c r="H102" s="34" t="n">
        <v>10.03</v>
      </c>
      <c r="I102" s="19" t="n">
        <v>4.64</v>
      </c>
      <c r="J102" s="34" t="n">
        <v>9.98</v>
      </c>
      <c r="K102" s="34" t="n">
        <v>-0.00999999999999979</v>
      </c>
      <c r="L102" s="34" t="n">
        <v>-0.043</v>
      </c>
      <c r="O102" s="19" t="n">
        <f aca="false">J102</f>
        <v>9.98</v>
      </c>
      <c r="P102" s="34" t="n">
        <v>6.15</v>
      </c>
      <c r="Q102" s="34" t="n">
        <v>-0.28</v>
      </c>
      <c r="R102" s="34" t="n">
        <v>-0.48</v>
      </c>
      <c r="S102" s="19" t="n">
        <v>4.64</v>
      </c>
      <c r="T102" s="34" t="n">
        <v>-0.00999999999999979</v>
      </c>
      <c r="U102" s="34" t="n">
        <v>-0.043</v>
      </c>
      <c r="V102" s="13" t="n">
        <f aca="false">SUM(P102:U102)</f>
        <v>9.977</v>
      </c>
      <c r="W102" s="13" t="n">
        <f aca="false">O102-V102</f>
        <v>0.00300000000000011</v>
      </c>
    </row>
    <row r="103" customFormat="false" ht="15.65" hidden="false" customHeight="false" outlineLevel="0" collapsed="false">
      <c r="A103" s="12" t="n">
        <v>5</v>
      </c>
      <c r="B103" s="34" t="n">
        <v>7</v>
      </c>
      <c r="C103" s="34" t="s">
        <v>51</v>
      </c>
      <c r="D103" s="34" t="n">
        <v>5.42</v>
      </c>
      <c r="E103" s="34" t="n">
        <v>-0.18</v>
      </c>
      <c r="F103" s="34" t="n">
        <v>-0.27</v>
      </c>
      <c r="G103" s="34" t="n">
        <v>4.97</v>
      </c>
      <c r="H103" s="34" t="n">
        <v>9.61</v>
      </c>
      <c r="I103" s="19" t="n">
        <v>4.64</v>
      </c>
      <c r="J103" s="34" t="n">
        <v>9.53</v>
      </c>
      <c r="K103" s="34" t="n">
        <v>-0.0599999999999987</v>
      </c>
      <c r="L103" s="34" t="n">
        <v>-0.019</v>
      </c>
      <c r="O103" s="19" t="n">
        <f aca="false">J103</f>
        <v>9.53</v>
      </c>
      <c r="P103" s="34" t="n">
        <v>5.42</v>
      </c>
      <c r="Q103" s="34" t="n">
        <v>-0.18</v>
      </c>
      <c r="R103" s="34" t="n">
        <v>-0.27</v>
      </c>
      <c r="S103" s="19" t="n">
        <v>4.64</v>
      </c>
      <c r="T103" s="34" t="n">
        <v>-0.0599999999999987</v>
      </c>
      <c r="U103" s="34" t="n">
        <v>-0.019</v>
      </c>
      <c r="V103" s="13" t="n">
        <f aca="false">SUM(P103:U103)</f>
        <v>9.531</v>
      </c>
      <c r="W103" s="13" t="n">
        <f aca="false">O103-V103</f>
        <v>-0.00100000000000122</v>
      </c>
    </row>
    <row r="104" customFormat="false" ht="15.65" hidden="false" customHeight="false" outlineLevel="0" collapsed="false">
      <c r="A104" s="12" t="n">
        <v>5</v>
      </c>
      <c r="B104" s="34" t="n">
        <v>8</v>
      </c>
      <c r="C104" s="34" t="s">
        <v>52</v>
      </c>
      <c r="D104" s="34" t="n">
        <v>5.12</v>
      </c>
      <c r="E104" s="34" t="n">
        <v>-0.04</v>
      </c>
      <c r="F104" s="34" t="n">
        <v>0.03</v>
      </c>
      <c r="G104" s="34" t="n">
        <v>5.1</v>
      </c>
      <c r="H104" s="34" t="n">
        <v>9.75</v>
      </c>
      <c r="I104" s="19" t="n">
        <v>4.64</v>
      </c>
      <c r="J104" s="34" t="n">
        <v>9.73</v>
      </c>
      <c r="K104" s="34" t="n">
        <v>-0.0299999999999994</v>
      </c>
      <c r="L104" s="34" t="n">
        <v>0.01</v>
      </c>
      <c r="O104" s="19" t="n">
        <f aca="false">J104</f>
        <v>9.73</v>
      </c>
      <c r="P104" s="34" t="n">
        <v>5.12</v>
      </c>
      <c r="Q104" s="34" t="n">
        <v>-0.04</v>
      </c>
      <c r="R104" s="34" t="n">
        <v>0.03</v>
      </c>
      <c r="S104" s="19" t="n">
        <v>4.64</v>
      </c>
      <c r="T104" s="34" t="n">
        <v>-0.0299999999999994</v>
      </c>
      <c r="U104" s="34" t="n">
        <v>0.01</v>
      </c>
      <c r="V104" s="13" t="n">
        <f aca="false">SUM(P104:U104)</f>
        <v>9.73</v>
      </c>
      <c r="W104" s="13" t="n">
        <f aca="false">O104-V104</f>
        <v>0</v>
      </c>
    </row>
    <row r="105" customFormat="false" ht="15.65" hidden="false" customHeight="false" outlineLevel="0" collapsed="false">
      <c r="A105" s="12" t="n">
        <v>5</v>
      </c>
      <c r="B105" s="34" t="n">
        <v>9</v>
      </c>
      <c r="C105" s="34" t="s">
        <v>53</v>
      </c>
      <c r="D105" s="34" t="n">
        <v>5.4</v>
      </c>
      <c r="E105" s="34" t="n">
        <v>-0.06</v>
      </c>
      <c r="F105" s="34" t="n">
        <v>-0.05</v>
      </c>
      <c r="G105" s="34" t="n">
        <v>5.29</v>
      </c>
      <c r="H105" s="34" t="n">
        <v>9.93</v>
      </c>
      <c r="I105" s="19" t="n">
        <v>4.64</v>
      </c>
      <c r="J105" s="34" t="n">
        <v>9.96</v>
      </c>
      <c r="K105" s="34" t="n">
        <v>0.0400000000000009</v>
      </c>
      <c r="L105" s="34" t="n">
        <v>-0.012</v>
      </c>
      <c r="O105" s="19" t="n">
        <f aca="false">J105</f>
        <v>9.96</v>
      </c>
      <c r="P105" s="34" t="n">
        <v>5.4</v>
      </c>
      <c r="Q105" s="34" t="n">
        <v>-0.06</v>
      </c>
      <c r="R105" s="34" t="n">
        <v>-0.05</v>
      </c>
      <c r="S105" s="19" t="n">
        <v>4.64</v>
      </c>
      <c r="T105" s="34" t="n">
        <v>0.0400000000000009</v>
      </c>
      <c r="U105" s="34" t="n">
        <v>-0.012</v>
      </c>
      <c r="V105" s="13" t="n">
        <f aca="false">SUM(P105:U105)</f>
        <v>9.958</v>
      </c>
      <c r="W105" s="13" t="n">
        <f aca="false">O105-V105</f>
        <v>0.00200000000000067</v>
      </c>
    </row>
    <row r="106" customFormat="false" ht="15.65" hidden="false" customHeight="false" outlineLevel="0" collapsed="false">
      <c r="A106" s="12" t="n">
        <v>5</v>
      </c>
      <c r="B106" s="34" t="n">
        <v>10</v>
      </c>
      <c r="C106" s="34" t="s">
        <v>54</v>
      </c>
      <c r="D106" s="34" t="n">
        <v>5.21</v>
      </c>
      <c r="E106" s="34" t="n">
        <v>-0.02</v>
      </c>
      <c r="F106" s="34" t="n">
        <v>-0.08</v>
      </c>
      <c r="G106" s="34" t="n">
        <v>5.11</v>
      </c>
      <c r="H106" s="34" t="n">
        <v>9.75</v>
      </c>
      <c r="I106" s="19" t="n">
        <v>4.64</v>
      </c>
      <c r="J106" s="34" t="n">
        <v>9.76</v>
      </c>
      <c r="K106" s="34" t="n">
        <v>0</v>
      </c>
      <c r="L106" s="34" t="n">
        <v>0.01</v>
      </c>
      <c r="O106" s="19" t="n">
        <f aca="false">J106</f>
        <v>9.76</v>
      </c>
      <c r="P106" s="34" t="n">
        <v>5.21</v>
      </c>
      <c r="Q106" s="34" t="n">
        <v>-0.02</v>
      </c>
      <c r="R106" s="34" t="n">
        <v>-0.08</v>
      </c>
      <c r="S106" s="19" t="n">
        <v>4.64</v>
      </c>
      <c r="T106" s="34" t="n">
        <v>0</v>
      </c>
      <c r="U106" s="34" t="n">
        <v>0.01</v>
      </c>
      <c r="V106" s="13" t="n">
        <f aca="false">SUM(P106:U106)</f>
        <v>9.76</v>
      </c>
      <c r="W106" s="13" t="n">
        <f aca="false">O106-V106</f>
        <v>0</v>
      </c>
    </row>
    <row r="107" customFormat="false" ht="15.65" hidden="false" customHeight="false" outlineLevel="0" collapsed="false">
      <c r="A107" s="12" t="n">
        <v>5</v>
      </c>
      <c r="B107" s="34" t="n">
        <v>11</v>
      </c>
      <c r="C107" s="34" t="s">
        <v>56</v>
      </c>
      <c r="D107" s="34" t="n">
        <v>5.03</v>
      </c>
      <c r="E107" s="34" t="n">
        <v>-0.01</v>
      </c>
      <c r="F107" s="34" t="n">
        <v>0.14</v>
      </c>
      <c r="G107" s="34" t="n">
        <v>5.16</v>
      </c>
      <c r="H107" s="34" t="n">
        <v>9.8</v>
      </c>
      <c r="I107" s="19" t="n">
        <v>4.64</v>
      </c>
      <c r="J107" s="34" t="n">
        <v>9.82</v>
      </c>
      <c r="K107" s="34" t="n">
        <v>0.00999999999999979</v>
      </c>
      <c r="L107" s="34" t="n">
        <v>0.01</v>
      </c>
      <c r="O107" s="19" t="n">
        <f aca="false">J107</f>
        <v>9.82</v>
      </c>
      <c r="P107" s="34" t="n">
        <v>5.03</v>
      </c>
      <c r="Q107" s="34" t="n">
        <v>-0.01</v>
      </c>
      <c r="R107" s="34" t="n">
        <v>0.14</v>
      </c>
      <c r="S107" s="19" t="n">
        <v>4.64</v>
      </c>
      <c r="T107" s="34" t="n">
        <v>0.00999999999999979</v>
      </c>
      <c r="U107" s="34" t="n">
        <v>0.01</v>
      </c>
      <c r="V107" s="13" t="n">
        <f aca="false">SUM(P107:U107)</f>
        <v>9.82</v>
      </c>
      <c r="W107" s="13" t="n">
        <f aca="false">O107-V107</f>
        <v>0</v>
      </c>
    </row>
    <row r="108" customFormat="false" ht="15.65" hidden="false" customHeight="false" outlineLevel="0" collapsed="false">
      <c r="A108" s="12" t="n">
        <v>5</v>
      </c>
      <c r="B108" s="34" t="n">
        <v>12</v>
      </c>
      <c r="C108" s="34" t="s">
        <v>58</v>
      </c>
      <c r="D108" s="34" t="n">
        <v>5.16</v>
      </c>
      <c r="E108" s="34" t="n">
        <v>-0.1</v>
      </c>
      <c r="F108" s="34" t="n">
        <v>0.13</v>
      </c>
      <c r="G108" s="34" t="n">
        <v>5.19</v>
      </c>
      <c r="H108" s="34" t="n">
        <v>9.83</v>
      </c>
      <c r="I108" s="19" t="n">
        <v>4.64</v>
      </c>
      <c r="J108" s="34" t="n">
        <v>9.87</v>
      </c>
      <c r="K108" s="34" t="n">
        <v>0.0299999999999994</v>
      </c>
      <c r="L108" s="34" t="n">
        <v>0.01</v>
      </c>
      <c r="O108" s="19" t="n">
        <f aca="false">J108</f>
        <v>9.87</v>
      </c>
      <c r="P108" s="34" t="n">
        <v>5.16</v>
      </c>
      <c r="Q108" s="34" t="n">
        <v>-0.1</v>
      </c>
      <c r="R108" s="34" t="n">
        <v>0.13</v>
      </c>
      <c r="S108" s="19" t="n">
        <v>4.64</v>
      </c>
      <c r="T108" s="34" t="n">
        <v>0.0299999999999994</v>
      </c>
      <c r="U108" s="34" t="n">
        <v>0.01</v>
      </c>
      <c r="V108" s="13" t="n">
        <f aca="false">SUM(P108:U108)</f>
        <v>9.87</v>
      </c>
      <c r="W108" s="13" t="n">
        <f aca="false">O108-V108</f>
        <v>0</v>
      </c>
    </row>
    <row r="109" customFormat="false" ht="15.65" hidden="false" customHeight="false" outlineLevel="0" collapsed="false">
      <c r="A109" s="12" t="n">
        <v>5</v>
      </c>
      <c r="B109" s="34" t="n">
        <v>13</v>
      </c>
      <c r="C109" s="34" t="s">
        <v>60</v>
      </c>
      <c r="D109" s="34" t="n">
        <v>4.47</v>
      </c>
      <c r="E109" s="34" t="n">
        <v>0.14</v>
      </c>
      <c r="F109" s="34" t="n">
        <v>0.67</v>
      </c>
      <c r="G109" s="34" t="n">
        <v>5.28</v>
      </c>
      <c r="H109" s="34" t="n">
        <v>9.92</v>
      </c>
      <c r="I109" s="19" t="n">
        <v>4.64</v>
      </c>
      <c r="J109" s="34" t="n">
        <v>10</v>
      </c>
      <c r="K109" s="34" t="n">
        <v>0.0700000000000003</v>
      </c>
      <c r="L109" s="34" t="n">
        <v>0.01</v>
      </c>
      <c r="O109" s="19" t="n">
        <f aca="false">J109</f>
        <v>10</v>
      </c>
      <c r="P109" s="34" t="n">
        <v>4.47</v>
      </c>
      <c r="Q109" s="34" t="n">
        <v>0.14</v>
      </c>
      <c r="R109" s="34" t="n">
        <v>0.67</v>
      </c>
      <c r="S109" s="19" t="n">
        <v>4.64</v>
      </c>
      <c r="T109" s="34" t="n">
        <v>0.0700000000000003</v>
      </c>
      <c r="U109" s="34" t="n">
        <v>0.01</v>
      </c>
      <c r="V109" s="13" t="n">
        <f aca="false">SUM(P109:U109)</f>
        <v>10</v>
      </c>
      <c r="W109" s="13" t="n">
        <f aca="false">O109-V109</f>
        <v>0</v>
      </c>
    </row>
    <row r="110" customFormat="false" ht="15.65" hidden="false" customHeight="false" outlineLevel="0" collapsed="false">
      <c r="A110" s="12" t="n">
        <v>5</v>
      </c>
      <c r="B110" s="34" t="n">
        <v>14</v>
      </c>
      <c r="C110" s="34" t="s">
        <v>62</v>
      </c>
      <c r="D110" s="34" t="n">
        <v>5</v>
      </c>
      <c r="E110" s="34" t="n">
        <v>-0.06</v>
      </c>
      <c r="F110" s="34" t="n">
        <v>0.39</v>
      </c>
      <c r="G110" s="34" t="n">
        <v>5.34</v>
      </c>
      <c r="H110" s="34" t="n">
        <v>9.98</v>
      </c>
      <c r="I110" s="19" t="n">
        <v>4.64</v>
      </c>
      <c r="J110" s="34" t="n">
        <v>10.02</v>
      </c>
      <c r="K110" s="34" t="n">
        <v>0.0299999999999994</v>
      </c>
      <c r="L110" s="34" t="n">
        <v>0.01</v>
      </c>
      <c r="O110" s="19" t="n">
        <f aca="false">J110</f>
        <v>10.02</v>
      </c>
      <c r="P110" s="34" t="n">
        <v>5</v>
      </c>
      <c r="Q110" s="34" t="n">
        <v>-0.06</v>
      </c>
      <c r="R110" s="34" t="n">
        <v>0.39</v>
      </c>
      <c r="S110" s="19" t="n">
        <v>4.64</v>
      </c>
      <c r="T110" s="34" t="n">
        <v>0.0299999999999994</v>
      </c>
      <c r="U110" s="34" t="n">
        <v>0.01</v>
      </c>
      <c r="V110" s="13" t="n">
        <f aca="false">SUM(P110:U110)</f>
        <v>10.01</v>
      </c>
      <c r="W110" s="13" t="n">
        <f aca="false">O110-V110</f>
        <v>0.0100000000000016</v>
      </c>
    </row>
    <row r="111" customFormat="false" ht="15.65" hidden="false" customHeight="false" outlineLevel="0" collapsed="false">
      <c r="A111" s="12" t="n">
        <v>5</v>
      </c>
      <c r="B111" s="34" t="n">
        <v>15</v>
      </c>
      <c r="C111" s="34" t="s">
        <v>64</v>
      </c>
      <c r="D111" s="34" t="n">
        <v>5.24</v>
      </c>
      <c r="E111" s="34" t="n">
        <v>-0.14</v>
      </c>
      <c r="F111" s="34" t="n">
        <v>-0.3</v>
      </c>
      <c r="G111" s="34" t="n">
        <v>4.8</v>
      </c>
      <c r="H111" s="34" t="n">
        <v>9.44</v>
      </c>
      <c r="I111" s="19" t="n">
        <v>4.64</v>
      </c>
      <c r="J111" s="34" t="n">
        <v>9.33</v>
      </c>
      <c r="K111" s="34" t="n">
        <v>-0.0999999999999996</v>
      </c>
      <c r="L111" s="34" t="n">
        <v>-0.009</v>
      </c>
      <c r="O111" s="19" t="n">
        <f aca="false">J111</f>
        <v>9.33</v>
      </c>
      <c r="P111" s="34" t="n">
        <v>5.24</v>
      </c>
      <c r="Q111" s="34" t="n">
        <v>-0.14</v>
      </c>
      <c r="R111" s="34" t="n">
        <v>-0.3</v>
      </c>
      <c r="S111" s="19" t="n">
        <v>4.64</v>
      </c>
      <c r="T111" s="34" t="n">
        <v>-0.0999999999999996</v>
      </c>
      <c r="U111" s="34" t="n">
        <v>-0.009</v>
      </c>
      <c r="V111" s="13" t="n">
        <f aca="false">SUM(P111:U111)</f>
        <v>9.331</v>
      </c>
      <c r="W111" s="13" t="n">
        <f aca="false">O111-V111</f>
        <v>-0.000999999999999446</v>
      </c>
    </row>
    <row r="112" customFormat="false" ht="15.65" hidden="false" customHeight="false" outlineLevel="0" collapsed="false">
      <c r="A112" s="12" t="n">
        <v>5</v>
      </c>
      <c r="B112" s="34" t="n">
        <v>16</v>
      </c>
      <c r="C112" s="34" t="s">
        <v>66</v>
      </c>
      <c r="D112" s="34" t="n">
        <v>4.94</v>
      </c>
      <c r="E112" s="34" t="n">
        <v>-0.09</v>
      </c>
      <c r="F112" s="34" t="n">
        <v>0.11</v>
      </c>
      <c r="G112" s="34" t="n">
        <v>4.97</v>
      </c>
      <c r="H112" s="34" t="n">
        <v>9.61</v>
      </c>
      <c r="I112" s="19" t="n">
        <v>4.64</v>
      </c>
      <c r="J112" s="34" t="n">
        <v>9.57</v>
      </c>
      <c r="K112" s="34" t="n">
        <v>-0.0499999999999989</v>
      </c>
      <c r="L112" s="34" t="n">
        <v>0.01</v>
      </c>
      <c r="O112" s="19" t="n">
        <f aca="false">J112</f>
        <v>9.57</v>
      </c>
      <c r="P112" s="34" t="n">
        <v>4.94</v>
      </c>
      <c r="Q112" s="34" t="n">
        <v>-0.09</v>
      </c>
      <c r="R112" s="34" t="n">
        <v>0.11</v>
      </c>
      <c r="S112" s="19" t="n">
        <v>4.64</v>
      </c>
      <c r="T112" s="34" t="n">
        <v>-0.0499999999999989</v>
      </c>
      <c r="U112" s="34" t="n">
        <v>0.01</v>
      </c>
      <c r="V112" s="13" t="n">
        <f aca="false">SUM(P112:U112)</f>
        <v>9.56</v>
      </c>
      <c r="W112" s="13" t="n">
        <f aca="false">O112-V112</f>
        <v>0.00999999999999979</v>
      </c>
    </row>
    <row r="113" customFormat="false" ht="15.65" hidden="false" customHeight="false" outlineLevel="0" collapsed="false">
      <c r="A113" s="12" t="n">
        <v>5</v>
      </c>
      <c r="B113" s="34" t="n">
        <v>17</v>
      </c>
      <c r="C113" s="34" t="s">
        <v>67</v>
      </c>
      <c r="D113" s="34" t="n">
        <v>5.26</v>
      </c>
      <c r="E113" s="34" t="n">
        <v>-0.03</v>
      </c>
      <c r="F113" s="34" t="n">
        <v>0</v>
      </c>
      <c r="G113" s="34" t="n">
        <v>5.23</v>
      </c>
      <c r="H113" s="34" t="n">
        <v>9.87</v>
      </c>
      <c r="I113" s="19" t="n">
        <v>4.64</v>
      </c>
      <c r="J113" s="34" t="n">
        <v>9.66</v>
      </c>
      <c r="K113" s="34" t="n">
        <v>-0.19</v>
      </c>
      <c r="L113" s="34" t="n">
        <v>-0.022</v>
      </c>
      <c r="O113" s="19" t="n">
        <f aca="false">J113</f>
        <v>9.66</v>
      </c>
      <c r="P113" s="34" t="n">
        <v>5.26</v>
      </c>
      <c r="Q113" s="34" t="n">
        <v>-0.03</v>
      </c>
      <c r="R113" s="34" t="n">
        <v>0</v>
      </c>
      <c r="S113" s="19" t="n">
        <v>4.64</v>
      </c>
      <c r="T113" s="34" t="n">
        <v>-0.19</v>
      </c>
      <c r="U113" s="34" t="n">
        <v>-0.022</v>
      </c>
      <c r="V113" s="13" t="n">
        <f aca="false">SUM(P113:U113)</f>
        <v>9.658</v>
      </c>
      <c r="W113" s="13" t="n">
        <f aca="false">O113-V113</f>
        <v>0.00200000000000067</v>
      </c>
    </row>
    <row r="114" customFormat="false" ht="15.65" hidden="false" customHeight="false" outlineLevel="0" collapsed="false">
      <c r="A114" s="12" t="n">
        <v>5</v>
      </c>
      <c r="B114" s="34" t="n">
        <v>18</v>
      </c>
      <c r="C114" s="34" t="s">
        <v>69</v>
      </c>
      <c r="D114" s="34" t="n">
        <v>5.47</v>
      </c>
      <c r="E114" s="34" t="n">
        <v>-0.13</v>
      </c>
      <c r="F114" s="34" t="n">
        <v>-0.03</v>
      </c>
      <c r="G114" s="34" t="n">
        <v>5.31</v>
      </c>
      <c r="H114" s="34" t="n">
        <v>9.95</v>
      </c>
      <c r="I114" s="19" t="n">
        <v>4.64</v>
      </c>
      <c r="J114" s="34" t="n">
        <v>9.91</v>
      </c>
      <c r="K114" s="34" t="n">
        <v>-0.0299999999999994</v>
      </c>
      <c r="L114" s="34" t="n">
        <v>-0.015</v>
      </c>
      <c r="O114" s="19" t="n">
        <f aca="false">J114</f>
        <v>9.91</v>
      </c>
      <c r="P114" s="34" t="n">
        <v>5.47</v>
      </c>
      <c r="Q114" s="34" t="n">
        <v>-0.13</v>
      </c>
      <c r="R114" s="34" t="n">
        <v>-0.03</v>
      </c>
      <c r="S114" s="19" t="n">
        <v>4.64</v>
      </c>
      <c r="T114" s="34" t="n">
        <v>-0.0299999999999994</v>
      </c>
      <c r="U114" s="34" t="n">
        <v>-0.015</v>
      </c>
      <c r="V114" s="13" t="n">
        <f aca="false">SUM(P114:U114)</f>
        <v>9.905</v>
      </c>
      <c r="W114" s="13" t="n">
        <f aca="false">O114-V114</f>
        <v>0.00500000000000078</v>
      </c>
    </row>
    <row r="115" customFormat="false" ht="15.65" hidden="false" customHeight="false" outlineLevel="0" collapsed="false">
      <c r="A115" s="12" t="n">
        <v>5</v>
      </c>
      <c r="B115" s="34" t="n">
        <v>19</v>
      </c>
      <c r="C115" s="34" t="s">
        <v>75</v>
      </c>
      <c r="D115" s="34" t="n">
        <v>5.43</v>
      </c>
      <c r="E115" s="34" t="n">
        <v>-0.15</v>
      </c>
      <c r="F115" s="34" t="n">
        <v>-0.16</v>
      </c>
      <c r="G115" s="34" t="n">
        <v>5.12</v>
      </c>
      <c r="H115" s="34" t="n">
        <v>9.76</v>
      </c>
      <c r="I115" s="19" t="n">
        <v>4.64</v>
      </c>
      <c r="J115" s="34" t="n">
        <v>9.67</v>
      </c>
      <c r="K115" s="34" t="n">
        <v>-0.0999999999999996</v>
      </c>
      <c r="L115" s="34" t="n">
        <v>0.01</v>
      </c>
      <c r="O115" s="19" t="n">
        <f aca="false">J115</f>
        <v>9.67</v>
      </c>
      <c r="P115" s="34" t="n">
        <v>5.43</v>
      </c>
      <c r="Q115" s="34" t="n">
        <v>-0.15</v>
      </c>
      <c r="R115" s="34" t="n">
        <v>-0.16</v>
      </c>
      <c r="S115" s="19" t="n">
        <v>4.64</v>
      </c>
      <c r="T115" s="34" t="n">
        <v>-0.0999999999999996</v>
      </c>
      <c r="U115" s="34" t="n">
        <v>0.01</v>
      </c>
      <c r="V115" s="13" t="n">
        <f aca="false">SUM(P115:U115)</f>
        <v>9.67</v>
      </c>
      <c r="W115" s="13" t="n">
        <f aca="false">O115-V115</f>
        <v>0</v>
      </c>
    </row>
    <row r="116" customFormat="false" ht="15.65" hidden="false" customHeight="false" outlineLevel="0" collapsed="false">
      <c r="A116" s="12" t="n">
        <v>5</v>
      </c>
      <c r="B116" s="34" t="n">
        <v>20</v>
      </c>
      <c r="C116" s="34" t="s">
        <v>76</v>
      </c>
      <c r="D116" s="34" t="n">
        <v>5.24</v>
      </c>
      <c r="E116" s="34" t="n">
        <v>-0.08</v>
      </c>
      <c r="F116" s="34" t="n">
        <v>-0.2</v>
      </c>
      <c r="G116" s="34" t="n">
        <v>4.96</v>
      </c>
      <c r="H116" s="34" t="n">
        <v>9.6</v>
      </c>
      <c r="I116" s="19" t="n">
        <v>4.64</v>
      </c>
      <c r="J116" s="34" t="n">
        <v>9.49</v>
      </c>
      <c r="K116" s="34" t="n">
        <v>-0.0700000000000003</v>
      </c>
      <c r="L116" s="34" t="n">
        <v>-0.037</v>
      </c>
      <c r="O116" s="19" t="n">
        <f aca="false">J116</f>
        <v>9.49</v>
      </c>
      <c r="P116" s="34" t="n">
        <v>5.24</v>
      </c>
      <c r="Q116" s="34" t="n">
        <v>-0.08</v>
      </c>
      <c r="R116" s="34" t="n">
        <v>-0.2</v>
      </c>
      <c r="S116" s="19" t="n">
        <v>4.64</v>
      </c>
      <c r="T116" s="34" t="n">
        <v>-0.0700000000000003</v>
      </c>
      <c r="U116" s="34" t="n">
        <v>-0.037</v>
      </c>
      <c r="V116" s="13" t="n">
        <f aca="false">SUM(P116:U116)</f>
        <v>9.493</v>
      </c>
      <c r="W116" s="13" t="n">
        <f aca="false">O116-V116</f>
        <v>-0.00299999999999834</v>
      </c>
    </row>
    <row r="117" customFormat="false" ht="15.65" hidden="false" customHeight="false" outlineLevel="0" collapsed="false">
      <c r="A117" s="12" t="n">
        <v>5</v>
      </c>
      <c r="B117" s="34" t="n">
        <v>21</v>
      </c>
      <c r="C117" s="34" t="s">
        <v>78</v>
      </c>
      <c r="D117" s="34" t="n">
        <v>5.31</v>
      </c>
      <c r="E117" s="34" t="n">
        <v>0.01</v>
      </c>
      <c r="F117" s="34" t="n">
        <v>-0.09</v>
      </c>
      <c r="G117" s="34" t="n">
        <v>5.23</v>
      </c>
      <c r="H117" s="34" t="n">
        <v>9.87</v>
      </c>
      <c r="I117" s="19" t="n">
        <v>4.64</v>
      </c>
      <c r="J117" s="34" t="n">
        <v>9.8</v>
      </c>
      <c r="K117" s="34" t="n">
        <v>0.0200000000000014</v>
      </c>
      <c r="L117" s="34" t="n">
        <v>-0.084</v>
      </c>
      <c r="O117" s="19" t="n">
        <f aca="false">J117</f>
        <v>9.8</v>
      </c>
      <c r="P117" s="34" t="n">
        <v>5.31</v>
      </c>
      <c r="Q117" s="34" t="n">
        <v>0.01</v>
      </c>
      <c r="R117" s="34" t="n">
        <v>-0.09</v>
      </c>
      <c r="S117" s="19" t="n">
        <v>4.64</v>
      </c>
      <c r="T117" s="34" t="n">
        <v>0.0200000000000014</v>
      </c>
      <c r="U117" s="34" t="n">
        <v>-0.084</v>
      </c>
      <c r="V117" s="13" t="n">
        <f aca="false">SUM(P117:U117)</f>
        <v>9.806</v>
      </c>
      <c r="W117" s="13" t="n">
        <f aca="false">O117-V117</f>
        <v>-0.00600000000000023</v>
      </c>
    </row>
    <row r="118" customFormat="false" ht="15.65" hidden="false" customHeight="false" outlineLevel="0" collapsed="false">
      <c r="A118" s="12" t="n">
        <v>5</v>
      </c>
      <c r="B118" s="34" t="n">
        <v>22</v>
      </c>
      <c r="C118" s="34" t="s">
        <v>80</v>
      </c>
      <c r="D118" s="34" t="n">
        <v>5.03</v>
      </c>
      <c r="E118" s="34" t="n">
        <v>-0.04</v>
      </c>
      <c r="F118" s="34" t="n">
        <v>0.11</v>
      </c>
      <c r="G118" s="34" t="n">
        <v>5.1</v>
      </c>
      <c r="H118" s="34" t="n">
        <v>9.74</v>
      </c>
      <c r="I118" s="19" t="n">
        <v>4.64</v>
      </c>
      <c r="J118" s="34" t="n">
        <v>9.75</v>
      </c>
      <c r="K118" s="34" t="n">
        <v>0.0299999999999994</v>
      </c>
      <c r="L118" s="34" t="n">
        <v>-0.013</v>
      </c>
      <c r="O118" s="19" t="n">
        <f aca="false">J118</f>
        <v>9.75</v>
      </c>
      <c r="P118" s="34" t="n">
        <v>5.03</v>
      </c>
      <c r="Q118" s="34" t="n">
        <v>-0.04</v>
      </c>
      <c r="R118" s="34" t="n">
        <v>0.11</v>
      </c>
      <c r="S118" s="19" t="n">
        <v>4.64</v>
      </c>
      <c r="T118" s="34" t="n">
        <v>0.0299999999999994</v>
      </c>
      <c r="U118" s="34" t="n">
        <v>-0.013</v>
      </c>
      <c r="V118" s="13" t="n">
        <f aca="false">SUM(P118:U118)</f>
        <v>9.757</v>
      </c>
      <c r="W118" s="13" t="n">
        <f aca="false">O118-V118</f>
        <v>-0.00699999999999967</v>
      </c>
    </row>
    <row r="119" customFormat="false" ht="15.65" hidden="false" customHeight="false" outlineLevel="0" collapsed="false">
      <c r="A119" s="12" t="n">
        <v>5</v>
      </c>
      <c r="B119" s="34" t="n">
        <v>23</v>
      </c>
      <c r="C119" s="34" t="s">
        <v>81</v>
      </c>
      <c r="D119" s="34" t="n">
        <v>4.84</v>
      </c>
      <c r="E119" s="34" t="n">
        <v>0.2</v>
      </c>
      <c r="F119" s="34" t="n">
        <v>0.27</v>
      </c>
      <c r="G119" s="34" t="n">
        <v>5.31</v>
      </c>
      <c r="H119" s="34" t="n">
        <v>9.95</v>
      </c>
      <c r="I119" s="19" t="n">
        <v>4.64</v>
      </c>
      <c r="J119" s="34" t="n">
        <v>10.01</v>
      </c>
      <c r="K119" s="34" t="n">
        <v>0.0500000000000007</v>
      </c>
      <c r="L119" s="34" t="n">
        <v>0.01</v>
      </c>
      <c r="O119" s="19" t="n">
        <f aca="false">J119</f>
        <v>10.01</v>
      </c>
      <c r="P119" s="34" t="n">
        <v>4.84</v>
      </c>
      <c r="Q119" s="34" t="n">
        <v>0.2</v>
      </c>
      <c r="R119" s="34" t="n">
        <v>0.27</v>
      </c>
      <c r="S119" s="19" t="n">
        <v>4.64</v>
      </c>
      <c r="T119" s="34" t="n">
        <v>0.0500000000000007</v>
      </c>
      <c r="U119" s="34" t="n">
        <v>0.01</v>
      </c>
      <c r="V119" s="13" t="n">
        <f aca="false">SUM(P119:U119)</f>
        <v>10.01</v>
      </c>
      <c r="W119" s="13" t="n">
        <f aca="false">O119-V119</f>
        <v>0</v>
      </c>
    </row>
    <row r="120" customFormat="false" ht="15.65" hidden="false" customHeight="false" outlineLevel="0" collapsed="false">
      <c r="A120" s="12" t="n">
        <v>5</v>
      </c>
      <c r="B120" s="34" t="n">
        <v>24</v>
      </c>
      <c r="C120" s="34" t="s">
        <v>83</v>
      </c>
      <c r="D120" s="34" t="n">
        <v>5.15</v>
      </c>
      <c r="E120" s="34" t="n">
        <v>0.01</v>
      </c>
      <c r="F120" s="34" t="n">
        <v>0.01</v>
      </c>
      <c r="G120" s="34" t="n">
        <v>5.18</v>
      </c>
      <c r="H120" s="34" t="n">
        <v>9.82</v>
      </c>
      <c r="I120" s="19" t="n">
        <v>4.64</v>
      </c>
      <c r="J120" s="34" t="n">
        <v>9.81</v>
      </c>
      <c r="K120" s="34" t="n">
        <v>-0.0199999999999996</v>
      </c>
      <c r="L120" s="34" t="n">
        <v>0.01</v>
      </c>
      <c r="O120" s="19" t="n">
        <f aca="false">J120</f>
        <v>9.81</v>
      </c>
      <c r="P120" s="34" t="n">
        <v>5.15</v>
      </c>
      <c r="Q120" s="34" t="n">
        <v>0.01</v>
      </c>
      <c r="R120" s="34" t="n">
        <v>0.01</v>
      </c>
      <c r="S120" s="19" t="n">
        <v>4.64</v>
      </c>
      <c r="T120" s="34" t="n">
        <v>-0.0199999999999996</v>
      </c>
      <c r="U120" s="34" t="n">
        <v>0.01</v>
      </c>
      <c r="V120" s="13" t="n">
        <f aca="false">SUM(P120:U120)</f>
        <v>9.8</v>
      </c>
      <c r="W120" s="13" t="n">
        <f aca="false">O120-V120</f>
        <v>0.00999999999999979</v>
      </c>
    </row>
    <row r="121" customFormat="false" ht="15.65" hidden="false" customHeight="false" outlineLevel="0" collapsed="false">
      <c r="A121" s="12" t="n">
        <v>5</v>
      </c>
      <c r="B121" s="34" t="n">
        <v>25</v>
      </c>
      <c r="C121" s="34" t="s">
        <v>84</v>
      </c>
      <c r="D121" s="34" t="n">
        <v>5.22</v>
      </c>
      <c r="E121" s="34" t="n">
        <v>0.07</v>
      </c>
      <c r="F121" s="34" t="n">
        <v>-0.15</v>
      </c>
      <c r="G121" s="34" t="n">
        <v>5.14</v>
      </c>
      <c r="H121" s="34" t="n">
        <v>9.78</v>
      </c>
      <c r="I121" s="19" t="n">
        <v>4.64</v>
      </c>
      <c r="J121" s="34" t="n">
        <v>9.73</v>
      </c>
      <c r="K121" s="34" t="n">
        <v>-0.0599999999999987</v>
      </c>
      <c r="L121" s="34" t="n">
        <v>0.01</v>
      </c>
      <c r="O121" s="19" t="n">
        <f aca="false">J121</f>
        <v>9.73</v>
      </c>
      <c r="P121" s="34" t="n">
        <v>5.22</v>
      </c>
      <c r="Q121" s="34" t="n">
        <v>0.07</v>
      </c>
      <c r="R121" s="34" t="n">
        <v>-0.15</v>
      </c>
      <c r="S121" s="19" t="n">
        <v>4.64</v>
      </c>
      <c r="T121" s="34" t="n">
        <v>-0.0599999999999987</v>
      </c>
      <c r="U121" s="34" t="n">
        <v>0.01</v>
      </c>
      <c r="V121" s="13" t="n">
        <f aca="false">SUM(P121:U121)</f>
        <v>9.73</v>
      </c>
      <c r="W121" s="13" t="n">
        <f aca="false">O121-V121</f>
        <v>0</v>
      </c>
    </row>
    <row r="122" customFormat="false" ht="15.65" hidden="false" customHeight="false" outlineLevel="0" collapsed="false">
      <c r="A122" s="12" t="n">
        <v>5</v>
      </c>
      <c r="B122" s="34" t="n">
        <v>26</v>
      </c>
      <c r="C122" s="34" t="s">
        <v>88</v>
      </c>
      <c r="D122" s="34" t="n">
        <v>5.36</v>
      </c>
      <c r="E122" s="34" t="n">
        <v>0.06</v>
      </c>
      <c r="F122" s="34" t="n">
        <v>0.01</v>
      </c>
      <c r="G122" s="34" t="n">
        <v>5.43</v>
      </c>
      <c r="H122" s="34" t="n">
        <v>10.07</v>
      </c>
      <c r="I122" s="19" t="n">
        <v>4.64</v>
      </c>
      <c r="J122" s="34" t="n">
        <v>10.09</v>
      </c>
      <c r="K122" s="34" t="n">
        <v>0.0199999999999996</v>
      </c>
      <c r="L122" s="34" t="n">
        <v>-0.007</v>
      </c>
      <c r="O122" s="19" t="n">
        <f aca="false">J122</f>
        <v>10.09</v>
      </c>
      <c r="P122" s="34" t="n">
        <v>5.36</v>
      </c>
      <c r="Q122" s="34" t="n">
        <v>0.06</v>
      </c>
      <c r="R122" s="34" t="n">
        <v>0.01</v>
      </c>
      <c r="S122" s="19" t="n">
        <v>4.64</v>
      </c>
      <c r="T122" s="34" t="n">
        <v>0.0199999999999996</v>
      </c>
      <c r="U122" s="34" t="n">
        <v>-0.007</v>
      </c>
      <c r="V122" s="13" t="n">
        <f aca="false">SUM(P122:U122)</f>
        <v>10.083</v>
      </c>
      <c r="W122" s="13" t="n">
        <f aca="false">O122-V122</f>
        <v>0.00699999999999967</v>
      </c>
    </row>
    <row r="123" customFormat="false" ht="15.65" hidden="false" customHeight="false" outlineLevel="0" collapsed="false">
      <c r="A123" s="12" t="n">
        <v>5</v>
      </c>
      <c r="B123" s="34" t="n">
        <v>27</v>
      </c>
      <c r="C123" s="34" t="s">
        <v>89</v>
      </c>
      <c r="D123" s="34" t="n">
        <v>5.33</v>
      </c>
      <c r="E123" s="34" t="n">
        <v>0.17</v>
      </c>
      <c r="F123" s="34" t="n">
        <v>0.13</v>
      </c>
      <c r="G123" s="34" t="n">
        <v>5.63</v>
      </c>
      <c r="H123" s="34" t="n">
        <v>10.27</v>
      </c>
      <c r="I123" s="19" t="n">
        <v>4.64</v>
      </c>
      <c r="J123" s="34" t="n">
        <v>10.29</v>
      </c>
      <c r="K123" s="34" t="n">
        <v>0.00999999999999979</v>
      </c>
      <c r="L123" s="34" t="n">
        <v>0.01</v>
      </c>
      <c r="O123" s="19" t="n">
        <f aca="false">J123</f>
        <v>10.29</v>
      </c>
      <c r="P123" s="34" t="n">
        <v>5.33</v>
      </c>
      <c r="Q123" s="34" t="n">
        <v>0.17</v>
      </c>
      <c r="R123" s="34" t="n">
        <v>0.13</v>
      </c>
      <c r="S123" s="19" t="n">
        <v>4.64</v>
      </c>
      <c r="T123" s="34" t="n">
        <v>0.00999999999999979</v>
      </c>
      <c r="U123" s="34" t="n">
        <v>0.01</v>
      </c>
      <c r="V123" s="13" t="n">
        <f aca="false">SUM(P123:U123)</f>
        <v>10.29</v>
      </c>
      <c r="W123" s="13" t="n">
        <f aca="false">O123-V123</f>
        <v>0</v>
      </c>
    </row>
    <row r="124" customFormat="false" ht="15.65" hidden="false" customHeight="false" outlineLevel="0" collapsed="false">
      <c r="A124" s="12" t="n">
        <v>5</v>
      </c>
      <c r="B124" s="34" t="n">
        <v>28</v>
      </c>
      <c r="C124" s="34" t="s">
        <v>90</v>
      </c>
      <c r="D124" s="34" t="n">
        <v>5.53</v>
      </c>
      <c r="E124" s="34" t="n">
        <v>0.03</v>
      </c>
      <c r="F124" s="34" t="n">
        <v>-0.02</v>
      </c>
      <c r="G124" s="34" t="n">
        <v>5.54</v>
      </c>
      <c r="H124" s="34" t="n">
        <v>10.18</v>
      </c>
      <c r="I124" s="19" t="n">
        <v>4.64</v>
      </c>
      <c r="J124" s="34" t="n">
        <v>10.17</v>
      </c>
      <c r="K124" s="34" t="n">
        <v>-0.0199999999999996</v>
      </c>
      <c r="L124" s="34" t="n">
        <v>0.01</v>
      </c>
      <c r="O124" s="19" t="n">
        <f aca="false">J124</f>
        <v>10.17</v>
      </c>
      <c r="P124" s="34" t="n">
        <v>5.53</v>
      </c>
      <c r="Q124" s="34" t="n">
        <v>0.03</v>
      </c>
      <c r="R124" s="34" t="n">
        <v>-0.02</v>
      </c>
      <c r="S124" s="19" t="n">
        <v>4.64</v>
      </c>
      <c r="T124" s="34" t="n">
        <v>-0.0199999999999996</v>
      </c>
      <c r="U124" s="34" t="n">
        <v>0.01</v>
      </c>
      <c r="V124" s="13" t="n">
        <f aca="false">SUM(P124:U124)</f>
        <v>10.17</v>
      </c>
      <c r="W124" s="13" t="n">
        <f aca="false">O124-V124</f>
        <v>0</v>
      </c>
    </row>
    <row r="125" customFormat="false" ht="15.65" hidden="false" customHeight="false" outlineLevel="0" collapsed="false">
      <c r="A125" s="12" t="n">
        <v>5</v>
      </c>
      <c r="B125" s="34" t="n">
        <v>29</v>
      </c>
      <c r="C125" s="34" t="s">
        <v>91</v>
      </c>
      <c r="D125" s="34" t="n">
        <v>5.96</v>
      </c>
      <c r="E125" s="34" t="n">
        <v>-0.03</v>
      </c>
      <c r="F125" s="34" t="n">
        <v>-0.44</v>
      </c>
      <c r="G125" s="34" t="n">
        <v>5.49</v>
      </c>
      <c r="H125" s="34" t="n">
        <v>10.13</v>
      </c>
      <c r="I125" s="19" t="n">
        <v>4.64</v>
      </c>
      <c r="J125" s="34" t="n">
        <v>10.14</v>
      </c>
      <c r="K125" s="34" t="n">
        <v>0.0899999999999999</v>
      </c>
      <c r="L125" s="34" t="n">
        <v>-0.077</v>
      </c>
      <c r="O125" s="19" t="n">
        <f aca="false">J125</f>
        <v>10.14</v>
      </c>
      <c r="P125" s="34" t="n">
        <v>5.96</v>
      </c>
      <c r="Q125" s="34" t="n">
        <v>-0.03</v>
      </c>
      <c r="R125" s="34" t="n">
        <v>-0.44</v>
      </c>
      <c r="S125" s="19" t="n">
        <v>4.64</v>
      </c>
      <c r="T125" s="34" t="n">
        <v>0.0899999999999999</v>
      </c>
      <c r="U125" s="34" t="n">
        <v>-0.077</v>
      </c>
      <c r="V125" s="13" t="n">
        <f aca="false">SUM(P125:U125)</f>
        <v>10.143</v>
      </c>
      <c r="W125" s="13" t="n">
        <f aca="false">O125-V125</f>
        <v>-0.00299999999999834</v>
      </c>
    </row>
    <row r="126" customFormat="false" ht="15.65" hidden="false" customHeight="false" outlineLevel="0" collapsed="false">
      <c r="A126" s="12" t="n">
        <v>5</v>
      </c>
      <c r="B126" s="34" t="n">
        <v>30</v>
      </c>
      <c r="C126" s="34" t="s">
        <v>92</v>
      </c>
      <c r="D126" s="34" t="n">
        <v>5.95</v>
      </c>
      <c r="E126" s="34" t="n">
        <v>-0.05</v>
      </c>
      <c r="F126" s="34" t="n">
        <v>-0.5</v>
      </c>
      <c r="G126" s="34" t="n">
        <v>5.4</v>
      </c>
      <c r="H126" s="34" t="n">
        <v>10.04</v>
      </c>
      <c r="I126" s="19" t="n">
        <v>4.64</v>
      </c>
      <c r="J126" s="34" t="n">
        <v>9.94</v>
      </c>
      <c r="K126" s="34" t="n">
        <v>-0.0899999999999999</v>
      </c>
      <c r="L126" s="34" t="n">
        <v>-0.002</v>
      </c>
      <c r="O126" s="19" t="n">
        <f aca="false">J126</f>
        <v>9.94</v>
      </c>
      <c r="P126" s="34" t="n">
        <v>5.95</v>
      </c>
      <c r="Q126" s="34" t="n">
        <v>-0.05</v>
      </c>
      <c r="R126" s="34" t="n">
        <v>-0.5</v>
      </c>
      <c r="S126" s="19" t="n">
        <v>4.64</v>
      </c>
      <c r="T126" s="34" t="n">
        <v>-0.0899999999999999</v>
      </c>
      <c r="U126" s="34" t="n">
        <v>-0.002</v>
      </c>
      <c r="V126" s="13" t="n">
        <f aca="false">SUM(P126:U126)</f>
        <v>9.948</v>
      </c>
      <c r="W126" s="13" t="n">
        <f aca="false">O126-V126</f>
        <v>-0.00799999999999912</v>
      </c>
    </row>
    <row r="127" customFormat="false" ht="15.65" hidden="false" customHeight="false" outlineLevel="0" collapsed="false">
      <c r="A127" s="12" t="n">
        <v>5</v>
      </c>
      <c r="B127" s="34" t="n">
        <v>31</v>
      </c>
      <c r="C127" s="34" t="s">
        <v>93</v>
      </c>
      <c r="D127" s="34" t="n">
        <v>6.09</v>
      </c>
      <c r="E127" s="34" t="n">
        <v>-0.16</v>
      </c>
      <c r="F127" s="34" t="n">
        <v>-0.67</v>
      </c>
      <c r="G127" s="34" t="n">
        <v>5.26</v>
      </c>
      <c r="H127" s="34" t="n">
        <v>9.9</v>
      </c>
      <c r="I127" s="19" t="n">
        <v>4.64</v>
      </c>
      <c r="J127" s="34" t="n">
        <v>9.82</v>
      </c>
      <c r="K127" s="34" t="n">
        <v>-0.0700000000000003</v>
      </c>
      <c r="L127" s="34" t="n">
        <v>-0.018</v>
      </c>
      <c r="O127" s="19" t="n">
        <f aca="false">J127</f>
        <v>9.82</v>
      </c>
      <c r="P127" s="34" t="n">
        <v>6.09</v>
      </c>
      <c r="Q127" s="34" t="n">
        <v>-0.16</v>
      </c>
      <c r="R127" s="34" t="n">
        <v>-0.67</v>
      </c>
      <c r="S127" s="19" t="n">
        <v>4.64</v>
      </c>
      <c r="T127" s="34" t="n">
        <v>-0.0700000000000003</v>
      </c>
      <c r="U127" s="34" t="n">
        <v>-0.018</v>
      </c>
      <c r="V127" s="13" t="n">
        <f aca="false">SUM(P127:U127)</f>
        <v>9.812</v>
      </c>
      <c r="W127" s="13" t="n">
        <f aca="false">O127-V127</f>
        <v>0.0080000000000009</v>
      </c>
    </row>
    <row r="128" customFormat="false" ht="15.65" hidden="false" customHeight="false" outlineLevel="0" collapsed="false">
      <c r="A128" s="12" t="n">
        <v>5</v>
      </c>
      <c r="B128" s="34" t="n">
        <v>32</v>
      </c>
      <c r="C128" s="34" t="s">
        <v>94</v>
      </c>
      <c r="D128" s="34" t="n">
        <v>6.4</v>
      </c>
      <c r="E128" s="34" t="n">
        <v>-0.31</v>
      </c>
      <c r="F128" s="34" t="n">
        <v>-0.55</v>
      </c>
      <c r="G128" s="34" t="n">
        <v>5.54</v>
      </c>
      <c r="H128" s="34" t="n">
        <v>10.18</v>
      </c>
      <c r="I128" s="19" t="n">
        <v>4.64</v>
      </c>
      <c r="J128" s="34" t="n">
        <v>10.26</v>
      </c>
      <c r="K128" s="34" t="n">
        <v>0.0700000000000003</v>
      </c>
      <c r="L128" s="34" t="n">
        <v>0.01</v>
      </c>
      <c r="O128" s="19" t="n">
        <f aca="false">J128</f>
        <v>10.26</v>
      </c>
      <c r="P128" s="34" t="n">
        <v>6.4</v>
      </c>
      <c r="Q128" s="34" t="n">
        <v>-0.31</v>
      </c>
      <c r="R128" s="34" t="n">
        <v>-0.55</v>
      </c>
      <c r="S128" s="19" t="n">
        <v>4.64</v>
      </c>
      <c r="T128" s="34" t="n">
        <v>0.0700000000000003</v>
      </c>
      <c r="U128" s="34" t="n">
        <v>0.01</v>
      </c>
      <c r="V128" s="13" t="n">
        <f aca="false">SUM(P128:U128)</f>
        <v>10.26</v>
      </c>
      <c r="W128" s="13" t="n">
        <f aca="false">O128-V128</f>
        <v>0</v>
      </c>
    </row>
    <row r="129" customFormat="false" ht="15.65" hidden="false" customHeight="false" outlineLevel="0" collapsed="false">
      <c r="A129" s="12" t="n">
        <v>5</v>
      </c>
      <c r="B129" s="34" t="n">
        <v>33</v>
      </c>
      <c r="C129" s="34" t="s">
        <v>95</v>
      </c>
      <c r="D129" s="34" t="n">
        <v>5.61</v>
      </c>
      <c r="E129" s="34" t="n">
        <v>0.07</v>
      </c>
      <c r="F129" s="34" t="n">
        <v>-0.18</v>
      </c>
      <c r="G129" s="34" t="n">
        <v>5.5</v>
      </c>
      <c r="H129" s="34" t="n">
        <v>10.14</v>
      </c>
      <c r="I129" s="19" t="n">
        <v>4.64</v>
      </c>
      <c r="J129" s="34" t="n">
        <v>10.07</v>
      </c>
      <c r="K129" s="34" t="n">
        <v>-0.0800000000000001</v>
      </c>
      <c r="L129" s="34" t="n">
        <v>0.01</v>
      </c>
      <c r="O129" s="19" t="n">
        <f aca="false">J129</f>
        <v>10.07</v>
      </c>
      <c r="P129" s="34" t="n">
        <v>5.61</v>
      </c>
      <c r="Q129" s="34" t="n">
        <v>0.07</v>
      </c>
      <c r="R129" s="34" t="n">
        <v>-0.18</v>
      </c>
      <c r="S129" s="19" t="n">
        <v>4.64</v>
      </c>
      <c r="T129" s="34" t="n">
        <v>-0.0800000000000001</v>
      </c>
      <c r="U129" s="34" t="n">
        <v>0.01</v>
      </c>
      <c r="V129" s="13" t="n">
        <f aca="false">SUM(P129:U129)</f>
        <v>10.07</v>
      </c>
      <c r="W129" s="13" t="n">
        <f aca="false">O129-V129</f>
        <v>0</v>
      </c>
    </row>
    <row r="130" customFormat="false" ht="15.65" hidden="false" customHeight="false" outlineLevel="0" collapsed="false">
      <c r="A130" s="12" t="n">
        <v>5</v>
      </c>
      <c r="B130" s="34" t="n">
        <v>34</v>
      </c>
      <c r="C130" s="34" t="s">
        <v>97</v>
      </c>
      <c r="D130" s="34" t="n">
        <v>5.43</v>
      </c>
      <c r="E130" s="34" t="n">
        <v>0.04</v>
      </c>
      <c r="F130" s="34" t="n">
        <v>-0.14</v>
      </c>
      <c r="G130" s="34" t="n">
        <v>5.34</v>
      </c>
      <c r="H130" s="34" t="n">
        <v>9.98</v>
      </c>
      <c r="I130" s="19" t="n">
        <v>4.64</v>
      </c>
      <c r="J130" s="34" t="n">
        <v>9.92</v>
      </c>
      <c r="K130" s="34" t="n">
        <v>-0.0600000000000005</v>
      </c>
      <c r="L130" s="34" t="n">
        <v>0.01</v>
      </c>
      <c r="O130" s="19" t="n">
        <f aca="false">J130</f>
        <v>9.92</v>
      </c>
      <c r="P130" s="34" t="n">
        <v>5.43</v>
      </c>
      <c r="Q130" s="34" t="n">
        <v>0.04</v>
      </c>
      <c r="R130" s="34" t="n">
        <v>-0.14</v>
      </c>
      <c r="S130" s="19" t="n">
        <v>4.64</v>
      </c>
      <c r="T130" s="34" t="n">
        <v>-0.0600000000000005</v>
      </c>
      <c r="U130" s="34" t="n">
        <v>0.01</v>
      </c>
      <c r="V130" s="13" t="n">
        <f aca="false">SUM(P130:U130)</f>
        <v>9.92</v>
      </c>
      <c r="W130" s="13" t="n">
        <f aca="false">O130-V130</f>
        <v>0</v>
      </c>
    </row>
    <row r="131" customFormat="false" ht="15.65" hidden="false" customHeight="false" outlineLevel="0" collapsed="false">
      <c r="A131" s="12" t="n">
        <v>5</v>
      </c>
      <c r="B131" s="34" t="n">
        <v>35</v>
      </c>
      <c r="C131" s="34" t="s">
        <v>98</v>
      </c>
      <c r="D131" s="34" t="n">
        <v>5.73</v>
      </c>
      <c r="E131" s="34" t="n">
        <v>-0.19</v>
      </c>
      <c r="F131" s="34" t="n">
        <v>-0.1</v>
      </c>
      <c r="G131" s="34" t="n">
        <v>5.44</v>
      </c>
      <c r="H131" s="34" t="n">
        <v>10.08</v>
      </c>
      <c r="I131" s="19" t="n">
        <v>4.64</v>
      </c>
      <c r="J131" s="34" t="n">
        <v>9.96</v>
      </c>
      <c r="K131" s="34" t="n">
        <v>-0.130000000000001</v>
      </c>
      <c r="L131" s="34" t="n">
        <v>0.01</v>
      </c>
      <c r="O131" s="19" t="n">
        <f aca="false">J131</f>
        <v>9.96</v>
      </c>
      <c r="P131" s="34" t="n">
        <v>5.73</v>
      </c>
      <c r="Q131" s="34" t="n">
        <v>-0.19</v>
      </c>
      <c r="R131" s="34" t="n">
        <v>-0.1</v>
      </c>
      <c r="S131" s="19" t="n">
        <v>4.64</v>
      </c>
      <c r="T131" s="34" t="n">
        <v>-0.130000000000001</v>
      </c>
      <c r="U131" s="34" t="n">
        <v>0.01</v>
      </c>
      <c r="V131" s="13" t="n">
        <f aca="false">SUM(P131:U131)</f>
        <v>9.96</v>
      </c>
      <c r="W131" s="13" t="n">
        <f aca="false">O131-V131</f>
        <v>0</v>
      </c>
    </row>
    <row r="132" customFormat="false" ht="15.65" hidden="false" customHeight="false" outlineLevel="0" collapsed="false">
      <c r="A132" s="12" t="n">
        <v>5</v>
      </c>
      <c r="B132" s="34" t="n">
        <v>36</v>
      </c>
      <c r="C132" s="34" t="s">
        <v>99</v>
      </c>
      <c r="D132" s="34" t="n">
        <v>6.11</v>
      </c>
      <c r="E132" s="34" t="n">
        <v>-0.12</v>
      </c>
      <c r="F132" s="34" t="n">
        <v>-0.35</v>
      </c>
      <c r="G132" s="34" t="n">
        <v>5.64</v>
      </c>
      <c r="H132" s="34" t="n">
        <v>10.28</v>
      </c>
      <c r="I132" s="19" t="n">
        <v>4.64</v>
      </c>
      <c r="J132" s="34" t="n">
        <v>10.25</v>
      </c>
      <c r="K132" s="34" t="n">
        <v>-0.0399999999999992</v>
      </c>
      <c r="L132" s="34" t="n">
        <v>0.01</v>
      </c>
      <c r="O132" s="19" t="n">
        <f aca="false">J132</f>
        <v>10.25</v>
      </c>
      <c r="P132" s="34" t="n">
        <v>6.11</v>
      </c>
      <c r="Q132" s="34" t="n">
        <v>-0.12</v>
      </c>
      <c r="R132" s="34" t="n">
        <v>-0.35</v>
      </c>
      <c r="S132" s="19" t="n">
        <v>4.64</v>
      </c>
      <c r="T132" s="34" t="n">
        <v>-0.0399999999999992</v>
      </c>
      <c r="U132" s="34" t="n">
        <v>0.01</v>
      </c>
      <c r="V132" s="13" t="n">
        <f aca="false">SUM(P132:U132)</f>
        <v>10.25</v>
      </c>
      <c r="W132" s="13" t="n">
        <f aca="false">O132-V132</f>
        <v>0</v>
      </c>
    </row>
    <row r="133" customFormat="false" ht="15.65" hidden="false" customHeight="false" outlineLevel="0" collapsed="false">
      <c r="A133" s="12" t="n">
        <v>5</v>
      </c>
      <c r="B133" s="34" t="n">
        <v>37</v>
      </c>
      <c r="C133" s="34" t="s">
        <v>100</v>
      </c>
      <c r="D133" s="34" t="n">
        <v>6.05</v>
      </c>
      <c r="E133" s="34" t="n">
        <v>-0.07</v>
      </c>
      <c r="F133" s="34" t="n">
        <v>-0.33</v>
      </c>
      <c r="G133" s="34" t="n">
        <v>5.65</v>
      </c>
      <c r="H133" s="34" t="n">
        <v>10.3</v>
      </c>
      <c r="I133" s="19" t="n">
        <v>4.64</v>
      </c>
      <c r="J133" s="34" t="n">
        <v>10.23</v>
      </c>
      <c r="K133" s="34" t="n">
        <v>-0.0400000000000009</v>
      </c>
      <c r="L133" s="34" t="n">
        <v>-0.021</v>
      </c>
      <c r="O133" s="19" t="n">
        <f aca="false">J133</f>
        <v>10.23</v>
      </c>
      <c r="P133" s="34" t="n">
        <v>6.05</v>
      </c>
      <c r="Q133" s="34" t="n">
        <v>-0.07</v>
      </c>
      <c r="R133" s="34" t="n">
        <v>-0.33</v>
      </c>
      <c r="S133" s="19" t="n">
        <v>4.64</v>
      </c>
      <c r="T133" s="34" t="n">
        <v>-0.0400000000000009</v>
      </c>
      <c r="U133" s="34" t="n">
        <v>-0.021</v>
      </c>
      <c r="V133" s="13" t="n">
        <f aca="false">SUM(P133:U133)</f>
        <v>10.229</v>
      </c>
      <c r="W133" s="13" t="n">
        <f aca="false">O133-V133</f>
        <v>0.001000000000003</v>
      </c>
    </row>
    <row r="134" customFormat="false" ht="15.65" hidden="false" customHeight="false" outlineLevel="0" collapsed="false">
      <c r="A134" s="12" t="n">
        <v>5</v>
      </c>
      <c r="B134" s="34" t="n">
        <v>38</v>
      </c>
      <c r="C134" s="34" t="s">
        <v>101</v>
      </c>
      <c r="D134" s="34" t="n">
        <v>5.87</v>
      </c>
      <c r="E134" s="34" t="n">
        <v>0.02</v>
      </c>
      <c r="F134" s="34" t="n">
        <v>-0.45</v>
      </c>
      <c r="G134" s="34" t="n">
        <v>5.44</v>
      </c>
      <c r="H134" s="34" t="n">
        <v>10.08</v>
      </c>
      <c r="I134" s="19" t="n">
        <v>4.64</v>
      </c>
      <c r="J134" s="34" t="n">
        <v>10.01</v>
      </c>
      <c r="K134" s="34" t="n">
        <v>-0.0800000000000001</v>
      </c>
      <c r="L134" s="34" t="n">
        <v>0.01</v>
      </c>
      <c r="O134" s="19" t="n">
        <f aca="false">J134</f>
        <v>10.01</v>
      </c>
      <c r="P134" s="34" t="n">
        <v>5.87</v>
      </c>
      <c r="Q134" s="34" t="n">
        <v>0.02</v>
      </c>
      <c r="R134" s="34" t="n">
        <v>-0.45</v>
      </c>
      <c r="S134" s="19" t="n">
        <v>4.64</v>
      </c>
      <c r="T134" s="34" t="n">
        <v>-0.0800000000000001</v>
      </c>
      <c r="U134" s="34" t="n">
        <v>0.01</v>
      </c>
      <c r="V134" s="13" t="n">
        <f aca="false">SUM(P134:U134)</f>
        <v>10.01</v>
      </c>
      <c r="W134" s="13" t="n">
        <f aca="false">O134-V134</f>
        <v>0</v>
      </c>
    </row>
    <row r="135" customFormat="false" ht="15.65" hidden="false" customHeight="false" outlineLevel="0" collapsed="false">
      <c r="A135" s="12" t="n">
        <v>5</v>
      </c>
      <c r="B135" s="34" t="n">
        <v>39</v>
      </c>
      <c r="C135" s="34" t="s">
        <v>102</v>
      </c>
      <c r="D135" s="34" t="n">
        <v>6.05</v>
      </c>
      <c r="E135" s="34" t="n">
        <v>-0.16</v>
      </c>
      <c r="F135" s="34" t="n">
        <v>-0.38</v>
      </c>
      <c r="G135" s="34" t="n">
        <v>5.51</v>
      </c>
      <c r="H135" s="34" t="n">
        <v>10.15</v>
      </c>
      <c r="I135" s="19" t="n">
        <v>4.64</v>
      </c>
      <c r="J135" s="34" t="n">
        <v>10.1</v>
      </c>
      <c r="K135" s="34" t="n">
        <v>-0.0600000000000005</v>
      </c>
      <c r="L135" s="34" t="n">
        <v>0.01</v>
      </c>
      <c r="O135" s="19" t="n">
        <f aca="false">J135</f>
        <v>10.1</v>
      </c>
      <c r="P135" s="34" t="n">
        <v>6.05</v>
      </c>
      <c r="Q135" s="34" t="n">
        <v>-0.16</v>
      </c>
      <c r="R135" s="34" t="n">
        <v>-0.38</v>
      </c>
      <c r="S135" s="19" t="n">
        <v>4.64</v>
      </c>
      <c r="T135" s="34" t="n">
        <v>-0.0600000000000005</v>
      </c>
      <c r="U135" s="34" t="n">
        <v>0.01</v>
      </c>
      <c r="V135" s="13" t="n">
        <f aca="false">SUM(P135:U135)</f>
        <v>10.1</v>
      </c>
      <c r="W135" s="13" t="n">
        <f aca="false">O135-V135</f>
        <v>0</v>
      </c>
    </row>
    <row r="136" customFormat="false" ht="15.65" hidden="false" customHeight="false" outlineLevel="0" collapsed="false">
      <c r="A136" s="12" t="n">
        <v>5</v>
      </c>
      <c r="B136" s="34" t="n">
        <v>40</v>
      </c>
      <c r="C136" s="34" t="s">
        <v>103</v>
      </c>
      <c r="D136" s="34" t="n">
        <v>5.91</v>
      </c>
      <c r="E136" s="34" t="n">
        <v>0.05</v>
      </c>
      <c r="F136" s="34" t="n">
        <v>-0.29</v>
      </c>
      <c r="G136" s="34" t="n">
        <v>5.67</v>
      </c>
      <c r="H136" s="34" t="n">
        <v>10.31</v>
      </c>
      <c r="I136" s="19" t="n">
        <v>4.64</v>
      </c>
      <c r="J136" s="34" t="n">
        <v>10.36</v>
      </c>
      <c r="K136" s="34" t="n">
        <v>0.0399999999999992</v>
      </c>
      <c r="L136" s="34" t="n">
        <v>0.01</v>
      </c>
      <c r="O136" s="19" t="n">
        <f aca="false">J136</f>
        <v>10.36</v>
      </c>
      <c r="P136" s="34" t="n">
        <v>5.91</v>
      </c>
      <c r="Q136" s="34" t="n">
        <v>0.05</v>
      </c>
      <c r="R136" s="34" t="n">
        <v>-0.29</v>
      </c>
      <c r="S136" s="19" t="n">
        <v>4.64</v>
      </c>
      <c r="T136" s="34" t="n">
        <v>0.0399999999999992</v>
      </c>
      <c r="U136" s="34" t="n">
        <v>0.01</v>
      </c>
      <c r="V136" s="13" t="n">
        <f aca="false">SUM(P136:U136)</f>
        <v>10.36</v>
      </c>
      <c r="W136" s="13" t="n">
        <f aca="false">O136-V136</f>
        <v>0</v>
      </c>
    </row>
    <row r="137" customFormat="false" ht="15.65" hidden="false" customHeight="false" outlineLevel="0" collapsed="false">
      <c r="A137" s="12" t="n">
        <v>5</v>
      </c>
      <c r="B137" s="34" t="n">
        <v>41</v>
      </c>
      <c r="C137" s="34" t="s">
        <v>104</v>
      </c>
      <c r="D137" s="34" t="n">
        <v>6.92</v>
      </c>
      <c r="E137" s="34" t="n">
        <v>-0.2</v>
      </c>
      <c r="F137" s="34" t="n">
        <v>-0.71</v>
      </c>
      <c r="G137" s="34" t="n">
        <v>6.01</v>
      </c>
      <c r="H137" s="34" t="n">
        <v>10.65</v>
      </c>
      <c r="I137" s="19" t="n">
        <v>4.64</v>
      </c>
      <c r="J137" s="34" t="n">
        <v>10.51</v>
      </c>
      <c r="K137" s="34" t="n">
        <v>-0.110000000000001</v>
      </c>
      <c r="L137" s="34" t="n">
        <v>-0.023</v>
      </c>
      <c r="O137" s="19" t="n">
        <f aca="false">J137</f>
        <v>10.51</v>
      </c>
      <c r="P137" s="34" t="n">
        <v>6.92</v>
      </c>
      <c r="Q137" s="34" t="n">
        <v>-0.2</v>
      </c>
      <c r="R137" s="34" t="n">
        <v>-0.71</v>
      </c>
      <c r="S137" s="19" t="n">
        <v>4.64</v>
      </c>
      <c r="T137" s="34" t="n">
        <v>-0.110000000000001</v>
      </c>
      <c r="U137" s="34" t="n">
        <v>-0.023</v>
      </c>
      <c r="V137" s="13" t="n">
        <f aca="false">SUM(P137:U137)</f>
        <v>10.517</v>
      </c>
      <c r="W137" s="13" t="n">
        <f aca="false">O137-V137</f>
        <v>-0.00699999999999967</v>
      </c>
    </row>
    <row r="138" customFormat="false" ht="15.65" hidden="false" customHeight="false" outlineLevel="0" collapsed="false">
      <c r="A138" s="12" t="n">
        <v>5</v>
      </c>
      <c r="B138" s="34" t="n">
        <v>42</v>
      </c>
      <c r="C138" s="34" t="s">
        <v>105</v>
      </c>
      <c r="D138" s="34" t="n">
        <v>6.6</v>
      </c>
      <c r="E138" s="34" t="n">
        <v>-0.23</v>
      </c>
      <c r="F138" s="34" t="n">
        <v>-0.77</v>
      </c>
      <c r="G138" s="34" t="n">
        <v>5.61</v>
      </c>
      <c r="H138" s="34" t="n">
        <v>10.25</v>
      </c>
      <c r="I138" s="19" t="n">
        <v>4.64</v>
      </c>
      <c r="J138" s="34" t="n">
        <v>10.21</v>
      </c>
      <c r="K138" s="34" t="n">
        <v>-0.0399999999999992</v>
      </c>
      <c r="L138" s="34" t="n">
        <v>0.002</v>
      </c>
      <c r="O138" s="19" t="n">
        <f aca="false">J138</f>
        <v>10.21</v>
      </c>
      <c r="P138" s="34" t="n">
        <v>6.6</v>
      </c>
      <c r="Q138" s="34" t="n">
        <v>-0.23</v>
      </c>
      <c r="R138" s="34" t="n">
        <v>-0.77</v>
      </c>
      <c r="S138" s="19" t="n">
        <v>4.64</v>
      </c>
      <c r="T138" s="34" t="n">
        <v>-0.0399999999999992</v>
      </c>
      <c r="U138" s="34" t="n">
        <v>0.002</v>
      </c>
      <c r="V138" s="13" t="n">
        <f aca="false">SUM(P138:U138)</f>
        <v>10.202</v>
      </c>
      <c r="W138" s="13" t="n">
        <f aca="false">O138-V138</f>
        <v>0.0080000000000009</v>
      </c>
    </row>
    <row r="139" customFormat="false" ht="15.65" hidden="false" customHeight="false" outlineLevel="0" collapsed="false">
      <c r="A139" s="12" t="n">
        <v>5</v>
      </c>
      <c r="B139" s="34" t="n">
        <v>43</v>
      </c>
      <c r="C139" s="34" t="s">
        <v>106</v>
      </c>
      <c r="D139" s="34" t="n">
        <v>6.4</v>
      </c>
      <c r="E139" s="34" t="n">
        <v>-0.08</v>
      </c>
      <c r="F139" s="34" t="n">
        <v>-0.62</v>
      </c>
      <c r="G139" s="34" t="n">
        <v>5.69</v>
      </c>
      <c r="H139" s="34" t="n">
        <v>10.33</v>
      </c>
      <c r="I139" s="19" t="n">
        <v>4.64</v>
      </c>
      <c r="J139" s="34" t="n">
        <v>10.32</v>
      </c>
      <c r="K139" s="34" t="n">
        <v>0.0299999999999994</v>
      </c>
      <c r="L139" s="34" t="n">
        <v>-0.047</v>
      </c>
      <c r="O139" s="19" t="n">
        <f aca="false">J139</f>
        <v>10.32</v>
      </c>
      <c r="P139" s="34" t="n">
        <v>6.4</v>
      </c>
      <c r="Q139" s="34" t="n">
        <v>-0.08</v>
      </c>
      <c r="R139" s="34" t="n">
        <v>-0.62</v>
      </c>
      <c r="S139" s="19" t="n">
        <v>4.64</v>
      </c>
      <c r="T139" s="34" t="n">
        <v>0.0299999999999994</v>
      </c>
      <c r="U139" s="34" t="n">
        <v>-0.047</v>
      </c>
      <c r="V139" s="13" t="n">
        <f aca="false">SUM(P139:U139)</f>
        <v>10.323</v>
      </c>
      <c r="W139" s="13" t="n">
        <f aca="false">O139-V139</f>
        <v>-0.00299999999999834</v>
      </c>
    </row>
    <row r="140" customFormat="false" ht="15.65" hidden="false" customHeight="false" outlineLevel="0" collapsed="false">
      <c r="A140" s="12" t="n">
        <v>5</v>
      </c>
      <c r="B140" s="34" t="n">
        <v>44</v>
      </c>
      <c r="C140" s="34" t="s">
        <v>107</v>
      </c>
      <c r="D140" s="34" t="n">
        <v>6.43</v>
      </c>
      <c r="E140" s="34" t="n">
        <v>-0.22</v>
      </c>
      <c r="F140" s="34" t="n">
        <v>-0.6</v>
      </c>
      <c r="G140" s="34" t="n">
        <v>5.61</v>
      </c>
      <c r="H140" s="34" t="n">
        <v>10.25</v>
      </c>
      <c r="I140" s="19" t="n">
        <v>4.64</v>
      </c>
      <c r="J140" s="34" t="n">
        <v>10.2</v>
      </c>
      <c r="K140" s="34" t="n">
        <v>-0.0299999999999994</v>
      </c>
      <c r="L140" s="34" t="n">
        <v>-0.019</v>
      </c>
      <c r="O140" s="19" t="n">
        <f aca="false">J140</f>
        <v>10.2</v>
      </c>
      <c r="P140" s="34" t="n">
        <v>6.43</v>
      </c>
      <c r="Q140" s="34" t="n">
        <v>-0.22</v>
      </c>
      <c r="R140" s="34" t="n">
        <v>-0.6</v>
      </c>
      <c r="S140" s="19" t="n">
        <v>4.64</v>
      </c>
      <c r="T140" s="34" t="n">
        <v>-0.0299999999999994</v>
      </c>
      <c r="U140" s="34" t="n">
        <v>-0.019</v>
      </c>
      <c r="V140" s="13" t="n">
        <f aca="false">SUM(P140:U140)</f>
        <v>10.201</v>
      </c>
      <c r="W140" s="13" t="n">
        <f aca="false">O140-V140</f>
        <v>-0.00100000000000122</v>
      </c>
    </row>
    <row r="141" customFormat="false" ht="15.65" hidden="false" customHeight="false" outlineLevel="0" collapsed="false">
      <c r="A141" s="12" t="n">
        <v>5</v>
      </c>
      <c r="B141" s="34" t="n">
        <v>45</v>
      </c>
      <c r="C141" s="34" t="s">
        <v>108</v>
      </c>
      <c r="D141" s="34" t="n">
        <v>6.05</v>
      </c>
      <c r="E141" s="34" t="n">
        <v>-0.1</v>
      </c>
      <c r="F141" s="34" t="n">
        <v>-0.75</v>
      </c>
      <c r="G141" s="34" t="n">
        <v>5.2</v>
      </c>
      <c r="H141" s="34" t="n">
        <v>9.84</v>
      </c>
      <c r="I141" s="19" t="n">
        <v>4.64</v>
      </c>
      <c r="J141" s="34" t="n">
        <v>9.76</v>
      </c>
      <c r="K141" s="34" t="n">
        <v>-0.0800000000000001</v>
      </c>
      <c r="L141" s="34" t="n">
        <v>-0.003</v>
      </c>
      <c r="O141" s="19" t="n">
        <f aca="false">J141</f>
        <v>9.76</v>
      </c>
      <c r="P141" s="34" t="n">
        <v>6.05</v>
      </c>
      <c r="Q141" s="34" t="n">
        <v>-0.1</v>
      </c>
      <c r="R141" s="34" t="n">
        <v>-0.75</v>
      </c>
      <c r="S141" s="19" t="n">
        <v>4.64</v>
      </c>
      <c r="T141" s="34" t="n">
        <v>-0.0800000000000001</v>
      </c>
      <c r="U141" s="34" t="n">
        <v>-0.003</v>
      </c>
      <c r="V141" s="13" t="n">
        <f aca="false">SUM(P141:U141)</f>
        <v>9.757</v>
      </c>
      <c r="W141" s="13" t="n">
        <f aca="false">O141-V141</f>
        <v>0.00300000000000011</v>
      </c>
    </row>
    <row r="142" customFormat="false" ht="15.65" hidden="false" customHeight="false" outlineLevel="0" collapsed="false">
      <c r="A142" s="12" t="n">
        <v>5</v>
      </c>
      <c r="B142" s="34" t="n">
        <v>46</v>
      </c>
      <c r="C142" s="34" t="s">
        <v>109</v>
      </c>
      <c r="D142" s="34" t="n">
        <v>6.59</v>
      </c>
      <c r="E142" s="34" t="n">
        <v>-0.06</v>
      </c>
      <c r="F142" s="34" t="n">
        <v>-0.88</v>
      </c>
      <c r="G142" s="34" t="n">
        <v>5.66</v>
      </c>
      <c r="H142" s="34" t="n">
        <v>10.3</v>
      </c>
      <c r="I142" s="19" t="n">
        <v>4.64</v>
      </c>
      <c r="J142" s="34" t="n">
        <v>10.26</v>
      </c>
      <c r="K142" s="34" t="n">
        <v>0.0199999999999996</v>
      </c>
      <c r="L142" s="34" t="n">
        <v>-0.056</v>
      </c>
      <c r="O142" s="19" t="n">
        <f aca="false">J142</f>
        <v>10.26</v>
      </c>
      <c r="P142" s="34" t="n">
        <v>6.59</v>
      </c>
      <c r="Q142" s="34" t="n">
        <v>-0.06</v>
      </c>
      <c r="R142" s="34" t="n">
        <v>-0.88</v>
      </c>
      <c r="S142" s="19" t="n">
        <v>4.64</v>
      </c>
      <c r="T142" s="34" t="n">
        <v>0.0199999999999996</v>
      </c>
      <c r="U142" s="34" t="n">
        <v>-0.056</v>
      </c>
      <c r="V142" s="13" t="n">
        <f aca="false">SUM(P142:U142)</f>
        <v>10.254</v>
      </c>
      <c r="W142" s="13" t="n">
        <f aca="false">O142-V142</f>
        <v>0.00600000000000023</v>
      </c>
    </row>
    <row r="143" customFormat="false" ht="15.65" hidden="false" customHeight="false" outlineLevel="0" collapsed="false">
      <c r="A143" s="12" t="n">
        <v>5</v>
      </c>
      <c r="B143" s="34" t="n">
        <v>47</v>
      </c>
      <c r="C143" s="34" t="s">
        <v>110</v>
      </c>
      <c r="D143" s="34" t="n">
        <v>6.64</v>
      </c>
      <c r="E143" s="34" t="n">
        <v>0.25</v>
      </c>
      <c r="F143" s="34" t="n">
        <v>-1.59</v>
      </c>
      <c r="G143" s="34" t="n">
        <v>5.3</v>
      </c>
      <c r="H143" s="34" t="n">
        <v>9.94</v>
      </c>
      <c r="I143" s="19" t="n">
        <v>4.64</v>
      </c>
      <c r="J143" s="34" t="n">
        <v>9.89</v>
      </c>
      <c r="K143" s="34" t="n">
        <v>-0.0399999999999992</v>
      </c>
      <c r="L143" s="34" t="n">
        <v>-0.011</v>
      </c>
      <c r="O143" s="19" t="n">
        <f aca="false">J143</f>
        <v>9.89</v>
      </c>
      <c r="P143" s="34" t="n">
        <v>6.64</v>
      </c>
      <c r="Q143" s="34" t="n">
        <v>0.25</v>
      </c>
      <c r="R143" s="34" t="n">
        <v>-1.59</v>
      </c>
      <c r="S143" s="19" t="n">
        <v>4.64</v>
      </c>
      <c r="T143" s="34" t="n">
        <v>-0.0399999999999992</v>
      </c>
      <c r="U143" s="34" t="n">
        <v>-0.011</v>
      </c>
      <c r="V143" s="13" t="n">
        <f aca="false">SUM(P143:U143)</f>
        <v>9.889</v>
      </c>
      <c r="W143" s="13" t="n">
        <f aca="false">O143-V143</f>
        <v>0.000999999999999446</v>
      </c>
    </row>
    <row r="144" customFormat="false" ht="15.65" hidden="false" customHeight="false" outlineLevel="0" collapsed="false">
      <c r="A144" s="12" t="n">
        <v>6</v>
      </c>
      <c r="B144" s="34" t="n">
        <v>1</v>
      </c>
      <c r="C144" s="34" t="s">
        <v>42</v>
      </c>
      <c r="D144" s="34" t="n">
        <v>6.26</v>
      </c>
      <c r="E144" s="34" t="n">
        <v>-0.31</v>
      </c>
      <c r="F144" s="34" t="n">
        <v>-0.25</v>
      </c>
      <c r="G144" s="34" t="n">
        <v>5.7</v>
      </c>
      <c r="H144" s="34" t="n">
        <v>10.3</v>
      </c>
      <c r="I144" s="19" t="n">
        <v>4.6</v>
      </c>
      <c r="J144" s="34" t="n">
        <v>10.21</v>
      </c>
      <c r="K144" s="34" t="n">
        <v>-0.100000000000001</v>
      </c>
      <c r="L144" s="34" t="n">
        <v>0.01</v>
      </c>
      <c r="O144" s="19" t="n">
        <f aca="false">J144</f>
        <v>10.21</v>
      </c>
      <c r="P144" s="34" t="n">
        <v>6.26</v>
      </c>
      <c r="Q144" s="34" t="n">
        <v>-0.31</v>
      </c>
      <c r="R144" s="34" t="n">
        <v>-0.25</v>
      </c>
      <c r="S144" s="19" t="n">
        <v>4.6</v>
      </c>
      <c r="T144" s="34" t="n">
        <v>-0.100000000000001</v>
      </c>
      <c r="U144" s="34" t="n">
        <v>0.01</v>
      </c>
      <c r="V144" s="13" t="n">
        <f aca="false">SUM(P144:U144)</f>
        <v>10.21</v>
      </c>
      <c r="W144" s="13" t="n">
        <f aca="false">O144-V144</f>
        <v>0</v>
      </c>
    </row>
    <row r="145" customFormat="false" ht="15.65" hidden="false" customHeight="false" outlineLevel="0" collapsed="false">
      <c r="A145" s="12" t="n">
        <v>6</v>
      </c>
      <c r="B145" s="34" t="n">
        <v>2</v>
      </c>
      <c r="C145" s="34" t="s">
        <v>45</v>
      </c>
      <c r="D145" s="34" t="n">
        <v>6.26</v>
      </c>
      <c r="E145" s="34" t="n">
        <v>-0.32</v>
      </c>
      <c r="F145" s="34" t="n">
        <v>-0.81</v>
      </c>
      <c r="G145" s="34" t="n">
        <v>5.13</v>
      </c>
      <c r="H145" s="34" t="n">
        <v>9.73</v>
      </c>
      <c r="I145" s="19" t="n">
        <v>4.6</v>
      </c>
      <c r="J145" s="34" t="n">
        <v>9.49</v>
      </c>
      <c r="K145" s="34" t="n">
        <v>-0.25</v>
      </c>
      <c r="L145" s="34" t="n">
        <v>0.01</v>
      </c>
      <c r="O145" s="19" t="n">
        <f aca="false">J145</f>
        <v>9.49</v>
      </c>
      <c r="P145" s="34" t="n">
        <v>6.26</v>
      </c>
      <c r="Q145" s="34" t="n">
        <v>-0.32</v>
      </c>
      <c r="R145" s="34" t="n">
        <v>-0.81</v>
      </c>
      <c r="S145" s="19" t="n">
        <v>4.6</v>
      </c>
      <c r="T145" s="34" t="n">
        <v>-0.25</v>
      </c>
      <c r="U145" s="34" t="n">
        <v>0.01</v>
      </c>
      <c r="V145" s="13" t="n">
        <f aca="false">SUM(P145:U145)</f>
        <v>9.49</v>
      </c>
      <c r="W145" s="13" t="n">
        <f aca="false">O145-V145</f>
        <v>0</v>
      </c>
    </row>
    <row r="146" customFormat="false" ht="15.65" hidden="false" customHeight="false" outlineLevel="0" collapsed="false">
      <c r="A146" s="12" t="n">
        <v>6</v>
      </c>
      <c r="B146" s="34" t="n">
        <v>3</v>
      </c>
      <c r="C146" s="34" t="s">
        <v>46</v>
      </c>
      <c r="D146" s="34" t="n">
        <v>6.04</v>
      </c>
      <c r="E146" s="34" t="n">
        <v>-0.32</v>
      </c>
      <c r="F146" s="34" t="n">
        <v>-0.6</v>
      </c>
      <c r="G146" s="34" t="n">
        <v>5.12</v>
      </c>
      <c r="H146" s="34" t="n">
        <v>9.72</v>
      </c>
      <c r="I146" s="19" t="n">
        <v>4.6</v>
      </c>
      <c r="J146" s="34" t="n">
        <v>9.63</v>
      </c>
      <c r="K146" s="34" t="n">
        <v>-0.100000000000001</v>
      </c>
      <c r="L146" s="34" t="n">
        <v>0.01</v>
      </c>
      <c r="O146" s="19" t="n">
        <f aca="false">J146</f>
        <v>9.63</v>
      </c>
      <c r="P146" s="34" t="n">
        <v>6.04</v>
      </c>
      <c r="Q146" s="34" t="n">
        <v>-0.32</v>
      </c>
      <c r="R146" s="34" t="n">
        <v>-0.6</v>
      </c>
      <c r="S146" s="19" t="n">
        <v>4.6</v>
      </c>
      <c r="T146" s="34" t="n">
        <v>-0.100000000000001</v>
      </c>
      <c r="U146" s="34" t="n">
        <v>0.01</v>
      </c>
      <c r="V146" s="13" t="n">
        <f aca="false">SUM(P146:U146)</f>
        <v>9.63</v>
      </c>
      <c r="W146" s="13" t="n">
        <f aca="false">O146-V146</f>
        <v>0</v>
      </c>
    </row>
    <row r="147" customFormat="false" ht="15.65" hidden="false" customHeight="false" outlineLevel="0" collapsed="false">
      <c r="A147" s="12" t="n">
        <v>6</v>
      </c>
      <c r="B147" s="34" t="n">
        <v>4</v>
      </c>
      <c r="C147" s="34" t="s">
        <v>48</v>
      </c>
      <c r="D147" s="34" t="n">
        <v>5.98</v>
      </c>
      <c r="E147" s="34" t="n">
        <v>-0.17</v>
      </c>
      <c r="F147" s="34" t="n">
        <v>-0.34</v>
      </c>
      <c r="G147" s="34" t="n">
        <v>5.46</v>
      </c>
      <c r="H147" s="34" t="n">
        <v>10.07</v>
      </c>
      <c r="I147" s="19" t="n">
        <v>4.6</v>
      </c>
      <c r="J147" s="34" t="n">
        <v>10.01</v>
      </c>
      <c r="K147" s="34" t="n">
        <v>-0.0700000000000003</v>
      </c>
      <c r="L147" s="34" t="n">
        <v>0.01</v>
      </c>
      <c r="O147" s="19" t="n">
        <f aca="false">J147</f>
        <v>10.01</v>
      </c>
      <c r="P147" s="34" t="n">
        <v>5.98</v>
      </c>
      <c r="Q147" s="34" t="n">
        <v>-0.17</v>
      </c>
      <c r="R147" s="34" t="n">
        <v>-0.34</v>
      </c>
      <c r="S147" s="19" t="n">
        <v>4.6</v>
      </c>
      <c r="T147" s="34" t="n">
        <v>-0.0700000000000003</v>
      </c>
      <c r="U147" s="34" t="n">
        <v>0.01</v>
      </c>
      <c r="V147" s="13" t="n">
        <f aca="false">SUM(P147:U147)</f>
        <v>10.01</v>
      </c>
      <c r="W147" s="13" t="n">
        <f aca="false">O147-V147</f>
        <v>0</v>
      </c>
    </row>
    <row r="148" customFormat="false" ht="15.65" hidden="false" customHeight="false" outlineLevel="0" collapsed="false">
      <c r="A148" s="12" t="n">
        <v>6</v>
      </c>
      <c r="B148" s="34" t="n">
        <v>5</v>
      </c>
      <c r="C148" s="34" t="s">
        <v>49</v>
      </c>
      <c r="D148" s="34" t="n">
        <v>6.83</v>
      </c>
      <c r="E148" s="34" t="n">
        <v>-0.62</v>
      </c>
      <c r="F148" s="34" t="n">
        <v>-0.75</v>
      </c>
      <c r="G148" s="34" t="n">
        <v>5.46</v>
      </c>
      <c r="H148" s="34" t="n">
        <v>10.06</v>
      </c>
      <c r="I148" s="19" t="n">
        <v>4.6</v>
      </c>
      <c r="J148" s="34" t="n">
        <v>9.85</v>
      </c>
      <c r="K148" s="34" t="n">
        <v>-0.210000000000001</v>
      </c>
      <c r="L148" s="34" t="n">
        <v>-0.005</v>
      </c>
      <c r="O148" s="19" t="n">
        <f aca="false">J148</f>
        <v>9.85</v>
      </c>
      <c r="P148" s="34" t="n">
        <v>6.83</v>
      </c>
      <c r="Q148" s="34" t="n">
        <v>-0.62</v>
      </c>
      <c r="R148" s="34" t="n">
        <v>-0.75</v>
      </c>
      <c r="S148" s="19" t="n">
        <v>4.6</v>
      </c>
      <c r="T148" s="34" t="n">
        <v>-0.210000000000001</v>
      </c>
      <c r="U148" s="34" t="n">
        <v>-0.005</v>
      </c>
      <c r="V148" s="13" t="n">
        <f aca="false">SUM(P148:U148)</f>
        <v>9.845</v>
      </c>
      <c r="W148" s="13" t="n">
        <f aca="false">O148-V148</f>
        <v>0.00500000000000256</v>
      </c>
    </row>
    <row r="149" customFormat="false" ht="15.65" hidden="false" customHeight="false" outlineLevel="0" collapsed="false">
      <c r="A149" s="12" t="n">
        <v>6</v>
      </c>
      <c r="B149" s="34" t="n">
        <v>6</v>
      </c>
      <c r="C149" s="34" t="s">
        <v>50</v>
      </c>
      <c r="D149" s="34" t="n">
        <v>6.2</v>
      </c>
      <c r="E149" s="34" t="n">
        <v>-0.29</v>
      </c>
      <c r="F149" s="34" t="n">
        <v>-0.49</v>
      </c>
      <c r="G149" s="34" t="n">
        <v>5.41</v>
      </c>
      <c r="H149" s="34" t="n">
        <v>10.01</v>
      </c>
      <c r="I149" s="19" t="n">
        <v>4.6</v>
      </c>
      <c r="J149" s="34" t="n">
        <v>9.84</v>
      </c>
      <c r="K149" s="34" t="n">
        <v>-0.0199999999999996</v>
      </c>
      <c r="L149" s="34" t="n">
        <v>-0.152</v>
      </c>
      <c r="O149" s="19" t="n">
        <f aca="false">J149</f>
        <v>9.84</v>
      </c>
      <c r="P149" s="34" t="n">
        <v>6.2</v>
      </c>
      <c r="Q149" s="34" t="n">
        <v>-0.29</v>
      </c>
      <c r="R149" s="34" t="n">
        <v>-0.49</v>
      </c>
      <c r="S149" s="19" t="n">
        <v>4.6</v>
      </c>
      <c r="T149" s="34" t="n">
        <v>-0.0199999999999996</v>
      </c>
      <c r="U149" s="34" t="n">
        <v>-0.152</v>
      </c>
      <c r="V149" s="13" t="n">
        <f aca="false">SUM(P149:U149)</f>
        <v>9.848</v>
      </c>
      <c r="W149" s="13" t="n">
        <f aca="false">O149-V149</f>
        <v>-0.0080000000000009</v>
      </c>
    </row>
    <row r="150" customFormat="false" ht="15.65" hidden="false" customHeight="false" outlineLevel="0" collapsed="false">
      <c r="A150" s="12" t="n">
        <v>6</v>
      </c>
      <c r="B150" s="34" t="n">
        <v>7</v>
      </c>
      <c r="C150" s="34" t="s">
        <v>51</v>
      </c>
      <c r="D150" s="34" t="n">
        <v>5.49</v>
      </c>
      <c r="E150" s="34" t="n">
        <v>-0.19</v>
      </c>
      <c r="F150" s="34" t="n">
        <v>-0.28</v>
      </c>
      <c r="G150" s="34" t="n">
        <v>5.02</v>
      </c>
      <c r="H150" s="34" t="n">
        <v>9.62</v>
      </c>
      <c r="I150" s="19" t="n">
        <v>4.6</v>
      </c>
      <c r="J150" s="34" t="n">
        <v>9.59</v>
      </c>
      <c r="K150" s="34" t="n">
        <v>-0.0399999999999992</v>
      </c>
      <c r="L150" s="34" t="n">
        <v>0.01</v>
      </c>
      <c r="O150" s="19" t="n">
        <f aca="false">J150</f>
        <v>9.59</v>
      </c>
      <c r="P150" s="34" t="n">
        <v>5.49</v>
      </c>
      <c r="Q150" s="34" t="n">
        <v>-0.19</v>
      </c>
      <c r="R150" s="34" t="n">
        <v>-0.28</v>
      </c>
      <c r="S150" s="19" t="n">
        <v>4.6</v>
      </c>
      <c r="T150" s="34" t="n">
        <v>-0.0399999999999992</v>
      </c>
      <c r="U150" s="34" t="n">
        <v>0.01</v>
      </c>
      <c r="V150" s="13" t="n">
        <f aca="false">SUM(P150:U150)</f>
        <v>9.59</v>
      </c>
      <c r="W150" s="13" t="n">
        <f aca="false">O150-V150</f>
        <v>0</v>
      </c>
    </row>
    <row r="151" customFormat="false" ht="15.65" hidden="false" customHeight="false" outlineLevel="0" collapsed="false">
      <c r="A151" s="12" t="n">
        <v>6</v>
      </c>
      <c r="B151" s="34" t="n">
        <v>8</v>
      </c>
      <c r="C151" s="34" t="s">
        <v>52</v>
      </c>
      <c r="D151" s="34" t="n">
        <v>5.13</v>
      </c>
      <c r="E151" s="34" t="n">
        <v>-0.04</v>
      </c>
      <c r="F151" s="34" t="n">
        <v>0.03</v>
      </c>
      <c r="G151" s="34" t="n">
        <v>5.11</v>
      </c>
      <c r="H151" s="34" t="n">
        <v>9.71</v>
      </c>
      <c r="I151" s="19" t="n">
        <v>4.6</v>
      </c>
      <c r="J151" s="34" t="n">
        <v>9.66</v>
      </c>
      <c r="K151" s="34" t="n">
        <v>-0.0600000000000005</v>
      </c>
      <c r="L151" s="34" t="n">
        <v>0.01</v>
      </c>
      <c r="O151" s="19" t="n">
        <f aca="false">J151</f>
        <v>9.66</v>
      </c>
      <c r="P151" s="34" t="n">
        <v>5.13</v>
      </c>
      <c r="Q151" s="34" t="n">
        <v>-0.04</v>
      </c>
      <c r="R151" s="34" t="n">
        <v>0.03</v>
      </c>
      <c r="S151" s="19" t="n">
        <v>4.6</v>
      </c>
      <c r="T151" s="34" t="n">
        <v>-0.0600000000000005</v>
      </c>
      <c r="U151" s="34" t="n">
        <v>0.01</v>
      </c>
      <c r="V151" s="13" t="n">
        <f aca="false">SUM(P151:U151)</f>
        <v>9.67</v>
      </c>
      <c r="W151" s="13" t="n">
        <f aca="false">O151-V151</f>
        <v>-0.00999999999999801</v>
      </c>
    </row>
    <row r="152" customFormat="false" ht="15.65" hidden="false" customHeight="false" outlineLevel="0" collapsed="false">
      <c r="A152" s="12" t="n">
        <v>6</v>
      </c>
      <c r="B152" s="34" t="n">
        <v>9</v>
      </c>
      <c r="C152" s="34" t="s">
        <v>53</v>
      </c>
      <c r="D152" s="34" t="n">
        <v>5.4</v>
      </c>
      <c r="E152" s="34" t="n">
        <v>-0.07</v>
      </c>
      <c r="F152" s="34" t="n">
        <v>-0.06</v>
      </c>
      <c r="G152" s="34" t="n">
        <v>5.27</v>
      </c>
      <c r="H152" s="34" t="n">
        <v>9.87</v>
      </c>
      <c r="I152" s="19" t="n">
        <v>4.6</v>
      </c>
      <c r="J152" s="34" t="n">
        <v>9.79</v>
      </c>
      <c r="K152" s="34" t="n">
        <v>-0.0299999999999994</v>
      </c>
      <c r="L152" s="34" t="n">
        <v>-0.048</v>
      </c>
      <c r="O152" s="19" t="n">
        <f aca="false">J152</f>
        <v>9.79</v>
      </c>
      <c r="P152" s="34" t="n">
        <v>5.4</v>
      </c>
      <c r="Q152" s="34" t="n">
        <v>-0.07</v>
      </c>
      <c r="R152" s="34" t="n">
        <v>-0.06</v>
      </c>
      <c r="S152" s="19" t="n">
        <v>4.6</v>
      </c>
      <c r="T152" s="34" t="n">
        <v>-0.0299999999999994</v>
      </c>
      <c r="U152" s="34" t="n">
        <v>-0.048</v>
      </c>
      <c r="V152" s="13" t="n">
        <f aca="false">SUM(P152:U152)</f>
        <v>9.792</v>
      </c>
      <c r="W152" s="13" t="n">
        <f aca="false">O152-V152</f>
        <v>-0.00200000000000067</v>
      </c>
    </row>
    <row r="153" customFormat="false" ht="15.65" hidden="false" customHeight="false" outlineLevel="0" collapsed="false">
      <c r="A153" s="12" t="n">
        <v>6</v>
      </c>
      <c r="B153" s="34" t="n">
        <v>10</v>
      </c>
      <c r="C153" s="34" t="s">
        <v>54</v>
      </c>
      <c r="D153" s="34" t="n">
        <v>5.28</v>
      </c>
      <c r="E153" s="34" t="n">
        <v>-0.02</v>
      </c>
      <c r="F153" s="34" t="n">
        <v>-0.08</v>
      </c>
      <c r="G153" s="34" t="n">
        <v>5.18</v>
      </c>
      <c r="H153" s="34" t="n">
        <v>9.78</v>
      </c>
      <c r="I153" s="19" t="n">
        <v>4.6</v>
      </c>
      <c r="J153" s="34" t="n">
        <v>9.81</v>
      </c>
      <c r="K153" s="34" t="n">
        <v>0.0200000000000014</v>
      </c>
      <c r="L153" s="34" t="n">
        <v>0.01</v>
      </c>
      <c r="O153" s="19" t="n">
        <f aca="false">J153</f>
        <v>9.81</v>
      </c>
      <c r="P153" s="34" t="n">
        <v>5.28</v>
      </c>
      <c r="Q153" s="34" t="n">
        <v>-0.02</v>
      </c>
      <c r="R153" s="34" t="n">
        <v>-0.08</v>
      </c>
      <c r="S153" s="19" t="n">
        <v>4.6</v>
      </c>
      <c r="T153" s="34" t="n">
        <v>0.0200000000000014</v>
      </c>
      <c r="U153" s="34" t="n">
        <v>0.01</v>
      </c>
      <c r="V153" s="13" t="n">
        <f aca="false">SUM(P153:U153)</f>
        <v>9.81</v>
      </c>
      <c r="W153" s="13" t="n">
        <f aca="false">O153-V153</f>
        <v>0</v>
      </c>
    </row>
    <row r="154" customFormat="false" ht="15.65" hidden="false" customHeight="false" outlineLevel="0" collapsed="false">
      <c r="A154" s="12" t="n">
        <v>6</v>
      </c>
      <c r="B154" s="34" t="n">
        <v>11</v>
      </c>
      <c r="C154" s="34" t="s">
        <v>56</v>
      </c>
      <c r="D154" s="34" t="n">
        <v>5.03</v>
      </c>
      <c r="E154" s="34" t="n">
        <v>-0.01</v>
      </c>
      <c r="F154" s="34" t="n">
        <v>0.13</v>
      </c>
      <c r="G154" s="34" t="n">
        <v>5.16</v>
      </c>
      <c r="H154" s="34" t="n">
        <v>9.76</v>
      </c>
      <c r="I154" s="19" t="n">
        <v>4.6</v>
      </c>
      <c r="J154" s="34" t="n">
        <v>9.78</v>
      </c>
      <c r="K154" s="34" t="n">
        <v>0.00999999999999979</v>
      </c>
      <c r="L154" s="34" t="n">
        <v>0.01</v>
      </c>
      <c r="O154" s="19" t="n">
        <f aca="false">J154</f>
        <v>9.78</v>
      </c>
      <c r="P154" s="34" t="n">
        <v>5.03</v>
      </c>
      <c r="Q154" s="34" t="n">
        <v>-0.01</v>
      </c>
      <c r="R154" s="34" t="n">
        <v>0.13</v>
      </c>
      <c r="S154" s="19" t="n">
        <v>4.6</v>
      </c>
      <c r="T154" s="34" t="n">
        <v>0.00999999999999979</v>
      </c>
      <c r="U154" s="34" t="n">
        <v>0.01</v>
      </c>
      <c r="V154" s="13" t="n">
        <f aca="false">SUM(P154:U154)</f>
        <v>9.77</v>
      </c>
      <c r="W154" s="13" t="n">
        <f aca="false">O154-V154</f>
        <v>0.00999999999999979</v>
      </c>
    </row>
    <row r="155" customFormat="false" ht="15.65" hidden="false" customHeight="false" outlineLevel="0" collapsed="false">
      <c r="A155" s="12" t="n">
        <v>6</v>
      </c>
      <c r="B155" s="34" t="n">
        <v>12</v>
      </c>
      <c r="C155" s="34" t="s">
        <v>58</v>
      </c>
      <c r="D155" s="34" t="n">
        <v>5.12</v>
      </c>
      <c r="E155" s="34" t="n">
        <v>-0.08</v>
      </c>
      <c r="F155" s="34" t="n">
        <v>0.12</v>
      </c>
      <c r="G155" s="34" t="n">
        <v>5.16</v>
      </c>
      <c r="H155" s="34" t="n">
        <v>9.76</v>
      </c>
      <c r="I155" s="19" t="n">
        <v>4.6</v>
      </c>
      <c r="J155" s="34" t="n">
        <v>9.77</v>
      </c>
      <c r="K155" s="34" t="n">
        <v>0</v>
      </c>
      <c r="L155" s="34" t="n">
        <v>0.01</v>
      </c>
      <c r="O155" s="19" t="n">
        <f aca="false">J155</f>
        <v>9.77</v>
      </c>
      <c r="P155" s="34" t="n">
        <v>5.12</v>
      </c>
      <c r="Q155" s="34" t="n">
        <v>-0.08</v>
      </c>
      <c r="R155" s="34" t="n">
        <v>0.12</v>
      </c>
      <c r="S155" s="19" t="n">
        <v>4.6</v>
      </c>
      <c r="T155" s="34" t="n">
        <v>0</v>
      </c>
      <c r="U155" s="34" t="n">
        <v>0.01</v>
      </c>
      <c r="V155" s="13" t="n">
        <f aca="false">SUM(P155:U155)</f>
        <v>9.77</v>
      </c>
      <c r="W155" s="13" t="n">
        <f aca="false">O155-V155</f>
        <v>0</v>
      </c>
    </row>
    <row r="156" customFormat="false" ht="15.65" hidden="false" customHeight="false" outlineLevel="0" collapsed="false">
      <c r="A156" s="12" t="n">
        <v>6</v>
      </c>
      <c r="B156" s="34" t="n">
        <v>13</v>
      </c>
      <c r="C156" s="34" t="s">
        <v>60</v>
      </c>
      <c r="D156" s="34" t="n">
        <v>4.48</v>
      </c>
      <c r="E156" s="34" t="n">
        <v>0.16</v>
      </c>
      <c r="F156" s="34" t="n">
        <v>0.66</v>
      </c>
      <c r="G156" s="34" t="n">
        <v>5.3</v>
      </c>
      <c r="H156" s="34" t="n">
        <v>9.9</v>
      </c>
      <c r="I156" s="19" t="n">
        <v>4.6</v>
      </c>
      <c r="J156" s="34" t="n">
        <v>9.98</v>
      </c>
      <c r="K156" s="34" t="n">
        <v>0.0700000000000003</v>
      </c>
      <c r="L156" s="34" t="n">
        <v>0.01</v>
      </c>
      <c r="O156" s="19" t="n">
        <f aca="false">J156</f>
        <v>9.98</v>
      </c>
      <c r="P156" s="34" t="n">
        <v>4.48</v>
      </c>
      <c r="Q156" s="34" t="n">
        <v>0.16</v>
      </c>
      <c r="R156" s="34" t="n">
        <v>0.66</v>
      </c>
      <c r="S156" s="19" t="n">
        <v>4.6</v>
      </c>
      <c r="T156" s="34" t="n">
        <v>0.0700000000000003</v>
      </c>
      <c r="U156" s="34" t="n">
        <v>0.01</v>
      </c>
      <c r="V156" s="13" t="n">
        <f aca="false">SUM(P156:U156)</f>
        <v>9.98</v>
      </c>
      <c r="W156" s="13" t="n">
        <f aca="false">O156-V156</f>
        <v>0</v>
      </c>
    </row>
    <row r="157" customFormat="false" ht="15.65" hidden="false" customHeight="false" outlineLevel="0" collapsed="false">
      <c r="A157" s="12" t="n">
        <v>6</v>
      </c>
      <c r="B157" s="34" t="n">
        <v>14</v>
      </c>
      <c r="C157" s="34" t="s">
        <v>62</v>
      </c>
      <c r="D157" s="34" t="n">
        <v>5.02</v>
      </c>
      <c r="E157" s="34" t="n">
        <v>-0.06</v>
      </c>
      <c r="F157" s="34" t="n">
        <v>0.38</v>
      </c>
      <c r="G157" s="34" t="n">
        <v>5.35</v>
      </c>
      <c r="H157" s="34" t="n">
        <v>9.95</v>
      </c>
      <c r="I157" s="19" t="n">
        <v>4.6</v>
      </c>
      <c r="J157" s="34" t="n">
        <v>10.02</v>
      </c>
      <c r="K157" s="34" t="n">
        <v>0.0600000000000005</v>
      </c>
      <c r="L157" s="34" t="n">
        <v>0.01</v>
      </c>
      <c r="O157" s="19" t="n">
        <f aca="false">J157</f>
        <v>10.02</v>
      </c>
      <c r="P157" s="34" t="n">
        <v>5.02</v>
      </c>
      <c r="Q157" s="34" t="n">
        <v>-0.06</v>
      </c>
      <c r="R157" s="34" t="n">
        <v>0.38</v>
      </c>
      <c r="S157" s="19" t="n">
        <v>4.6</v>
      </c>
      <c r="T157" s="34" t="n">
        <v>0.0600000000000005</v>
      </c>
      <c r="U157" s="34" t="n">
        <v>0.01</v>
      </c>
      <c r="V157" s="13" t="n">
        <f aca="false">SUM(P157:U157)</f>
        <v>10.01</v>
      </c>
      <c r="W157" s="13" t="n">
        <f aca="false">O157-V157</f>
        <v>0.00999999999999979</v>
      </c>
    </row>
    <row r="158" customFormat="false" ht="15.65" hidden="false" customHeight="false" outlineLevel="0" collapsed="false">
      <c r="A158" s="12" t="n">
        <v>6</v>
      </c>
      <c r="B158" s="34" t="n">
        <v>15</v>
      </c>
      <c r="C158" s="34" t="s">
        <v>64</v>
      </c>
      <c r="D158" s="34" t="n">
        <v>5.31</v>
      </c>
      <c r="E158" s="34" t="n">
        <v>-0.14</v>
      </c>
      <c r="F158" s="34" t="n">
        <v>-0.31</v>
      </c>
      <c r="G158" s="34" t="n">
        <v>4.85</v>
      </c>
      <c r="H158" s="34" t="n">
        <v>9.45</v>
      </c>
      <c r="I158" s="19" t="n">
        <v>4.6</v>
      </c>
      <c r="J158" s="34" t="n">
        <v>9.35</v>
      </c>
      <c r="K158" s="34" t="n">
        <v>-0.0800000000000001</v>
      </c>
      <c r="L158" s="34" t="n">
        <v>-0.02</v>
      </c>
      <c r="O158" s="19" t="n">
        <f aca="false">J158</f>
        <v>9.35</v>
      </c>
      <c r="P158" s="34" t="n">
        <v>5.31</v>
      </c>
      <c r="Q158" s="34" t="n">
        <v>-0.14</v>
      </c>
      <c r="R158" s="34" t="n">
        <v>-0.31</v>
      </c>
      <c r="S158" s="19" t="n">
        <v>4.6</v>
      </c>
      <c r="T158" s="34" t="n">
        <v>-0.0800000000000001</v>
      </c>
      <c r="U158" s="34" t="n">
        <v>-0.02</v>
      </c>
      <c r="V158" s="13" t="n">
        <f aca="false">SUM(P158:U158)</f>
        <v>9.36</v>
      </c>
      <c r="W158" s="13" t="n">
        <f aca="false">O158-V158</f>
        <v>-0.00999999999999979</v>
      </c>
    </row>
    <row r="159" customFormat="false" ht="15.65" hidden="false" customHeight="false" outlineLevel="0" collapsed="false">
      <c r="A159" s="12" t="n">
        <v>6</v>
      </c>
      <c r="B159" s="34" t="n">
        <v>16</v>
      </c>
      <c r="C159" s="34" t="s">
        <v>66</v>
      </c>
      <c r="D159" s="34" t="n">
        <v>4.98</v>
      </c>
      <c r="E159" s="34" t="n">
        <v>-0.07</v>
      </c>
      <c r="F159" s="34" t="n">
        <v>0.12</v>
      </c>
      <c r="G159" s="34" t="n">
        <v>5.03</v>
      </c>
      <c r="H159" s="34" t="n">
        <v>9.63</v>
      </c>
      <c r="I159" s="19" t="n">
        <v>4.6</v>
      </c>
      <c r="J159" s="34" t="n">
        <v>9.62</v>
      </c>
      <c r="K159" s="34" t="n">
        <v>0</v>
      </c>
      <c r="L159" s="34" t="n">
        <v>-0.01</v>
      </c>
      <c r="O159" s="19" t="n">
        <f aca="false">J159</f>
        <v>9.62</v>
      </c>
      <c r="P159" s="34" t="n">
        <v>4.98</v>
      </c>
      <c r="Q159" s="34" t="n">
        <v>-0.07</v>
      </c>
      <c r="R159" s="34" t="n">
        <v>0.12</v>
      </c>
      <c r="S159" s="19" t="n">
        <v>4.6</v>
      </c>
      <c r="T159" s="34" t="n">
        <v>0</v>
      </c>
      <c r="U159" s="34" t="n">
        <v>-0.01</v>
      </c>
      <c r="V159" s="13" t="n">
        <f aca="false">SUM(P159:U159)</f>
        <v>9.62</v>
      </c>
      <c r="W159" s="13" t="n">
        <f aca="false">O159-V159</f>
        <v>0</v>
      </c>
    </row>
    <row r="160" customFormat="false" ht="15.65" hidden="false" customHeight="false" outlineLevel="0" collapsed="false">
      <c r="A160" s="12" t="n">
        <v>6</v>
      </c>
      <c r="B160" s="34" t="n">
        <v>17</v>
      </c>
      <c r="C160" s="34" t="s">
        <v>67</v>
      </c>
      <c r="D160" s="34" t="n">
        <v>5.33</v>
      </c>
      <c r="E160" s="34" t="n">
        <v>-0.02</v>
      </c>
      <c r="F160" s="34" t="n">
        <v>0.03</v>
      </c>
      <c r="G160" s="34" t="n">
        <v>5.34</v>
      </c>
      <c r="H160" s="34" t="n">
        <v>9.94</v>
      </c>
      <c r="I160" s="19" t="n">
        <v>4.6</v>
      </c>
      <c r="J160" s="34" t="n">
        <v>9.94</v>
      </c>
      <c r="K160" s="34" t="n">
        <v>-0.00999999999999979</v>
      </c>
      <c r="L160" s="34" t="n">
        <v>0.01</v>
      </c>
      <c r="O160" s="19" t="n">
        <f aca="false">J160</f>
        <v>9.94</v>
      </c>
      <c r="P160" s="34" t="n">
        <v>5.33</v>
      </c>
      <c r="Q160" s="34" t="n">
        <v>-0.02</v>
      </c>
      <c r="R160" s="34" t="n">
        <v>0.03</v>
      </c>
      <c r="S160" s="19" t="n">
        <v>4.6</v>
      </c>
      <c r="T160" s="34" t="n">
        <v>-0.00999999999999979</v>
      </c>
      <c r="U160" s="34" t="n">
        <v>0.01</v>
      </c>
      <c r="V160" s="13" t="n">
        <f aca="false">SUM(P160:U160)</f>
        <v>9.94</v>
      </c>
      <c r="W160" s="13" t="n">
        <f aca="false">O160-V160</f>
        <v>0</v>
      </c>
    </row>
    <row r="161" customFormat="false" ht="15.65" hidden="false" customHeight="false" outlineLevel="0" collapsed="false">
      <c r="A161" s="12" t="n">
        <v>6</v>
      </c>
      <c r="B161" s="34" t="n">
        <v>18</v>
      </c>
      <c r="C161" s="34" t="s">
        <v>69</v>
      </c>
      <c r="D161" s="34" t="n">
        <v>5.58</v>
      </c>
      <c r="E161" s="34" t="n">
        <v>-0.14</v>
      </c>
      <c r="F161" s="34" t="n">
        <v>-0.03</v>
      </c>
      <c r="G161" s="34" t="n">
        <v>5.41</v>
      </c>
      <c r="H161" s="34" t="n">
        <v>10.01</v>
      </c>
      <c r="I161" s="19" t="n">
        <v>4.6</v>
      </c>
      <c r="J161" s="34" t="n">
        <v>10.07</v>
      </c>
      <c r="K161" s="34" t="n">
        <v>0.0500000000000007</v>
      </c>
      <c r="L161" s="34" t="n">
        <v>0.01</v>
      </c>
      <c r="O161" s="19" t="n">
        <f aca="false">J161</f>
        <v>10.07</v>
      </c>
      <c r="P161" s="34" t="n">
        <v>5.58</v>
      </c>
      <c r="Q161" s="34" t="n">
        <v>-0.14</v>
      </c>
      <c r="R161" s="34" t="n">
        <v>-0.03</v>
      </c>
      <c r="S161" s="19" t="n">
        <v>4.6</v>
      </c>
      <c r="T161" s="34" t="n">
        <v>0.0500000000000007</v>
      </c>
      <c r="U161" s="34" t="n">
        <v>0.01</v>
      </c>
      <c r="V161" s="13" t="n">
        <f aca="false">SUM(P161:U161)</f>
        <v>10.07</v>
      </c>
      <c r="W161" s="13" t="n">
        <f aca="false">O161-V161</f>
        <v>0</v>
      </c>
    </row>
    <row r="162" customFormat="false" ht="15.65" hidden="false" customHeight="false" outlineLevel="0" collapsed="false">
      <c r="A162" s="12" t="n">
        <v>6</v>
      </c>
      <c r="B162" s="34" t="n">
        <v>19</v>
      </c>
      <c r="C162" s="34" t="s">
        <v>75</v>
      </c>
      <c r="D162" s="34" t="n">
        <v>5.54</v>
      </c>
      <c r="E162" s="34" t="n">
        <v>-0.15</v>
      </c>
      <c r="F162" s="34" t="n">
        <v>-0.14</v>
      </c>
      <c r="G162" s="34" t="n">
        <v>5.25</v>
      </c>
      <c r="H162" s="34" t="n">
        <v>9.85</v>
      </c>
      <c r="I162" s="19" t="n">
        <v>4.6</v>
      </c>
      <c r="J162" s="34" t="n">
        <v>9.94</v>
      </c>
      <c r="K162" s="34" t="n">
        <v>0.0800000000000001</v>
      </c>
      <c r="L162" s="34" t="n">
        <v>0.01</v>
      </c>
      <c r="O162" s="19" t="n">
        <f aca="false">J162</f>
        <v>9.94</v>
      </c>
      <c r="P162" s="34" t="n">
        <v>5.54</v>
      </c>
      <c r="Q162" s="34" t="n">
        <v>-0.15</v>
      </c>
      <c r="R162" s="34" t="n">
        <v>-0.14</v>
      </c>
      <c r="S162" s="19" t="n">
        <v>4.6</v>
      </c>
      <c r="T162" s="34" t="n">
        <v>0.0800000000000001</v>
      </c>
      <c r="U162" s="34" t="n">
        <v>0.01</v>
      </c>
      <c r="V162" s="13" t="n">
        <f aca="false">SUM(P162:U162)</f>
        <v>9.94</v>
      </c>
      <c r="W162" s="13" t="n">
        <f aca="false">O162-V162</f>
        <v>0</v>
      </c>
    </row>
    <row r="163" customFormat="false" ht="15.65" hidden="false" customHeight="false" outlineLevel="0" collapsed="false">
      <c r="A163" s="12" t="n">
        <v>6</v>
      </c>
      <c r="B163" s="34" t="n">
        <v>20</v>
      </c>
      <c r="C163" s="34" t="s">
        <v>76</v>
      </c>
      <c r="D163" s="34" t="n">
        <v>5.27</v>
      </c>
      <c r="E163" s="34" t="n">
        <v>-0.08</v>
      </c>
      <c r="F163" s="34" t="n">
        <v>-0.17</v>
      </c>
      <c r="G163" s="34" t="n">
        <v>5.01</v>
      </c>
      <c r="H163" s="34" t="n">
        <v>9.61</v>
      </c>
      <c r="I163" s="19" t="n">
        <v>4.6</v>
      </c>
      <c r="J163" s="34" t="n">
        <v>9.55</v>
      </c>
      <c r="K163" s="34" t="n">
        <v>-0.0399999999999992</v>
      </c>
      <c r="L163" s="34" t="n">
        <v>-0.028</v>
      </c>
      <c r="O163" s="19" t="n">
        <f aca="false">J163</f>
        <v>9.55</v>
      </c>
      <c r="P163" s="34" t="n">
        <v>5.27</v>
      </c>
      <c r="Q163" s="34" t="n">
        <v>-0.08</v>
      </c>
      <c r="R163" s="34" t="n">
        <v>-0.17</v>
      </c>
      <c r="S163" s="19" t="n">
        <v>4.6</v>
      </c>
      <c r="T163" s="34" t="n">
        <v>-0.0399999999999992</v>
      </c>
      <c r="U163" s="34" t="n">
        <v>-0.028</v>
      </c>
      <c r="V163" s="13" t="n">
        <f aca="false">SUM(P163:U163)</f>
        <v>9.552</v>
      </c>
      <c r="W163" s="13" t="n">
        <f aca="false">O163-V163</f>
        <v>-0.00199999999999889</v>
      </c>
    </row>
    <row r="164" customFormat="false" ht="15.65" hidden="false" customHeight="false" outlineLevel="0" collapsed="false">
      <c r="A164" s="12" t="n">
        <v>6</v>
      </c>
      <c r="B164" s="34" t="n">
        <v>21</v>
      </c>
      <c r="C164" s="34" t="s">
        <v>78</v>
      </c>
      <c r="D164" s="34" t="n">
        <v>5.38</v>
      </c>
      <c r="E164" s="34" t="n">
        <v>0</v>
      </c>
      <c r="F164" s="34" t="n">
        <v>-0.09</v>
      </c>
      <c r="G164" s="34" t="n">
        <v>5.3</v>
      </c>
      <c r="H164" s="34" t="n">
        <v>9.9</v>
      </c>
      <c r="I164" s="19" t="n">
        <v>4.6</v>
      </c>
      <c r="J164" s="34" t="n">
        <v>9.91</v>
      </c>
      <c r="K164" s="34" t="n">
        <v>0.0299999999999994</v>
      </c>
      <c r="L164" s="34" t="n">
        <v>-0.016</v>
      </c>
      <c r="O164" s="19" t="n">
        <f aca="false">J164</f>
        <v>9.91</v>
      </c>
      <c r="P164" s="34" t="n">
        <v>5.38</v>
      </c>
      <c r="Q164" s="34" t="n">
        <v>0</v>
      </c>
      <c r="R164" s="34" t="n">
        <v>-0.09</v>
      </c>
      <c r="S164" s="19" t="n">
        <v>4.6</v>
      </c>
      <c r="T164" s="34" t="n">
        <v>0.0299999999999994</v>
      </c>
      <c r="U164" s="34" t="n">
        <v>-0.016</v>
      </c>
      <c r="V164" s="13" t="n">
        <f aca="false">SUM(P164:U164)</f>
        <v>9.904</v>
      </c>
      <c r="W164" s="13" t="n">
        <f aca="false">O164-V164</f>
        <v>0.006000000000002</v>
      </c>
    </row>
    <row r="165" customFormat="false" ht="15.65" hidden="false" customHeight="false" outlineLevel="0" collapsed="false">
      <c r="A165" s="12" t="n">
        <v>6</v>
      </c>
      <c r="B165" s="34" t="n">
        <v>22</v>
      </c>
      <c r="C165" s="34" t="s">
        <v>80</v>
      </c>
      <c r="D165" s="34" t="n">
        <v>5.13</v>
      </c>
      <c r="E165" s="34" t="n">
        <v>-0.04</v>
      </c>
      <c r="F165" s="34" t="n">
        <v>0.1</v>
      </c>
      <c r="G165" s="34" t="n">
        <v>5.19</v>
      </c>
      <c r="H165" s="34" t="n">
        <v>9.79</v>
      </c>
      <c r="I165" s="19" t="n">
        <v>4.6</v>
      </c>
      <c r="J165" s="34" t="n">
        <v>9.85</v>
      </c>
      <c r="K165" s="34" t="n">
        <v>0.0500000000000007</v>
      </c>
      <c r="L165" s="34" t="n">
        <v>0.01</v>
      </c>
      <c r="O165" s="19" t="n">
        <f aca="false">J165</f>
        <v>9.85</v>
      </c>
      <c r="P165" s="34" t="n">
        <v>5.13</v>
      </c>
      <c r="Q165" s="34" t="n">
        <v>-0.04</v>
      </c>
      <c r="R165" s="34" t="n">
        <v>0.1</v>
      </c>
      <c r="S165" s="19" t="n">
        <v>4.6</v>
      </c>
      <c r="T165" s="34" t="n">
        <v>0.0500000000000007</v>
      </c>
      <c r="U165" s="34" t="n">
        <v>0.01</v>
      </c>
      <c r="V165" s="13" t="n">
        <f aca="false">SUM(P165:U165)</f>
        <v>9.85</v>
      </c>
      <c r="W165" s="13" t="n">
        <f aca="false">O165-V165</f>
        <v>0</v>
      </c>
    </row>
    <row r="166" customFormat="false" ht="15.65" hidden="false" customHeight="false" outlineLevel="0" collapsed="false">
      <c r="A166" s="12" t="n">
        <v>6</v>
      </c>
      <c r="B166" s="34" t="n">
        <v>23</v>
      </c>
      <c r="C166" s="34" t="s">
        <v>81</v>
      </c>
      <c r="D166" s="34" t="n">
        <v>4.92</v>
      </c>
      <c r="E166" s="34" t="n">
        <v>0.19</v>
      </c>
      <c r="F166" s="34" t="n">
        <v>0.25</v>
      </c>
      <c r="G166" s="34" t="n">
        <v>5.36</v>
      </c>
      <c r="H166" s="34" t="n">
        <v>9.96</v>
      </c>
      <c r="I166" s="19" t="n">
        <v>4.6</v>
      </c>
      <c r="J166" s="34" t="n">
        <v>10.02</v>
      </c>
      <c r="K166" s="34" t="n">
        <v>0.0499999999999989</v>
      </c>
      <c r="L166" s="34" t="n">
        <v>0.01</v>
      </c>
      <c r="O166" s="19" t="n">
        <f aca="false">J166</f>
        <v>10.02</v>
      </c>
      <c r="P166" s="34" t="n">
        <v>4.92</v>
      </c>
      <c r="Q166" s="34" t="n">
        <v>0.19</v>
      </c>
      <c r="R166" s="34" t="n">
        <v>0.25</v>
      </c>
      <c r="S166" s="19" t="n">
        <v>4.6</v>
      </c>
      <c r="T166" s="34" t="n">
        <v>0.0499999999999989</v>
      </c>
      <c r="U166" s="34" t="n">
        <v>0.01</v>
      </c>
      <c r="V166" s="13" t="n">
        <f aca="false">SUM(P166:U166)</f>
        <v>10.02</v>
      </c>
      <c r="W166" s="13" t="n">
        <f aca="false">O166-V166</f>
        <v>0</v>
      </c>
    </row>
    <row r="167" customFormat="false" ht="15.65" hidden="false" customHeight="false" outlineLevel="0" collapsed="false">
      <c r="A167" s="12" t="n">
        <v>6</v>
      </c>
      <c r="B167" s="34" t="n">
        <v>24</v>
      </c>
      <c r="C167" s="34" t="s">
        <v>83</v>
      </c>
      <c r="D167" s="34" t="n">
        <v>5.26</v>
      </c>
      <c r="E167" s="34" t="n">
        <v>0.02</v>
      </c>
      <c r="F167" s="34" t="n">
        <v>0.01</v>
      </c>
      <c r="G167" s="34" t="n">
        <v>5.29</v>
      </c>
      <c r="H167" s="34" t="n">
        <v>9.89</v>
      </c>
      <c r="I167" s="19" t="n">
        <v>4.6</v>
      </c>
      <c r="J167" s="34" t="n">
        <v>9.94</v>
      </c>
      <c r="K167" s="34" t="n">
        <v>0.0399999999999992</v>
      </c>
      <c r="L167" s="34" t="n">
        <v>0.01</v>
      </c>
      <c r="O167" s="19" t="n">
        <f aca="false">J167</f>
        <v>9.94</v>
      </c>
      <c r="P167" s="34" t="n">
        <v>5.26</v>
      </c>
      <c r="Q167" s="34" t="n">
        <v>0.02</v>
      </c>
      <c r="R167" s="34" t="n">
        <v>0.01</v>
      </c>
      <c r="S167" s="19" t="n">
        <v>4.6</v>
      </c>
      <c r="T167" s="34" t="n">
        <v>0.0399999999999992</v>
      </c>
      <c r="U167" s="34" t="n">
        <v>0.01</v>
      </c>
      <c r="V167" s="13" t="n">
        <f aca="false">SUM(P167:U167)</f>
        <v>9.94</v>
      </c>
      <c r="W167" s="13" t="n">
        <f aca="false">O167-V167</f>
        <v>0</v>
      </c>
    </row>
    <row r="168" customFormat="false" ht="15.65" hidden="false" customHeight="false" outlineLevel="0" collapsed="false">
      <c r="A168" s="12" t="n">
        <v>6</v>
      </c>
      <c r="B168" s="34" t="n">
        <v>25</v>
      </c>
      <c r="C168" s="34" t="s">
        <v>84</v>
      </c>
      <c r="D168" s="34" t="n">
        <v>5.32</v>
      </c>
      <c r="E168" s="34" t="n">
        <v>0.07</v>
      </c>
      <c r="F168" s="34" t="n">
        <v>-0.14</v>
      </c>
      <c r="G168" s="34" t="n">
        <v>5.26</v>
      </c>
      <c r="H168" s="34" t="n">
        <v>9.86</v>
      </c>
      <c r="I168" s="19" t="n">
        <v>4.6</v>
      </c>
      <c r="J168" s="34" t="n">
        <v>9.89</v>
      </c>
      <c r="K168" s="34" t="n">
        <v>0.0200000000000014</v>
      </c>
      <c r="L168" s="34" t="n">
        <v>0.01</v>
      </c>
      <c r="O168" s="19" t="n">
        <f aca="false">J168</f>
        <v>9.89</v>
      </c>
      <c r="P168" s="34" t="n">
        <v>5.32</v>
      </c>
      <c r="Q168" s="34" t="n">
        <v>0.07</v>
      </c>
      <c r="R168" s="34" t="n">
        <v>-0.14</v>
      </c>
      <c r="S168" s="19" t="n">
        <v>4.6</v>
      </c>
      <c r="T168" s="34" t="n">
        <v>0.0200000000000014</v>
      </c>
      <c r="U168" s="34" t="n">
        <v>0.01</v>
      </c>
      <c r="V168" s="13" t="n">
        <f aca="false">SUM(P168:U168)</f>
        <v>9.88</v>
      </c>
      <c r="W168" s="13" t="n">
        <f aca="false">O168-V168</f>
        <v>0.00999999999999979</v>
      </c>
    </row>
    <row r="169" customFormat="false" ht="15.65" hidden="false" customHeight="false" outlineLevel="0" collapsed="false">
      <c r="A169" s="12" t="n">
        <v>6</v>
      </c>
      <c r="B169" s="34" t="n">
        <v>26</v>
      </c>
      <c r="C169" s="34" t="s">
        <v>88</v>
      </c>
      <c r="D169" s="34" t="n">
        <v>5.36</v>
      </c>
      <c r="E169" s="34" t="n">
        <v>0.06</v>
      </c>
      <c r="F169" s="34" t="n">
        <v>0.03</v>
      </c>
      <c r="G169" s="34" t="n">
        <v>5.46</v>
      </c>
      <c r="H169" s="34" t="n">
        <v>10.06</v>
      </c>
      <c r="I169" s="19" t="n">
        <v>4.6</v>
      </c>
      <c r="J169" s="34" t="n">
        <v>10.13</v>
      </c>
      <c r="K169" s="34" t="n">
        <v>0.0599999999999987</v>
      </c>
      <c r="L169" s="34" t="n">
        <v>0.01</v>
      </c>
      <c r="O169" s="19" t="n">
        <f aca="false">J169</f>
        <v>10.13</v>
      </c>
      <c r="P169" s="34" t="n">
        <v>5.36</v>
      </c>
      <c r="Q169" s="34" t="n">
        <v>0.06</v>
      </c>
      <c r="R169" s="34" t="n">
        <v>0.03</v>
      </c>
      <c r="S169" s="19" t="n">
        <v>4.6</v>
      </c>
      <c r="T169" s="34" t="n">
        <v>0.0599999999999987</v>
      </c>
      <c r="U169" s="34" t="n">
        <v>0.01</v>
      </c>
      <c r="V169" s="13" t="n">
        <f aca="false">SUM(P169:U169)</f>
        <v>10.12</v>
      </c>
      <c r="W169" s="13" t="n">
        <f aca="false">O169-V169</f>
        <v>0.0100000000000016</v>
      </c>
    </row>
    <row r="170" customFormat="false" ht="15.65" hidden="false" customHeight="false" outlineLevel="0" collapsed="false">
      <c r="A170" s="12" t="n">
        <v>6</v>
      </c>
      <c r="B170" s="34" t="n">
        <v>27</v>
      </c>
      <c r="C170" s="34" t="s">
        <v>89</v>
      </c>
      <c r="D170" s="34" t="n">
        <v>5.39</v>
      </c>
      <c r="E170" s="34" t="n">
        <v>0.17</v>
      </c>
      <c r="F170" s="34" t="n">
        <v>0.13</v>
      </c>
      <c r="G170" s="34" t="n">
        <v>5.68</v>
      </c>
      <c r="H170" s="34" t="n">
        <v>10.28</v>
      </c>
      <c r="I170" s="19" t="n">
        <v>4.6</v>
      </c>
      <c r="J170" s="34" t="n">
        <v>10.34</v>
      </c>
      <c r="K170" s="34" t="n">
        <v>0.0500000000000007</v>
      </c>
      <c r="L170" s="34" t="n">
        <v>0.01</v>
      </c>
      <c r="O170" s="19" t="n">
        <f aca="false">J170</f>
        <v>10.34</v>
      </c>
      <c r="P170" s="34" t="n">
        <v>5.39</v>
      </c>
      <c r="Q170" s="34" t="n">
        <v>0.17</v>
      </c>
      <c r="R170" s="34" t="n">
        <v>0.13</v>
      </c>
      <c r="S170" s="19" t="n">
        <v>4.6</v>
      </c>
      <c r="T170" s="34" t="n">
        <v>0.0500000000000007</v>
      </c>
      <c r="U170" s="34" t="n">
        <v>0.01</v>
      </c>
      <c r="V170" s="13" t="n">
        <f aca="false">SUM(P170:U170)</f>
        <v>10.35</v>
      </c>
      <c r="W170" s="13" t="n">
        <f aca="false">O170-V170</f>
        <v>-0.00999999999999979</v>
      </c>
    </row>
    <row r="171" customFormat="false" ht="15.65" hidden="false" customHeight="false" outlineLevel="0" collapsed="false">
      <c r="A171" s="12" t="n">
        <v>6</v>
      </c>
      <c r="B171" s="34" t="n">
        <v>28</v>
      </c>
      <c r="C171" s="34" t="s">
        <v>90</v>
      </c>
      <c r="D171" s="34" t="n">
        <v>5.56</v>
      </c>
      <c r="E171" s="34" t="n">
        <v>0.02</v>
      </c>
      <c r="F171" s="34" t="n">
        <v>-0.03</v>
      </c>
      <c r="G171" s="34" t="n">
        <v>5.56</v>
      </c>
      <c r="H171" s="34" t="n">
        <v>10.16</v>
      </c>
      <c r="I171" s="19" t="n">
        <v>4.6</v>
      </c>
      <c r="J171" s="34" t="n">
        <v>10.18</v>
      </c>
      <c r="K171" s="34" t="n">
        <v>0.00999999999999979</v>
      </c>
      <c r="L171" s="34" t="n">
        <v>0.01</v>
      </c>
      <c r="O171" s="19" t="n">
        <f aca="false">J171</f>
        <v>10.18</v>
      </c>
      <c r="P171" s="34" t="n">
        <v>5.56</v>
      </c>
      <c r="Q171" s="34" t="n">
        <v>0.02</v>
      </c>
      <c r="R171" s="34" t="n">
        <v>-0.03</v>
      </c>
      <c r="S171" s="19" t="n">
        <v>4.6</v>
      </c>
      <c r="T171" s="34" t="n">
        <v>0.00999999999999979</v>
      </c>
      <c r="U171" s="34" t="n">
        <v>0.01</v>
      </c>
      <c r="V171" s="13" t="n">
        <f aca="false">SUM(P171:U171)</f>
        <v>10.17</v>
      </c>
      <c r="W171" s="13" t="n">
        <f aca="false">O171-V171</f>
        <v>0.0100000000000016</v>
      </c>
    </row>
    <row r="172" customFormat="false" ht="15.65" hidden="false" customHeight="false" outlineLevel="0" collapsed="false">
      <c r="A172" s="12" t="n">
        <v>6</v>
      </c>
      <c r="B172" s="34" t="n">
        <v>29</v>
      </c>
      <c r="C172" s="34" t="s">
        <v>91</v>
      </c>
      <c r="D172" s="34" t="n">
        <v>6</v>
      </c>
      <c r="E172" s="34" t="n">
        <v>-0.02</v>
      </c>
      <c r="F172" s="34" t="n">
        <v>-0.43</v>
      </c>
      <c r="G172" s="34" t="n">
        <v>5.55</v>
      </c>
      <c r="H172" s="34" t="n">
        <v>10.15</v>
      </c>
      <c r="I172" s="19" t="n">
        <v>4.6</v>
      </c>
      <c r="J172" s="34" t="n">
        <v>10.22</v>
      </c>
      <c r="K172" s="34" t="n">
        <v>0.0899999999999999</v>
      </c>
      <c r="L172" s="34" t="n">
        <v>-0.023</v>
      </c>
      <c r="O172" s="19" t="n">
        <f aca="false">J172</f>
        <v>10.22</v>
      </c>
      <c r="P172" s="34" t="n">
        <v>6</v>
      </c>
      <c r="Q172" s="34" t="n">
        <v>-0.02</v>
      </c>
      <c r="R172" s="34" t="n">
        <v>-0.43</v>
      </c>
      <c r="S172" s="19" t="n">
        <v>4.6</v>
      </c>
      <c r="T172" s="34" t="n">
        <v>0.0899999999999999</v>
      </c>
      <c r="U172" s="34" t="n">
        <v>-0.023</v>
      </c>
      <c r="V172" s="13" t="n">
        <f aca="false">SUM(P172:U172)</f>
        <v>10.217</v>
      </c>
      <c r="W172" s="13" t="n">
        <f aca="false">O172-V172</f>
        <v>0.00300000000000011</v>
      </c>
    </row>
    <row r="173" customFormat="false" ht="15.65" hidden="false" customHeight="false" outlineLevel="0" collapsed="false">
      <c r="A173" s="12" t="n">
        <v>6</v>
      </c>
      <c r="B173" s="34" t="n">
        <v>30</v>
      </c>
      <c r="C173" s="34" t="s">
        <v>92</v>
      </c>
      <c r="D173" s="34" t="n">
        <v>6.03</v>
      </c>
      <c r="E173" s="34" t="n">
        <v>-0.06</v>
      </c>
      <c r="F173" s="34" t="n">
        <v>-0.5</v>
      </c>
      <c r="G173" s="34" t="n">
        <v>5.47</v>
      </c>
      <c r="H173" s="34" t="n">
        <v>10.07</v>
      </c>
      <c r="I173" s="19" t="n">
        <v>4.6</v>
      </c>
      <c r="J173" s="34" t="n">
        <v>10</v>
      </c>
      <c r="K173" s="34" t="n">
        <v>-0.0800000000000001</v>
      </c>
      <c r="L173" s="34" t="n">
        <v>0.01</v>
      </c>
      <c r="O173" s="19" t="n">
        <f aca="false">J173</f>
        <v>10</v>
      </c>
      <c r="P173" s="34" t="n">
        <v>6.03</v>
      </c>
      <c r="Q173" s="34" t="n">
        <v>-0.06</v>
      </c>
      <c r="R173" s="34" t="n">
        <v>-0.5</v>
      </c>
      <c r="S173" s="19" t="n">
        <v>4.6</v>
      </c>
      <c r="T173" s="34" t="n">
        <v>-0.0800000000000001</v>
      </c>
      <c r="U173" s="34" t="n">
        <v>0.01</v>
      </c>
      <c r="V173" s="13" t="n">
        <f aca="false">SUM(P173:U173)</f>
        <v>10</v>
      </c>
      <c r="W173" s="13" t="n">
        <f aca="false">O173-V173</f>
        <v>0</v>
      </c>
    </row>
    <row r="174" customFormat="false" ht="15.65" hidden="false" customHeight="false" outlineLevel="0" collapsed="false">
      <c r="A174" s="12" t="n">
        <v>6</v>
      </c>
      <c r="B174" s="34" t="n">
        <v>31</v>
      </c>
      <c r="C174" s="34" t="s">
        <v>93</v>
      </c>
      <c r="D174" s="34" t="n">
        <v>6.04</v>
      </c>
      <c r="E174" s="34" t="n">
        <v>-0.16</v>
      </c>
      <c r="F174" s="34" t="n">
        <v>-0.67</v>
      </c>
      <c r="G174" s="34" t="n">
        <v>5.21</v>
      </c>
      <c r="H174" s="34" t="n">
        <v>9.81</v>
      </c>
      <c r="I174" s="19" t="n">
        <v>4.6</v>
      </c>
      <c r="J174" s="34" t="n">
        <v>9.68</v>
      </c>
      <c r="K174" s="34" t="n">
        <v>-0.140000000000001</v>
      </c>
      <c r="L174" s="34" t="n">
        <v>0.01</v>
      </c>
      <c r="O174" s="19" t="n">
        <f aca="false">J174</f>
        <v>9.68</v>
      </c>
      <c r="P174" s="34" t="n">
        <v>6.04</v>
      </c>
      <c r="Q174" s="34" t="n">
        <v>-0.16</v>
      </c>
      <c r="R174" s="34" t="n">
        <v>-0.67</v>
      </c>
      <c r="S174" s="19" t="n">
        <v>4.6</v>
      </c>
      <c r="T174" s="34" t="n">
        <v>-0.140000000000001</v>
      </c>
      <c r="U174" s="34" t="n">
        <v>0.01</v>
      </c>
      <c r="V174" s="13" t="n">
        <f aca="false">SUM(P174:U174)</f>
        <v>9.68</v>
      </c>
      <c r="W174" s="13" t="n">
        <f aca="false">O174-V174</f>
        <v>0</v>
      </c>
    </row>
    <row r="175" customFormat="false" ht="15.65" hidden="false" customHeight="false" outlineLevel="0" collapsed="false">
      <c r="A175" s="12" t="n">
        <v>6</v>
      </c>
      <c r="B175" s="34" t="n">
        <v>32</v>
      </c>
      <c r="C175" s="34" t="s">
        <v>94</v>
      </c>
      <c r="D175" s="34" t="n">
        <v>6.36</v>
      </c>
      <c r="E175" s="34" t="n">
        <v>-0.29</v>
      </c>
      <c r="F175" s="34" t="n">
        <v>-0.55</v>
      </c>
      <c r="G175" s="34" t="n">
        <v>5.53</v>
      </c>
      <c r="H175" s="34" t="n">
        <v>10.13</v>
      </c>
      <c r="I175" s="19" t="n">
        <v>4.6</v>
      </c>
      <c r="J175" s="34" t="n">
        <v>9.92</v>
      </c>
      <c r="K175" s="34" t="n">
        <v>-0.130000000000001</v>
      </c>
      <c r="L175" s="34" t="n">
        <v>-0.08</v>
      </c>
      <c r="O175" s="19" t="n">
        <f aca="false">J175</f>
        <v>9.92</v>
      </c>
      <c r="P175" s="34" t="n">
        <v>6.36</v>
      </c>
      <c r="Q175" s="34" t="n">
        <v>-0.29</v>
      </c>
      <c r="R175" s="34" t="n">
        <v>-0.55</v>
      </c>
      <c r="S175" s="19" t="n">
        <v>4.6</v>
      </c>
      <c r="T175" s="34" t="n">
        <v>-0.130000000000001</v>
      </c>
      <c r="U175" s="34" t="n">
        <v>-0.08</v>
      </c>
      <c r="V175" s="13" t="n">
        <f aca="false">SUM(P175:U175)</f>
        <v>9.91</v>
      </c>
      <c r="W175" s="13" t="n">
        <f aca="false">O175-V175</f>
        <v>0.0100000000000016</v>
      </c>
    </row>
    <row r="176" customFormat="false" ht="15.65" hidden="false" customHeight="false" outlineLevel="0" collapsed="false">
      <c r="A176" s="12" t="n">
        <v>6</v>
      </c>
      <c r="B176" s="34" t="n">
        <v>33</v>
      </c>
      <c r="C176" s="34" t="s">
        <v>95</v>
      </c>
      <c r="D176" s="34" t="n">
        <v>5.65</v>
      </c>
      <c r="E176" s="34" t="n">
        <v>0.06</v>
      </c>
      <c r="F176" s="34" t="n">
        <v>-0.2</v>
      </c>
      <c r="G176" s="34" t="n">
        <v>5.52</v>
      </c>
      <c r="H176" s="34" t="n">
        <v>10.12</v>
      </c>
      <c r="I176" s="19" t="n">
        <v>4.6</v>
      </c>
      <c r="J176" s="34" t="n">
        <v>10.02</v>
      </c>
      <c r="K176" s="34" t="n">
        <v>-0.109999999999999</v>
      </c>
      <c r="L176" s="34" t="n">
        <v>0.01</v>
      </c>
      <c r="O176" s="19" t="n">
        <f aca="false">J176</f>
        <v>10.02</v>
      </c>
      <c r="P176" s="34" t="n">
        <v>5.65</v>
      </c>
      <c r="Q176" s="34" t="n">
        <v>0.06</v>
      </c>
      <c r="R176" s="34" t="n">
        <v>-0.2</v>
      </c>
      <c r="S176" s="19" t="n">
        <v>4.6</v>
      </c>
      <c r="T176" s="34" t="n">
        <v>-0.109999999999999</v>
      </c>
      <c r="U176" s="34" t="n">
        <v>0.01</v>
      </c>
      <c r="V176" s="13" t="n">
        <f aca="false">SUM(P176:U176)</f>
        <v>10.01</v>
      </c>
      <c r="W176" s="13" t="n">
        <f aca="false">O176-V176</f>
        <v>0.00999999999999801</v>
      </c>
    </row>
    <row r="177" customFormat="false" ht="15.65" hidden="false" customHeight="false" outlineLevel="0" collapsed="false">
      <c r="A177" s="12" t="n">
        <v>6</v>
      </c>
      <c r="B177" s="34" t="n">
        <v>34</v>
      </c>
      <c r="C177" s="34" t="s">
        <v>97</v>
      </c>
      <c r="D177" s="34" t="n">
        <v>5.5</v>
      </c>
      <c r="E177" s="34" t="n">
        <v>0.04</v>
      </c>
      <c r="F177" s="34" t="n">
        <v>-0.15</v>
      </c>
      <c r="G177" s="34" t="n">
        <v>5.4</v>
      </c>
      <c r="H177" s="34" t="n">
        <v>10</v>
      </c>
      <c r="I177" s="19" t="n">
        <v>4.6</v>
      </c>
      <c r="J177" s="34" t="n">
        <v>9.95</v>
      </c>
      <c r="K177" s="34" t="n">
        <v>-0.0600000000000005</v>
      </c>
      <c r="L177" s="34" t="n">
        <v>0.01</v>
      </c>
      <c r="O177" s="19" t="n">
        <f aca="false">J177</f>
        <v>9.95</v>
      </c>
      <c r="P177" s="34" t="n">
        <v>5.5</v>
      </c>
      <c r="Q177" s="34" t="n">
        <v>0.04</v>
      </c>
      <c r="R177" s="34" t="n">
        <v>-0.15</v>
      </c>
      <c r="S177" s="19" t="n">
        <v>4.6</v>
      </c>
      <c r="T177" s="34" t="n">
        <v>-0.0600000000000005</v>
      </c>
      <c r="U177" s="34" t="n">
        <v>0.01</v>
      </c>
      <c r="V177" s="13" t="n">
        <f aca="false">SUM(P177:U177)</f>
        <v>9.94</v>
      </c>
      <c r="W177" s="13" t="n">
        <f aca="false">O177-V177</f>
        <v>0.00999999999999979</v>
      </c>
    </row>
    <row r="178" customFormat="false" ht="15.65" hidden="false" customHeight="false" outlineLevel="0" collapsed="false">
      <c r="A178" s="12" t="n">
        <v>6</v>
      </c>
      <c r="B178" s="34" t="n">
        <v>35</v>
      </c>
      <c r="C178" s="34" t="s">
        <v>98</v>
      </c>
      <c r="D178" s="34" t="n">
        <v>5.87</v>
      </c>
      <c r="E178" s="34" t="n">
        <v>-0.17</v>
      </c>
      <c r="F178" s="34" t="n">
        <v>-0.11</v>
      </c>
      <c r="G178" s="34" t="n">
        <v>5.59</v>
      </c>
      <c r="H178" s="34" t="n">
        <v>10.19</v>
      </c>
      <c r="I178" s="19" t="n">
        <v>4.6</v>
      </c>
      <c r="J178" s="34" t="n">
        <v>10.2</v>
      </c>
      <c r="K178" s="34" t="n">
        <v>0</v>
      </c>
      <c r="L178" s="34" t="n">
        <v>0.01</v>
      </c>
      <c r="O178" s="19" t="n">
        <f aca="false">J178</f>
        <v>10.2</v>
      </c>
      <c r="P178" s="34" t="n">
        <v>5.87</v>
      </c>
      <c r="Q178" s="34" t="n">
        <v>-0.17</v>
      </c>
      <c r="R178" s="34" t="n">
        <v>-0.11</v>
      </c>
      <c r="S178" s="19" t="n">
        <v>4.6</v>
      </c>
      <c r="T178" s="34" t="n">
        <v>0</v>
      </c>
      <c r="U178" s="34" t="n">
        <v>0.01</v>
      </c>
      <c r="V178" s="13" t="n">
        <f aca="false">SUM(P178:U178)</f>
        <v>10.2</v>
      </c>
      <c r="W178" s="13" t="n">
        <f aca="false">O178-V178</f>
        <v>0</v>
      </c>
    </row>
    <row r="179" customFormat="false" ht="15.65" hidden="false" customHeight="false" outlineLevel="0" collapsed="false">
      <c r="A179" s="12" t="n">
        <v>6</v>
      </c>
      <c r="B179" s="34" t="n">
        <v>36</v>
      </c>
      <c r="C179" s="34" t="s">
        <v>99</v>
      </c>
      <c r="D179" s="34" t="n">
        <v>6.16</v>
      </c>
      <c r="E179" s="34" t="n">
        <v>-0.11</v>
      </c>
      <c r="F179" s="34" t="n">
        <v>-0.36</v>
      </c>
      <c r="G179" s="34" t="n">
        <v>5.69</v>
      </c>
      <c r="H179" s="34" t="n">
        <v>10.29</v>
      </c>
      <c r="I179" s="19" t="n">
        <v>4.6</v>
      </c>
      <c r="J179" s="34" t="n">
        <v>10.19</v>
      </c>
      <c r="K179" s="34" t="n">
        <v>-0.109999999999999</v>
      </c>
      <c r="L179" s="34" t="n">
        <v>0.01</v>
      </c>
      <c r="O179" s="19" t="n">
        <f aca="false">J179</f>
        <v>10.19</v>
      </c>
      <c r="P179" s="34" t="n">
        <v>6.16</v>
      </c>
      <c r="Q179" s="34" t="n">
        <v>-0.11</v>
      </c>
      <c r="R179" s="34" t="n">
        <v>-0.36</v>
      </c>
      <c r="S179" s="19" t="n">
        <v>4.6</v>
      </c>
      <c r="T179" s="34" t="n">
        <v>-0.109999999999999</v>
      </c>
      <c r="U179" s="34" t="n">
        <v>0.01</v>
      </c>
      <c r="V179" s="13" t="n">
        <f aca="false">SUM(P179:U179)</f>
        <v>10.19</v>
      </c>
      <c r="W179" s="13" t="n">
        <f aca="false">O179-V179</f>
        <v>0</v>
      </c>
    </row>
    <row r="180" customFormat="false" ht="15.65" hidden="false" customHeight="false" outlineLevel="0" collapsed="false">
      <c r="A180" s="12" t="n">
        <v>6</v>
      </c>
      <c r="B180" s="34" t="n">
        <v>37</v>
      </c>
      <c r="C180" s="34" t="s">
        <v>100</v>
      </c>
      <c r="D180" s="34" t="n">
        <v>6.16</v>
      </c>
      <c r="E180" s="34" t="n">
        <v>-0.06</v>
      </c>
      <c r="F180" s="34" t="n">
        <v>-0.36</v>
      </c>
      <c r="G180" s="34" t="n">
        <v>5.74</v>
      </c>
      <c r="H180" s="34" t="n">
        <v>10.34</v>
      </c>
      <c r="I180" s="19" t="n">
        <v>4.6</v>
      </c>
      <c r="J180" s="34" t="n">
        <v>10.33</v>
      </c>
      <c r="K180" s="34" t="n">
        <v>-0.0199999999999996</v>
      </c>
      <c r="L180" s="34" t="n">
        <v>0.01</v>
      </c>
      <c r="O180" s="19" t="n">
        <f aca="false">J180</f>
        <v>10.33</v>
      </c>
      <c r="P180" s="34" t="n">
        <v>6.16</v>
      </c>
      <c r="Q180" s="34" t="n">
        <v>-0.06</v>
      </c>
      <c r="R180" s="34" t="n">
        <v>-0.36</v>
      </c>
      <c r="S180" s="19" t="n">
        <v>4.6</v>
      </c>
      <c r="T180" s="34" t="n">
        <v>-0.0199999999999996</v>
      </c>
      <c r="U180" s="34" t="n">
        <v>0.01</v>
      </c>
      <c r="V180" s="13" t="n">
        <f aca="false">SUM(P180:U180)</f>
        <v>10.33</v>
      </c>
      <c r="W180" s="13" t="n">
        <f aca="false">O180-V180</f>
        <v>0</v>
      </c>
    </row>
    <row r="181" customFormat="false" ht="15.65" hidden="false" customHeight="false" outlineLevel="0" collapsed="false">
      <c r="A181" s="12" t="n">
        <v>6</v>
      </c>
      <c r="B181" s="34" t="n">
        <v>38</v>
      </c>
      <c r="C181" s="34" t="s">
        <v>101</v>
      </c>
      <c r="D181" s="34" t="n">
        <v>5.97</v>
      </c>
      <c r="E181" s="34" t="n">
        <v>0</v>
      </c>
      <c r="F181" s="34" t="n">
        <v>-0.47</v>
      </c>
      <c r="G181" s="34" t="n">
        <v>5.5</v>
      </c>
      <c r="H181" s="34" t="n">
        <v>10.1</v>
      </c>
      <c r="I181" s="19" t="n">
        <v>4.6</v>
      </c>
      <c r="J181" s="34" t="n">
        <v>10.03</v>
      </c>
      <c r="K181" s="34" t="n">
        <v>-0.0800000000000001</v>
      </c>
      <c r="L181" s="34" t="n">
        <v>0.01</v>
      </c>
      <c r="O181" s="19" t="n">
        <f aca="false">J181</f>
        <v>10.03</v>
      </c>
      <c r="P181" s="34" t="n">
        <v>5.97</v>
      </c>
      <c r="Q181" s="34" t="n">
        <v>0</v>
      </c>
      <c r="R181" s="34" t="n">
        <v>-0.47</v>
      </c>
      <c r="S181" s="19" t="n">
        <v>4.6</v>
      </c>
      <c r="T181" s="34" t="n">
        <v>-0.0800000000000001</v>
      </c>
      <c r="U181" s="34" t="n">
        <v>0.01</v>
      </c>
      <c r="V181" s="13" t="n">
        <f aca="false">SUM(P181:U181)</f>
        <v>10.03</v>
      </c>
      <c r="W181" s="13" t="n">
        <f aca="false">O181-V181</f>
        <v>0</v>
      </c>
    </row>
    <row r="182" customFormat="false" ht="15.65" hidden="false" customHeight="false" outlineLevel="0" collapsed="false">
      <c r="A182" s="12" t="n">
        <v>6</v>
      </c>
      <c r="B182" s="34" t="n">
        <v>39</v>
      </c>
      <c r="C182" s="34" t="s">
        <v>102</v>
      </c>
      <c r="D182" s="34" t="n">
        <v>6.04</v>
      </c>
      <c r="E182" s="34" t="n">
        <v>-0.16</v>
      </c>
      <c r="F182" s="34" t="n">
        <v>-0.4</v>
      </c>
      <c r="G182" s="34" t="n">
        <v>5.48</v>
      </c>
      <c r="H182" s="34" t="n">
        <v>10.08</v>
      </c>
      <c r="I182" s="19" t="n">
        <v>4.6</v>
      </c>
      <c r="J182" s="34" t="n">
        <v>9.89</v>
      </c>
      <c r="K182" s="34" t="n">
        <v>-0.199999999999999</v>
      </c>
      <c r="L182" s="34" t="n">
        <v>0.01</v>
      </c>
      <c r="O182" s="19" t="n">
        <f aca="false">J182</f>
        <v>9.89</v>
      </c>
      <c r="P182" s="34" t="n">
        <v>6.04</v>
      </c>
      <c r="Q182" s="34" t="n">
        <v>-0.16</v>
      </c>
      <c r="R182" s="34" t="n">
        <v>-0.4</v>
      </c>
      <c r="S182" s="19" t="n">
        <v>4.6</v>
      </c>
      <c r="T182" s="34" t="n">
        <v>-0.199999999999999</v>
      </c>
      <c r="U182" s="34" t="n">
        <v>0.01</v>
      </c>
      <c r="V182" s="13" t="n">
        <f aca="false">SUM(P182:U182)</f>
        <v>9.89</v>
      </c>
      <c r="W182" s="13" t="n">
        <f aca="false">O182-V182</f>
        <v>0</v>
      </c>
    </row>
    <row r="183" customFormat="false" ht="15.65" hidden="false" customHeight="false" outlineLevel="0" collapsed="false">
      <c r="A183" s="12" t="n">
        <v>6</v>
      </c>
      <c r="B183" s="34" t="n">
        <v>40</v>
      </c>
      <c r="C183" s="34" t="s">
        <v>103</v>
      </c>
      <c r="D183" s="34" t="n">
        <v>5.99</v>
      </c>
      <c r="E183" s="34" t="n">
        <v>0.04</v>
      </c>
      <c r="F183" s="34" t="n">
        <v>-0.3</v>
      </c>
      <c r="G183" s="34" t="n">
        <v>5.73</v>
      </c>
      <c r="H183" s="34" t="n">
        <v>10.33</v>
      </c>
      <c r="I183" s="19" t="n">
        <v>4.6</v>
      </c>
      <c r="J183" s="34" t="n">
        <v>10.35</v>
      </c>
      <c r="K183" s="34" t="n">
        <v>0.0600000000000005</v>
      </c>
      <c r="L183" s="34" t="n">
        <v>-0.045</v>
      </c>
      <c r="O183" s="19" t="n">
        <f aca="false">J183</f>
        <v>10.35</v>
      </c>
      <c r="P183" s="34" t="n">
        <v>5.99</v>
      </c>
      <c r="Q183" s="34" t="n">
        <v>0.04</v>
      </c>
      <c r="R183" s="34" t="n">
        <v>-0.3</v>
      </c>
      <c r="S183" s="19" t="n">
        <v>4.6</v>
      </c>
      <c r="T183" s="34" t="n">
        <v>0.0600000000000005</v>
      </c>
      <c r="U183" s="34" t="n">
        <v>-0.045</v>
      </c>
      <c r="V183" s="13" t="n">
        <f aca="false">SUM(P183:U183)</f>
        <v>10.345</v>
      </c>
      <c r="W183" s="13" t="n">
        <f aca="false">O183-V183</f>
        <v>0.00499999999999901</v>
      </c>
    </row>
    <row r="184" customFormat="false" ht="15.65" hidden="false" customHeight="false" outlineLevel="0" collapsed="false">
      <c r="A184" s="12" t="n">
        <v>6</v>
      </c>
      <c r="B184" s="34" t="n">
        <v>41</v>
      </c>
      <c r="C184" s="34" t="s">
        <v>104</v>
      </c>
      <c r="D184" s="34" t="n">
        <v>7.07</v>
      </c>
      <c r="E184" s="34" t="n">
        <v>-0.2</v>
      </c>
      <c r="F184" s="34" t="n">
        <v>-0.71</v>
      </c>
      <c r="G184" s="34" t="n">
        <v>6.17</v>
      </c>
      <c r="H184" s="34" t="n">
        <v>10.77</v>
      </c>
      <c r="I184" s="19" t="n">
        <v>4.6</v>
      </c>
      <c r="J184" s="34" t="n">
        <v>10.42</v>
      </c>
      <c r="K184" s="34" t="n">
        <v>-0.16</v>
      </c>
      <c r="L184" s="34" t="n">
        <v>-0.187</v>
      </c>
      <c r="O184" s="19" t="n">
        <f aca="false">J184</f>
        <v>10.42</v>
      </c>
      <c r="P184" s="34" t="n">
        <v>7.07</v>
      </c>
      <c r="Q184" s="34" t="n">
        <v>-0.2</v>
      </c>
      <c r="R184" s="34" t="n">
        <v>-0.71</v>
      </c>
      <c r="S184" s="19" t="n">
        <v>4.6</v>
      </c>
      <c r="T184" s="34" t="n">
        <v>-0.16</v>
      </c>
      <c r="U184" s="34" t="n">
        <v>-0.187</v>
      </c>
      <c r="V184" s="13" t="n">
        <f aca="false">SUM(P184:U184)</f>
        <v>10.413</v>
      </c>
      <c r="W184" s="13" t="n">
        <f aca="false">O184-V184</f>
        <v>0.00699999999999967</v>
      </c>
    </row>
    <row r="185" customFormat="false" ht="15.65" hidden="false" customHeight="false" outlineLevel="0" collapsed="false">
      <c r="A185" s="12" t="n">
        <v>6</v>
      </c>
      <c r="B185" s="34" t="n">
        <v>42</v>
      </c>
      <c r="C185" s="34" t="s">
        <v>105</v>
      </c>
      <c r="D185" s="34" t="n">
        <v>6.71</v>
      </c>
      <c r="E185" s="34" t="n">
        <v>-0.24</v>
      </c>
      <c r="F185" s="34" t="n">
        <v>-0.79</v>
      </c>
      <c r="G185" s="34" t="n">
        <v>5.67</v>
      </c>
      <c r="H185" s="34" t="n">
        <v>10.27</v>
      </c>
      <c r="I185" s="19" t="n">
        <v>4.6</v>
      </c>
      <c r="J185" s="34" t="n">
        <v>10.17</v>
      </c>
      <c r="K185" s="34" t="n">
        <v>-0.0999999999999996</v>
      </c>
      <c r="L185" s="34" t="n">
        <v>0</v>
      </c>
      <c r="O185" s="19" t="n">
        <f aca="false">J185</f>
        <v>10.17</v>
      </c>
      <c r="P185" s="34" t="n">
        <v>6.71</v>
      </c>
      <c r="Q185" s="34" t="n">
        <v>-0.24</v>
      </c>
      <c r="R185" s="34" t="n">
        <v>-0.79</v>
      </c>
      <c r="S185" s="19" t="n">
        <v>4.6</v>
      </c>
      <c r="T185" s="34" t="n">
        <v>-0.0999999999999996</v>
      </c>
      <c r="U185" s="34" t="n">
        <v>0</v>
      </c>
      <c r="V185" s="13" t="n">
        <f aca="false">SUM(P185:U185)</f>
        <v>10.18</v>
      </c>
      <c r="W185" s="13" t="n">
        <f aca="false">O185-V185</f>
        <v>-0.00999999999999979</v>
      </c>
    </row>
    <row r="186" customFormat="false" ht="15.65" hidden="false" customHeight="false" outlineLevel="0" collapsed="false">
      <c r="A186" s="12" t="n">
        <v>6</v>
      </c>
      <c r="B186" s="34" t="n">
        <v>43</v>
      </c>
      <c r="C186" s="34" t="s">
        <v>106</v>
      </c>
      <c r="D186" s="34" t="n">
        <v>6.46</v>
      </c>
      <c r="E186" s="34" t="n">
        <v>-0.1</v>
      </c>
      <c r="F186" s="34" t="n">
        <v>-0.61</v>
      </c>
      <c r="G186" s="34" t="n">
        <v>5.75</v>
      </c>
      <c r="H186" s="34" t="n">
        <v>10.35</v>
      </c>
      <c r="I186" s="19" t="n">
        <v>4.6</v>
      </c>
      <c r="J186" s="34" t="n">
        <v>10.3</v>
      </c>
      <c r="K186" s="34" t="n">
        <v>-0.0499999999999989</v>
      </c>
      <c r="L186" s="34" t="n">
        <v>0.002</v>
      </c>
      <c r="O186" s="19" t="n">
        <f aca="false">J186</f>
        <v>10.3</v>
      </c>
      <c r="P186" s="34" t="n">
        <v>6.46</v>
      </c>
      <c r="Q186" s="34" t="n">
        <v>-0.1</v>
      </c>
      <c r="R186" s="34" t="n">
        <v>-0.61</v>
      </c>
      <c r="S186" s="19" t="n">
        <v>4.6</v>
      </c>
      <c r="T186" s="34" t="n">
        <v>-0.0499999999999989</v>
      </c>
      <c r="U186" s="34" t="n">
        <v>0.002</v>
      </c>
      <c r="V186" s="13" t="n">
        <f aca="false">SUM(P186:U186)</f>
        <v>10.302</v>
      </c>
      <c r="W186" s="13" t="n">
        <f aca="false">O186-V186</f>
        <v>-0.00200000000000067</v>
      </c>
    </row>
    <row r="187" customFormat="false" ht="15.65" hidden="false" customHeight="false" outlineLevel="0" collapsed="false">
      <c r="A187" s="12" t="n">
        <v>6</v>
      </c>
      <c r="B187" s="34" t="n">
        <v>44</v>
      </c>
      <c r="C187" s="34" t="s">
        <v>107</v>
      </c>
      <c r="D187" s="34" t="n">
        <v>6.54</v>
      </c>
      <c r="E187" s="34" t="n">
        <v>-0.22</v>
      </c>
      <c r="F187" s="34" t="n">
        <v>-0.6</v>
      </c>
      <c r="G187" s="34" t="n">
        <v>5.72</v>
      </c>
      <c r="H187" s="34" t="n">
        <v>10.32</v>
      </c>
      <c r="I187" s="19" t="n">
        <v>4.6</v>
      </c>
      <c r="J187" s="34" t="n">
        <v>10.25</v>
      </c>
      <c r="K187" s="34" t="n">
        <v>-0.0800000000000001</v>
      </c>
      <c r="L187" s="34" t="n">
        <v>0.01</v>
      </c>
      <c r="O187" s="19" t="n">
        <f aca="false">J187</f>
        <v>10.25</v>
      </c>
      <c r="P187" s="34" t="n">
        <v>6.54</v>
      </c>
      <c r="Q187" s="34" t="n">
        <v>-0.22</v>
      </c>
      <c r="R187" s="34" t="n">
        <v>-0.6</v>
      </c>
      <c r="S187" s="19" t="n">
        <v>4.6</v>
      </c>
      <c r="T187" s="34" t="n">
        <v>-0.0800000000000001</v>
      </c>
      <c r="U187" s="34" t="n">
        <v>0.01</v>
      </c>
      <c r="V187" s="13" t="n">
        <f aca="false">SUM(P187:U187)</f>
        <v>10.25</v>
      </c>
      <c r="W187" s="13" t="n">
        <f aca="false">O187-V187</f>
        <v>0</v>
      </c>
    </row>
    <row r="188" customFormat="false" ht="15.65" hidden="false" customHeight="false" outlineLevel="0" collapsed="false">
      <c r="A188" s="12" t="n">
        <v>6</v>
      </c>
      <c r="B188" s="34" t="n">
        <v>45</v>
      </c>
      <c r="C188" s="34" t="s">
        <v>108</v>
      </c>
      <c r="D188" s="34" t="n">
        <v>6.24</v>
      </c>
      <c r="E188" s="34" t="n">
        <v>-0.12</v>
      </c>
      <c r="F188" s="34" t="n">
        <v>-0.76</v>
      </c>
      <c r="G188" s="34" t="n">
        <v>5.36</v>
      </c>
      <c r="H188" s="34" t="n">
        <v>9.96</v>
      </c>
      <c r="I188" s="19" t="n">
        <v>4.6</v>
      </c>
      <c r="J188" s="34" t="n">
        <v>9.85</v>
      </c>
      <c r="K188" s="34" t="n">
        <v>-0.0800000000000001</v>
      </c>
      <c r="L188" s="34" t="n">
        <v>-0.028</v>
      </c>
      <c r="O188" s="19" t="n">
        <f aca="false">J188</f>
        <v>9.85</v>
      </c>
      <c r="P188" s="34" t="n">
        <v>6.24</v>
      </c>
      <c r="Q188" s="34" t="n">
        <v>-0.12</v>
      </c>
      <c r="R188" s="34" t="n">
        <v>-0.76</v>
      </c>
      <c r="S188" s="19" t="n">
        <v>4.6</v>
      </c>
      <c r="T188" s="34" t="n">
        <v>-0.0800000000000001</v>
      </c>
      <c r="U188" s="34" t="n">
        <v>-0.028</v>
      </c>
      <c r="V188" s="13" t="n">
        <f aca="false">SUM(P188:U188)</f>
        <v>9.852</v>
      </c>
      <c r="W188" s="13" t="n">
        <f aca="false">O188-V188</f>
        <v>-0.00199999999999889</v>
      </c>
    </row>
    <row r="189" customFormat="false" ht="15.65" hidden="false" customHeight="false" outlineLevel="0" collapsed="false">
      <c r="A189" s="12" t="n">
        <v>6</v>
      </c>
      <c r="B189" s="34" t="n">
        <v>46</v>
      </c>
      <c r="C189" s="34" t="s">
        <v>109</v>
      </c>
      <c r="D189" s="34" t="n">
        <v>6.7</v>
      </c>
      <c r="E189" s="34" t="n">
        <v>-0.09</v>
      </c>
      <c r="F189" s="34" t="n">
        <v>-0.9</v>
      </c>
      <c r="G189" s="34" t="n">
        <v>5.71</v>
      </c>
      <c r="H189" s="34" t="n">
        <v>10.31</v>
      </c>
      <c r="I189" s="19" t="n">
        <v>4.6</v>
      </c>
      <c r="J189" s="34" t="n">
        <v>10.13</v>
      </c>
      <c r="K189" s="34" t="n">
        <v>-0.130000000000001</v>
      </c>
      <c r="L189" s="34" t="n">
        <v>-0.052</v>
      </c>
      <c r="O189" s="19" t="n">
        <f aca="false">J189</f>
        <v>10.13</v>
      </c>
      <c r="P189" s="34" t="n">
        <v>6.7</v>
      </c>
      <c r="Q189" s="34" t="n">
        <v>-0.09</v>
      </c>
      <c r="R189" s="34" t="n">
        <v>-0.9</v>
      </c>
      <c r="S189" s="19" t="n">
        <v>4.6</v>
      </c>
      <c r="T189" s="34" t="n">
        <v>-0.130000000000001</v>
      </c>
      <c r="U189" s="34" t="n">
        <v>-0.052</v>
      </c>
      <c r="V189" s="13" t="n">
        <f aca="false">SUM(P189:U189)</f>
        <v>10.128</v>
      </c>
      <c r="W189" s="13" t="n">
        <f aca="false">O189-V189</f>
        <v>0.00200000000000244</v>
      </c>
    </row>
    <row r="190" customFormat="false" ht="15.65" hidden="false" customHeight="false" outlineLevel="0" collapsed="false">
      <c r="A190" s="12" t="n">
        <v>6</v>
      </c>
      <c r="B190" s="34" t="n">
        <v>47</v>
      </c>
      <c r="C190" s="34" t="s">
        <v>110</v>
      </c>
      <c r="D190" s="34" t="n">
        <v>6.59</v>
      </c>
      <c r="E190" s="34" t="n">
        <v>0.17</v>
      </c>
      <c r="F190" s="34" t="n">
        <v>-1.58</v>
      </c>
      <c r="G190" s="34" t="n">
        <v>5.18</v>
      </c>
      <c r="H190" s="34" t="n">
        <v>9.78</v>
      </c>
      <c r="I190" s="19" t="n">
        <v>4.6</v>
      </c>
      <c r="J190" s="34" t="n">
        <v>9.52</v>
      </c>
      <c r="K190" s="34" t="n">
        <v>-0.27</v>
      </c>
      <c r="L190" s="34" t="n">
        <v>0.01</v>
      </c>
      <c r="O190" s="19" t="n">
        <f aca="false">J190</f>
        <v>9.52</v>
      </c>
      <c r="P190" s="34" t="n">
        <v>6.59</v>
      </c>
      <c r="Q190" s="34" t="n">
        <v>0.17</v>
      </c>
      <c r="R190" s="34" t="n">
        <v>-1.58</v>
      </c>
      <c r="S190" s="19" t="n">
        <v>4.6</v>
      </c>
      <c r="T190" s="34" t="n">
        <v>-0.27</v>
      </c>
      <c r="U190" s="34" t="n">
        <v>0.01</v>
      </c>
      <c r="V190" s="13" t="n">
        <f aca="false">SUM(P190:U190)</f>
        <v>9.52</v>
      </c>
      <c r="W190" s="13" t="n">
        <f aca="false">O190-V190</f>
        <v>0</v>
      </c>
    </row>
    <row r="191" customFormat="false" ht="15.65" hidden="false" customHeight="false" outlineLevel="0" collapsed="false">
      <c r="A191" s="12" t="n">
        <v>7</v>
      </c>
      <c r="B191" s="34" t="n">
        <v>1</v>
      </c>
      <c r="C191" s="34" t="s">
        <v>42</v>
      </c>
      <c r="D191" s="34" t="n">
        <v>6.21</v>
      </c>
      <c r="E191" s="34" t="n">
        <v>-0.33</v>
      </c>
      <c r="F191" s="34" t="n">
        <v>-0.22</v>
      </c>
      <c r="G191" s="34" t="n">
        <v>5.67</v>
      </c>
      <c r="H191" s="34" t="n">
        <v>10.32</v>
      </c>
      <c r="I191" s="19" t="n">
        <v>4.65</v>
      </c>
      <c r="J191" s="34" t="n">
        <v>10.31</v>
      </c>
      <c r="K191" s="34" t="n">
        <v>-0.0199999999999996</v>
      </c>
      <c r="L191" s="34" t="n">
        <v>0.01</v>
      </c>
      <c r="O191" s="19" t="n">
        <f aca="false">J191</f>
        <v>10.31</v>
      </c>
      <c r="P191" s="34" t="n">
        <v>6.21</v>
      </c>
      <c r="Q191" s="34" t="n">
        <v>-0.33</v>
      </c>
      <c r="R191" s="34" t="n">
        <v>-0.22</v>
      </c>
      <c r="S191" s="19" t="n">
        <v>4.65</v>
      </c>
      <c r="T191" s="34" t="n">
        <v>-0.0199999999999996</v>
      </c>
      <c r="U191" s="34" t="n">
        <v>0.01</v>
      </c>
      <c r="V191" s="13" t="n">
        <f aca="false">SUM(P191:U191)</f>
        <v>10.3</v>
      </c>
      <c r="W191" s="13" t="n">
        <f aca="false">O191-V191</f>
        <v>0.00999999999999979</v>
      </c>
    </row>
    <row r="192" customFormat="false" ht="15.65" hidden="false" customHeight="false" outlineLevel="0" collapsed="false">
      <c r="A192" s="12" t="n">
        <v>7</v>
      </c>
      <c r="B192" s="34" t="n">
        <v>2</v>
      </c>
      <c r="C192" s="34" t="s">
        <v>45</v>
      </c>
      <c r="D192" s="34" t="n">
        <v>6.35</v>
      </c>
      <c r="E192" s="34" t="n">
        <v>-0.37</v>
      </c>
      <c r="F192" s="34" t="n">
        <v>-0.79</v>
      </c>
      <c r="G192" s="34" t="n">
        <v>5.19</v>
      </c>
      <c r="H192" s="34" t="n">
        <v>9.85</v>
      </c>
      <c r="I192" s="19" t="n">
        <v>4.65</v>
      </c>
      <c r="J192" s="34" t="n">
        <v>9.85</v>
      </c>
      <c r="K192" s="34" t="n">
        <v>-0.00999999999999979</v>
      </c>
      <c r="L192" s="34" t="n">
        <v>0.007</v>
      </c>
      <c r="O192" s="19" t="n">
        <f aca="false">J192</f>
        <v>9.85</v>
      </c>
      <c r="P192" s="34" t="n">
        <v>6.35</v>
      </c>
      <c r="Q192" s="34" t="n">
        <v>-0.37</v>
      </c>
      <c r="R192" s="34" t="n">
        <v>-0.79</v>
      </c>
      <c r="S192" s="19" t="n">
        <v>4.65</v>
      </c>
      <c r="T192" s="34" t="n">
        <v>-0.00999999999999979</v>
      </c>
      <c r="U192" s="34" t="n">
        <v>0.007</v>
      </c>
      <c r="V192" s="13" t="n">
        <f aca="false">SUM(P192:U192)</f>
        <v>9.837</v>
      </c>
      <c r="W192" s="13" t="n">
        <f aca="false">O192-V192</f>
        <v>0.0129999999999999</v>
      </c>
    </row>
    <row r="193" customFormat="false" ht="15.65" hidden="false" customHeight="false" outlineLevel="0" collapsed="false">
      <c r="A193" s="12" t="n">
        <v>7</v>
      </c>
      <c r="B193" s="34" t="n">
        <v>3</v>
      </c>
      <c r="C193" s="34" t="s">
        <v>46</v>
      </c>
      <c r="D193" s="34" t="n">
        <v>5.99</v>
      </c>
      <c r="E193" s="34" t="n">
        <v>-0.35</v>
      </c>
      <c r="F193" s="34" t="n">
        <v>-0.62</v>
      </c>
      <c r="G193" s="34" t="n">
        <v>5.02</v>
      </c>
      <c r="H193" s="34" t="n">
        <v>9.68</v>
      </c>
      <c r="I193" s="19" t="n">
        <v>4.65</v>
      </c>
      <c r="J193" s="34" t="n">
        <v>9.62</v>
      </c>
      <c r="K193" s="34" t="n">
        <v>-0.0700000000000003</v>
      </c>
      <c r="L193" s="34" t="n">
        <v>0.01</v>
      </c>
      <c r="O193" s="19" t="n">
        <f aca="false">J193</f>
        <v>9.62</v>
      </c>
      <c r="P193" s="34" t="n">
        <v>5.99</v>
      </c>
      <c r="Q193" s="34" t="n">
        <v>-0.35</v>
      </c>
      <c r="R193" s="34" t="n">
        <v>-0.62</v>
      </c>
      <c r="S193" s="19" t="n">
        <v>4.65</v>
      </c>
      <c r="T193" s="34" t="n">
        <v>-0.0700000000000003</v>
      </c>
      <c r="U193" s="34" t="n">
        <v>0.01</v>
      </c>
      <c r="V193" s="13" t="n">
        <f aca="false">SUM(P193:U193)</f>
        <v>9.61</v>
      </c>
      <c r="W193" s="13" t="n">
        <f aca="false">O193-V193</f>
        <v>0.00999999999999979</v>
      </c>
    </row>
    <row r="194" customFormat="false" ht="15.65" hidden="false" customHeight="false" outlineLevel="0" collapsed="false">
      <c r="A194" s="12" t="n">
        <v>7</v>
      </c>
      <c r="B194" s="34" t="n">
        <v>4</v>
      </c>
      <c r="C194" s="34" t="s">
        <v>48</v>
      </c>
      <c r="D194" s="34" t="n">
        <v>5.91</v>
      </c>
      <c r="E194" s="34" t="n">
        <v>-0.16</v>
      </c>
      <c r="F194" s="34" t="n">
        <v>-0.33</v>
      </c>
      <c r="G194" s="34" t="n">
        <v>5.42</v>
      </c>
      <c r="H194" s="34" t="n">
        <v>10.07</v>
      </c>
      <c r="I194" s="19" t="n">
        <v>4.65</v>
      </c>
      <c r="J194" s="34" t="n">
        <v>10.11</v>
      </c>
      <c r="K194" s="34" t="n">
        <v>0.0299999999999994</v>
      </c>
      <c r="L194" s="34" t="n">
        <v>0.01</v>
      </c>
      <c r="O194" s="19" t="n">
        <f aca="false">J194</f>
        <v>10.11</v>
      </c>
      <c r="P194" s="34" t="n">
        <v>5.91</v>
      </c>
      <c r="Q194" s="34" t="n">
        <v>-0.16</v>
      </c>
      <c r="R194" s="34" t="n">
        <v>-0.33</v>
      </c>
      <c r="S194" s="19" t="n">
        <v>4.65</v>
      </c>
      <c r="T194" s="34" t="n">
        <v>0.0299999999999994</v>
      </c>
      <c r="U194" s="34" t="n">
        <v>0.01</v>
      </c>
      <c r="V194" s="13" t="n">
        <f aca="false">SUM(P194:U194)</f>
        <v>10.11</v>
      </c>
      <c r="W194" s="13" t="n">
        <f aca="false">O194-V194</f>
        <v>0</v>
      </c>
    </row>
    <row r="195" customFormat="false" ht="15.65" hidden="false" customHeight="false" outlineLevel="0" collapsed="false">
      <c r="A195" s="12" t="n">
        <v>7</v>
      </c>
      <c r="B195" s="34" t="n">
        <v>5</v>
      </c>
      <c r="C195" s="34" t="s">
        <v>49</v>
      </c>
      <c r="D195" s="34" t="n">
        <v>6.72</v>
      </c>
      <c r="E195" s="34" t="n">
        <v>-0.63</v>
      </c>
      <c r="F195" s="34" t="n">
        <v>-0.72</v>
      </c>
      <c r="G195" s="34" t="n">
        <v>5.37</v>
      </c>
      <c r="H195" s="34" t="n">
        <v>10.02</v>
      </c>
      <c r="I195" s="19" t="n">
        <v>4.65</v>
      </c>
      <c r="J195" s="34" t="n">
        <v>10.01</v>
      </c>
      <c r="K195" s="34" t="n">
        <v>-0.00999999999999979</v>
      </c>
      <c r="L195" s="34" t="n">
        <v>0</v>
      </c>
      <c r="O195" s="19" t="n">
        <f aca="false">J195</f>
        <v>10.01</v>
      </c>
      <c r="P195" s="34" t="n">
        <v>6.72</v>
      </c>
      <c r="Q195" s="34" t="n">
        <v>-0.63</v>
      </c>
      <c r="R195" s="34" t="n">
        <v>-0.72</v>
      </c>
      <c r="S195" s="19" t="n">
        <v>4.65</v>
      </c>
      <c r="T195" s="34" t="n">
        <v>-0.00999999999999979</v>
      </c>
      <c r="U195" s="34" t="n">
        <v>0</v>
      </c>
      <c r="V195" s="13" t="n">
        <f aca="false">SUM(P195:U195)</f>
        <v>10.01</v>
      </c>
      <c r="W195" s="13" t="n">
        <f aca="false">O195-V195</f>
        <v>0</v>
      </c>
    </row>
    <row r="196" customFormat="false" ht="15.65" hidden="false" customHeight="false" outlineLevel="0" collapsed="false">
      <c r="A196" s="12" t="n">
        <v>7</v>
      </c>
      <c r="B196" s="34" t="n">
        <v>6</v>
      </c>
      <c r="C196" s="34" t="s">
        <v>50</v>
      </c>
      <c r="D196" s="34" t="n">
        <v>6.12</v>
      </c>
      <c r="E196" s="34" t="n">
        <v>-0.31</v>
      </c>
      <c r="F196" s="34" t="n">
        <v>-0.49</v>
      </c>
      <c r="G196" s="34" t="n">
        <v>5.31</v>
      </c>
      <c r="H196" s="34" t="n">
        <v>9.96</v>
      </c>
      <c r="I196" s="19" t="n">
        <v>4.65</v>
      </c>
      <c r="J196" s="34" t="n">
        <v>9.75</v>
      </c>
      <c r="K196" s="34" t="n">
        <v>-0.0600000000000005</v>
      </c>
      <c r="L196" s="34" t="n">
        <v>-0.148</v>
      </c>
      <c r="O196" s="19" t="n">
        <f aca="false">J196</f>
        <v>9.75</v>
      </c>
      <c r="P196" s="34" t="n">
        <v>6.12</v>
      </c>
      <c r="Q196" s="34" t="n">
        <v>-0.31</v>
      </c>
      <c r="R196" s="34" t="n">
        <v>-0.49</v>
      </c>
      <c r="S196" s="19" t="n">
        <v>4.65</v>
      </c>
      <c r="T196" s="34" t="n">
        <v>-0.0600000000000005</v>
      </c>
      <c r="U196" s="34" t="n">
        <v>-0.148</v>
      </c>
      <c r="V196" s="13" t="n">
        <f aca="false">SUM(P196:U196)</f>
        <v>9.762</v>
      </c>
      <c r="W196" s="13" t="n">
        <f aca="false">O196-V196</f>
        <v>-0.0120000000000005</v>
      </c>
    </row>
    <row r="197" customFormat="false" ht="15.65" hidden="false" customHeight="false" outlineLevel="0" collapsed="false">
      <c r="A197" s="12" t="n">
        <v>7</v>
      </c>
      <c r="B197" s="34" t="n">
        <v>7</v>
      </c>
      <c r="C197" s="34" t="s">
        <v>51</v>
      </c>
      <c r="D197" s="34" t="n">
        <v>5.43</v>
      </c>
      <c r="E197" s="34" t="n">
        <v>-0.2</v>
      </c>
      <c r="F197" s="34" t="n">
        <v>-0.28</v>
      </c>
      <c r="G197" s="34" t="n">
        <v>4.94</v>
      </c>
      <c r="H197" s="34" t="n">
        <v>9.6</v>
      </c>
      <c r="I197" s="19" t="n">
        <v>4.65</v>
      </c>
      <c r="J197" s="34" t="n">
        <v>9.62</v>
      </c>
      <c r="K197" s="34" t="n">
        <v>0.00999999999999979</v>
      </c>
      <c r="L197" s="34" t="n">
        <v>0.01</v>
      </c>
      <c r="O197" s="19" t="n">
        <f aca="false">J197</f>
        <v>9.62</v>
      </c>
      <c r="P197" s="34" t="n">
        <v>5.43</v>
      </c>
      <c r="Q197" s="34" t="n">
        <v>-0.2</v>
      </c>
      <c r="R197" s="34" t="n">
        <v>-0.28</v>
      </c>
      <c r="S197" s="19" t="n">
        <v>4.65</v>
      </c>
      <c r="T197" s="34" t="n">
        <v>0.00999999999999979</v>
      </c>
      <c r="U197" s="34" t="n">
        <v>0.01</v>
      </c>
      <c r="V197" s="13" t="n">
        <f aca="false">SUM(P197:U197)</f>
        <v>9.62</v>
      </c>
      <c r="W197" s="13" t="n">
        <f aca="false">O197-V197</f>
        <v>0</v>
      </c>
    </row>
    <row r="198" customFormat="false" ht="15.65" hidden="false" customHeight="false" outlineLevel="0" collapsed="false">
      <c r="A198" s="12" t="n">
        <v>7</v>
      </c>
      <c r="B198" s="34" t="n">
        <v>8</v>
      </c>
      <c r="C198" s="34" t="s">
        <v>52</v>
      </c>
      <c r="D198" s="34" t="n">
        <v>5.07</v>
      </c>
      <c r="E198" s="34" t="n">
        <v>-0.04</v>
      </c>
      <c r="F198" s="34" t="n">
        <v>0.02</v>
      </c>
      <c r="G198" s="34" t="n">
        <v>5.05</v>
      </c>
      <c r="H198" s="34" t="n">
        <v>9.7</v>
      </c>
      <c r="I198" s="19" t="n">
        <v>4.65</v>
      </c>
      <c r="J198" s="34" t="n">
        <v>9.67</v>
      </c>
      <c r="K198" s="34" t="n">
        <v>-0.0399999999999992</v>
      </c>
      <c r="L198" s="34" t="n">
        <v>0.01</v>
      </c>
      <c r="O198" s="19" t="n">
        <f aca="false">J198</f>
        <v>9.67</v>
      </c>
      <c r="P198" s="34" t="n">
        <v>5.07</v>
      </c>
      <c r="Q198" s="34" t="n">
        <v>-0.04</v>
      </c>
      <c r="R198" s="34" t="n">
        <v>0.02</v>
      </c>
      <c r="S198" s="19" t="n">
        <v>4.65</v>
      </c>
      <c r="T198" s="34" t="n">
        <v>-0.0399999999999992</v>
      </c>
      <c r="U198" s="34" t="n">
        <v>0.01</v>
      </c>
      <c r="V198" s="13" t="n">
        <f aca="false">SUM(P198:U198)</f>
        <v>9.67</v>
      </c>
      <c r="W198" s="13" t="n">
        <f aca="false">O198-V198</f>
        <v>0</v>
      </c>
    </row>
    <row r="199" customFormat="false" ht="15.65" hidden="false" customHeight="false" outlineLevel="0" collapsed="false">
      <c r="A199" s="12" t="n">
        <v>7</v>
      </c>
      <c r="B199" s="34" t="n">
        <v>9</v>
      </c>
      <c r="C199" s="34" t="s">
        <v>53</v>
      </c>
      <c r="D199" s="34" t="n">
        <v>5.38</v>
      </c>
      <c r="E199" s="34" t="n">
        <v>-0.08</v>
      </c>
      <c r="F199" s="34" t="n">
        <v>-0.09</v>
      </c>
      <c r="G199" s="34" t="n">
        <v>5.21</v>
      </c>
      <c r="H199" s="34" t="n">
        <v>9.87</v>
      </c>
      <c r="I199" s="19" t="n">
        <v>4.65</v>
      </c>
      <c r="J199" s="34" t="n">
        <v>9.82</v>
      </c>
      <c r="K199" s="34" t="n">
        <v>-0.0599999999999987</v>
      </c>
      <c r="L199" s="34" t="n">
        <v>0.01</v>
      </c>
      <c r="O199" s="19" t="n">
        <f aca="false">J199</f>
        <v>9.82</v>
      </c>
      <c r="P199" s="34" t="n">
        <v>5.38</v>
      </c>
      <c r="Q199" s="34" t="n">
        <v>-0.08</v>
      </c>
      <c r="R199" s="34" t="n">
        <v>-0.09</v>
      </c>
      <c r="S199" s="19" t="n">
        <v>4.65</v>
      </c>
      <c r="T199" s="34" t="n">
        <v>-0.0599999999999987</v>
      </c>
      <c r="U199" s="34" t="n">
        <v>0.01</v>
      </c>
      <c r="V199" s="13" t="n">
        <f aca="false">SUM(P199:U199)</f>
        <v>9.81</v>
      </c>
      <c r="W199" s="13" t="n">
        <f aca="false">O199-V199</f>
        <v>0.00999999999999979</v>
      </c>
    </row>
    <row r="200" customFormat="false" ht="15.65" hidden="false" customHeight="false" outlineLevel="0" collapsed="false">
      <c r="A200" s="12" t="n">
        <v>7</v>
      </c>
      <c r="B200" s="34" t="n">
        <v>10</v>
      </c>
      <c r="C200" s="34" t="s">
        <v>54</v>
      </c>
      <c r="D200" s="34" t="n">
        <v>5.2</v>
      </c>
      <c r="E200" s="34" t="n">
        <v>-0.02</v>
      </c>
      <c r="F200" s="34" t="n">
        <v>-0.08</v>
      </c>
      <c r="G200" s="34" t="n">
        <v>5.1</v>
      </c>
      <c r="H200" s="34" t="n">
        <v>9.75</v>
      </c>
      <c r="I200" s="19" t="n">
        <v>4.65</v>
      </c>
      <c r="J200" s="34" t="n">
        <v>9.77</v>
      </c>
      <c r="K200" s="34" t="n">
        <v>0.00999999999999979</v>
      </c>
      <c r="L200" s="34" t="n">
        <v>0.01</v>
      </c>
      <c r="O200" s="19" t="n">
        <f aca="false">J200</f>
        <v>9.77</v>
      </c>
      <c r="P200" s="34" t="n">
        <v>5.2</v>
      </c>
      <c r="Q200" s="34" t="n">
        <v>-0.02</v>
      </c>
      <c r="R200" s="34" t="n">
        <v>-0.08</v>
      </c>
      <c r="S200" s="19" t="n">
        <v>4.65</v>
      </c>
      <c r="T200" s="34" t="n">
        <v>0.00999999999999979</v>
      </c>
      <c r="U200" s="34" t="n">
        <v>0.01</v>
      </c>
      <c r="V200" s="13" t="n">
        <f aca="false">SUM(P200:U200)</f>
        <v>9.77</v>
      </c>
      <c r="W200" s="13" t="n">
        <f aca="false">O200-V200</f>
        <v>0</v>
      </c>
    </row>
    <row r="201" customFormat="false" ht="15.65" hidden="false" customHeight="false" outlineLevel="0" collapsed="false">
      <c r="A201" s="12" t="n">
        <v>7</v>
      </c>
      <c r="B201" s="34" t="n">
        <v>11</v>
      </c>
      <c r="C201" s="34" t="s">
        <v>56</v>
      </c>
      <c r="D201" s="34" t="n">
        <v>5.02</v>
      </c>
      <c r="E201" s="34" t="n">
        <v>-0.01</v>
      </c>
      <c r="F201" s="34" t="n">
        <v>0.11</v>
      </c>
      <c r="G201" s="34" t="n">
        <v>5.12</v>
      </c>
      <c r="H201" s="34" t="n">
        <v>9.77</v>
      </c>
      <c r="I201" s="19" t="n">
        <v>4.65</v>
      </c>
      <c r="J201" s="34" t="n">
        <v>9.76</v>
      </c>
      <c r="K201" s="34" t="n">
        <v>-0.0199999999999996</v>
      </c>
      <c r="L201" s="34" t="n">
        <v>0.01</v>
      </c>
      <c r="O201" s="19" t="n">
        <f aca="false">J201</f>
        <v>9.76</v>
      </c>
      <c r="P201" s="34" t="n">
        <v>5.02</v>
      </c>
      <c r="Q201" s="34" t="n">
        <v>-0.01</v>
      </c>
      <c r="R201" s="34" t="n">
        <v>0.11</v>
      </c>
      <c r="S201" s="19" t="n">
        <v>4.65</v>
      </c>
      <c r="T201" s="34" t="n">
        <v>-0.0199999999999996</v>
      </c>
      <c r="U201" s="34" t="n">
        <v>0.01</v>
      </c>
      <c r="V201" s="13" t="n">
        <f aca="false">SUM(P201:U201)</f>
        <v>9.76</v>
      </c>
      <c r="W201" s="13" t="n">
        <f aca="false">O201-V201</f>
        <v>0</v>
      </c>
    </row>
    <row r="202" customFormat="false" ht="15.65" hidden="false" customHeight="false" outlineLevel="0" collapsed="false">
      <c r="A202" s="12" t="n">
        <v>7</v>
      </c>
      <c r="B202" s="34" t="n">
        <v>12</v>
      </c>
      <c r="C202" s="34" t="s">
        <v>58</v>
      </c>
      <c r="D202" s="34" t="n">
        <v>5.1</v>
      </c>
      <c r="E202" s="34" t="n">
        <v>-0.06</v>
      </c>
      <c r="F202" s="34" t="n">
        <v>0.11</v>
      </c>
      <c r="G202" s="34" t="n">
        <v>5.15</v>
      </c>
      <c r="H202" s="34" t="n">
        <v>9.8</v>
      </c>
      <c r="I202" s="19" t="n">
        <v>4.65</v>
      </c>
      <c r="J202" s="34" t="n">
        <v>9.79</v>
      </c>
      <c r="K202" s="34" t="n">
        <v>-0.0200000000000014</v>
      </c>
      <c r="L202" s="34" t="n">
        <v>0.01</v>
      </c>
      <c r="O202" s="19" t="n">
        <f aca="false">J202</f>
        <v>9.79</v>
      </c>
      <c r="P202" s="34" t="n">
        <v>5.1</v>
      </c>
      <c r="Q202" s="34" t="n">
        <v>-0.06</v>
      </c>
      <c r="R202" s="34" t="n">
        <v>0.11</v>
      </c>
      <c r="S202" s="19" t="n">
        <v>4.65</v>
      </c>
      <c r="T202" s="34" t="n">
        <v>-0.0200000000000014</v>
      </c>
      <c r="U202" s="34" t="n">
        <v>0.01</v>
      </c>
      <c r="V202" s="13" t="n">
        <f aca="false">SUM(P202:U202)</f>
        <v>9.79</v>
      </c>
      <c r="W202" s="13" t="n">
        <f aca="false">O202-V202</f>
        <v>0</v>
      </c>
    </row>
    <row r="203" customFormat="false" ht="15.65" hidden="false" customHeight="false" outlineLevel="0" collapsed="false">
      <c r="A203" s="12" t="n">
        <v>7</v>
      </c>
      <c r="B203" s="34" t="n">
        <v>13</v>
      </c>
      <c r="C203" s="34" t="s">
        <v>60</v>
      </c>
      <c r="D203" s="34" t="n">
        <v>4.46</v>
      </c>
      <c r="E203" s="34" t="n">
        <v>0.17</v>
      </c>
      <c r="F203" s="34" t="n">
        <v>0.63</v>
      </c>
      <c r="G203" s="34" t="n">
        <v>5.26</v>
      </c>
      <c r="H203" s="34" t="n">
        <v>9.91</v>
      </c>
      <c r="I203" s="19" t="n">
        <v>4.65</v>
      </c>
      <c r="J203" s="34" t="n">
        <v>9.91</v>
      </c>
      <c r="K203" s="34" t="n">
        <v>-0.00999999999999979</v>
      </c>
      <c r="L203" s="34" t="n">
        <v>0.01</v>
      </c>
      <c r="O203" s="19" t="n">
        <f aca="false">J203</f>
        <v>9.91</v>
      </c>
      <c r="P203" s="34" t="n">
        <v>4.46</v>
      </c>
      <c r="Q203" s="34" t="n">
        <v>0.17</v>
      </c>
      <c r="R203" s="34" t="n">
        <v>0.63</v>
      </c>
      <c r="S203" s="19" t="n">
        <v>4.65</v>
      </c>
      <c r="T203" s="34" t="n">
        <v>-0.00999999999999979</v>
      </c>
      <c r="U203" s="34" t="n">
        <v>0.01</v>
      </c>
      <c r="V203" s="13" t="n">
        <f aca="false">SUM(P203:U203)</f>
        <v>9.91</v>
      </c>
      <c r="W203" s="13" t="n">
        <f aca="false">O203-V203</f>
        <v>0</v>
      </c>
    </row>
    <row r="204" customFormat="false" ht="15.65" hidden="false" customHeight="false" outlineLevel="0" collapsed="false">
      <c r="A204" s="12" t="n">
        <v>7</v>
      </c>
      <c r="B204" s="34" t="n">
        <v>14</v>
      </c>
      <c r="C204" s="34" t="s">
        <v>62</v>
      </c>
      <c r="D204" s="34" t="n">
        <v>5</v>
      </c>
      <c r="E204" s="34" t="n">
        <v>-0.06</v>
      </c>
      <c r="F204" s="34" t="n">
        <v>0.36</v>
      </c>
      <c r="G204" s="34" t="n">
        <v>5.3</v>
      </c>
      <c r="H204" s="34" t="n">
        <v>9.95</v>
      </c>
      <c r="I204" s="19" t="n">
        <v>4.65</v>
      </c>
      <c r="J204" s="34" t="n">
        <v>9.92</v>
      </c>
      <c r="K204" s="34" t="n">
        <v>-0.0399999999999992</v>
      </c>
      <c r="L204" s="34" t="n">
        <v>0.01</v>
      </c>
      <c r="O204" s="19" t="n">
        <f aca="false">J204</f>
        <v>9.92</v>
      </c>
      <c r="P204" s="34" t="n">
        <v>5</v>
      </c>
      <c r="Q204" s="34" t="n">
        <v>-0.06</v>
      </c>
      <c r="R204" s="34" t="n">
        <v>0.36</v>
      </c>
      <c r="S204" s="19" t="n">
        <v>4.65</v>
      </c>
      <c r="T204" s="34" t="n">
        <v>-0.0399999999999992</v>
      </c>
      <c r="U204" s="34" t="n">
        <v>0.01</v>
      </c>
      <c r="V204" s="13" t="n">
        <f aca="false">SUM(P204:U204)</f>
        <v>9.92</v>
      </c>
      <c r="W204" s="13" t="n">
        <f aca="false">O204-V204</f>
        <v>0</v>
      </c>
    </row>
    <row r="205" customFormat="false" ht="15.65" hidden="false" customHeight="false" outlineLevel="0" collapsed="false">
      <c r="A205" s="12" t="n">
        <v>7</v>
      </c>
      <c r="B205" s="34" t="n">
        <v>15</v>
      </c>
      <c r="C205" s="34" t="s">
        <v>64</v>
      </c>
      <c r="D205" s="34" t="n">
        <v>5.32</v>
      </c>
      <c r="E205" s="34" t="n">
        <v>-0.15</v>
      </c>
      <c r="F205" s="34" t="n">
        <v>-0.31</v>
      </c>
      <c r="G205" s="34" t="n">
        <v>4.86</v>
      </c>
      <c r="H205" s="34" t="n">
        <v>9.51</v>
      </c>
      <c r="I205" s="19" t="n">
        <v>4.65</v>
      </c>
      <c r="J205" s="34" t="n">
        <v>9.55</v>
      </c>
      <c r="K205" s="34" t="n">
        <v>0.0800000000000001</v>
      </c>
      <c r="L205" s="34" t="n">
        <v>-0.04</v>
      </c>
      <c r="O205" s="19" t="n">
        <f aca="false">J205</f>
        <v>9.55</v>
      </c>
      <c r="P205" s="34" t="n">
        <v>5.32</v>
      </c>
      <c r="Q205" s="34" t="n">
        <v>-0.15</v>
      </c>
      <c r="R205" s="34" t="n">
        <v>-0.31</v>
      </c>
      <c r="S205" s="19" t="n">
        <v>4.65</v>
      </c>
      <c r="T205" s="34" t="n">
        <v>0.0800000000000001</v>
      </c>
      <c r="U205" s="34" t="n">
        <v>-0.04</v>
      </c>
      <c r="V205" s="13" t="n">
        <f aca="false">SUM(P205:U205)</f>
        <v>9.55</v>
      </c>
      <c r="W205" s="13" t="n">
        <f aca="false">O205-V205</f>
        <v>0</v>
      </c>
    </row>
    <row r="206" customFormat="false" ht="15.65" hidden="false" customHeight="false" outlineLevel="0" collapsed="false">
      <c r="A206" s="12" t="n">
        <v>7</v>
      </c>
      <c r="B206" s="34" t="n">
        <v>16</v>
      </c>
      <c r="C206" s="34" t="s">
        <v>66</v>
      </c>
      <c r="D206" s="34" t="n">
        <v>4.95</v>
      </c>
      <c r="E206" s="34" t="n">
        <v>-0.07</v>
      </c>
      <c r="F206" s="34" t="n">
        <v>0.11</v>
      </c>
      <c r="G206" s="34" t="n">
        <v>4.98</v>
      </c>
      <c r="H206" s="34" t="n">
        <v>9.64</v>
      </c>
      <c r="I206" s="19" t="n">
        <v>4.65</v>
      </c>
      <c r="J206" s="34" t="n">
        <v>9.65</v>
      </c>
      <c r="K206" s="34" t="n">
        <v>0.0399999999999992</v>
      </c>
      <c r="L206" s="34" t="n">
        <v>-0.027</v>
      </c>
      <c r="O206" s="19" t="n">
        <f aca="false">J206</f>
        <v>9.65</v>
      </c>
      <c r="P206" s="34" t="n">
        <v>4.95</v>
      </c>
      <c r="Q206" s="34" t="n">
        <v>-0.07</v>
      </c>
      <c r="R206" s="34" t="n">
        <v>0.11</v>
      </c>
      <c r="S206" s="19" t="n">
        <v>4.65</v>
      </c>
      <c r="T206" s="34" t="n">
        <v>0.0399999999999992</v>
      </c>
      <c r="U206" s="34" t="n">
        <v>-0.027</v>
      </c>
      <c r="V206" s="13" t="n">
        <f aca="false">SUM(P206:U206)</f>
        <v>9.653</v>
      </c>
      <c r="W206" s="13" t="n">
        <f aca="false">O206-V206</f>
        <v>-0.00300000000000011</v>
      </c>
    </row>
    <row r="207" customFormat="false" ht="15.65" hidden="false" customHeight="false" outlineLevel="0" collapsed="false">
      <c r="A207" s="12" t="n">
        <v>7</v>
      </c>
      <c r="B207" s="34" t="n">
        <v>17</v>
      </c>
      <c r="C207" s="34" t="s">
        <v>67</v>
      </c>
      <c r="D207" s="34" t="n">
        <v>5.19</v>
      </c>
      <c r="E207" s="34" t="n">
        <v>-0.01</v>
      </c>
      <c r="F207" s="34" t="n">
        <v>0.04</v>
      </c>
      <c r="G207" s="34" t="n">
        <v>5.21</v>
      </c>
      <c r="H207" s="34" t="n">
        <v>9.86</v>
      </c>
      <c r="I207" s="19" t="n">
        <v>4.65</v>
      </c>
      <c r="J207" s="34" t="n">
        <v>9.88</v>
      </c>
      <c r="K207" s="34" t="n">
        <v>0.00999999999999979</v>
      </c>
      <c r="L207" s="34" t="n">
        <v>0.01</v>
      </c>
      <c r="O207" s="19" t="n">
        <f aca="false">J207</f>
        <v>9.88</v>
      </c>
      <c r="P207" s="34" t="n">
        <v>5.19</v>
      </c>
      <c r="Q207" s="34" t="n">
        <v>-0.01</v>
      </c>
      <c r="R207" s="34" t="n">
        <v>0.04</v>
      </c>
      <c r="S207" s="19" t="n">
        <v>4.65</v>
      </c>
      <c r="T207" s="34" t="n">
        <v>0.00999999999999979</v>
      </c>
      <c r="U207" s="34" t="n">
        <v>0.01</v>
      </c>
      <c r="V207" s="13" t="n">
        <f aca="false">SUM(P207:U207)</f>
        <v>9.89</v>
      </c>
      <c r="W207" s="13" t="n">
        <f aca="false">O207-V207</f>
        <v>-0.00999999999999979</v>
      </c>
    </row>
    <row r="208" customFormat="false" ht="15.65" hidden="false" customHeight="false" outlineLevel="0" collapsed="false">
      <c r="A208" s="12" t="n">
        <v>7</v>
      </c>
      <c r="B208" s="34" t="n">
        <v>18</v>
      </c>
      <c r="C208" s="34" t="s">
        <v>69</v>
      </c>
      <c r="D208" s="34" t="n">
        <v>5.47</v>
      </c>
      <c r="E208" s="34" t="n">
        <v>-0.14</v>
      </c>
      <c r="F208" s="34" t="n">
        <v>-0.04</v>
      </c>
      <c r="G208" s="34" t="n">
        <v>5.28</v>
      </c>
      <c r="H208" s="34" t="n">
        <v>9.94</v>
      </c>
      <c r="I208" s="19" t="n">
        <v>4.65</v>
      </c>
      <c r="J208" s="34" t="n">
        <v>9.94</v>
      </c>
      <c r="K208" s="34" t="n">
        <v>-0.00999999999999979</v>
      </c>
      <c r="L208" s="34" t="n">
        <v>0.01</v>
      </c>
      <c r="O208" s="19" t="n">
        <f aca="false">J208</f>
        <v>9.94</v>
      </c>
      <c r="P208" s="34" t="n">
        <v>5.47</v>
      </c>
      <c r="Q208" s="34" t="n">
        <v>-0.14</v>
      </c>
      <c r="R208" s="34" t="n">
        <v>-0.04</v>
      </c>
      <c r="S208" s="19" t="n">
        <v>4.65</v>
      </c>
      <c r="T208" s="34" t="n">
        <v>-0.00999999999999979</v>
      </c>
      <c r="U208" s="34" t="n">
        <v>0.01</v>
      </c>
      <c r="V208" s="13" t="n">
        <f aca="false">SUM(P208:U208)</f>
        <v>9.94</v>
      </c>
      <c r="W208" s="13" t="n">
        <f aca="false">O208-V208</f>
        <v>0</v>
      </c>
    </row>
    <row r="209" customFormat="false" ht="15.65" hidden="false" customHeight="false" outlineLevel="0" collapsed="false">
      <c r="A209" s="12" t="n">
        <v>7</v>
      </c>
      <c r="B209" s="34" t="n">
        <v>19</v>
      </c>
      <c r="C209" s="34" t="s">
        <v>75</v>
      </c>
      <c r="D209" s="34" t="n">
        <v>5.46</v>
      </c>
      <c r="E209" s="34" t="n">
        <v>-0.16</v>
      </c>
      <c r="F209" s="34" t="n">
        <v>-0.14</v>
      </c>
      <c r="G209" s="34" t="n">
        <v>5.17</v>
      </c>
      <c r="H209" s="34" t="n">
        <v>9.82</v>
      </c>
      <c r="I209" s="19" t="n">
        <v>4.65</v>
      </c>
      <c r="J209" s="34" t="n">
        <v>9.89</v>
      </c>
      <c r="K209" s="34" t="n">
        <v>0.0600000000000005</v>
      </c>
      <c r="L209" s="34" t="n">
        <v>0.01</v>
      </c>
      <c r="O209" s="19" t="n">
        <f aca="false">J209</f>
        <v>9.89</v>
      </c>
      <c r="P209" s="34" t="n">
        <v>5.46</v>
      </c>
      <c r="Q209" s="34" t="n">
        <v>-0.16</v>
      </c>
      <c r="R209" s="34" t="n">
        <v>-0.14</v>
      </c>
      <c r="S209" s="19" t="n">
        <v>4.65</v>
      </c>
      <c r="T209" s="34" t="n">
        <v>0.0600000000000005</v>
      </c>
      <c r="U209" s="34" t="n">
        <v>0.01</v>
      </c>
      <c r="V209" s="13" t="n">
        <f aca="false">SUM(P209:U209)</f>
        <v>9.88</v>
      </c>
      <c r="W209" s="13" t="n">
        <f aca="false">O209-V209</f>
        <v>0.00999999999999979</v>
      </c>
    </row>
    <row r="210" customFormat="false" ht="15.65" hidden="false" customHeight="false" outlineLevel="0" collapsed="false">
      <c r="A210" s="12" t="n">
        <v>7</v>
      </c>
      <c r="B210" s="34" t="n">
        <v>20</v>
      </c>
      <c r="C210" s="34" t="s">
        <v>76</v>
      </c>
      <c r="D210" s="34" t="n">
        <v>5.27</v>
      </c>
      <c r="E210" s="34" t="n">
        <v>-0.08</v>
      </c>
      <c r="F210" s="34" t="n">
        <v>-0.17</v>
      </c>
      <c r="G210" s="34" t="n">
        <v>5.02</v>
      </c>
      <c r="H210" s="34" t="n">
        <v>9.68</v>
      </c>
      <c r="I210" s="19" t="n">
        <v>4.65</v>
      </c>
      <c r="J210" s="34" t="n">
        <v>9.69</v>
      </c>
      <c r="K210" s="34" t="n">
        <v>0.0800000000000001</v>
      </c>
      <c r="L210" s="34" t="n">
        <v>-0.067</v>
      </c>
      <c r="O210" s="19" t="n">
        <f aca="false">J210</f>
        <v>9.69</v>
      </c>
      <c r="P210" s="34" t="n">
        <v>5.27</v>
      </c>
      <c r="Q210" s="34" t="n">
        <v>-0.08</v>
      </c>
      <c r="R210" s="34" t="n">
        <v>-0.17</v>
      </c>
      <c r="S210" s="19" t="n">
        <v>4.65</v>
      </c>
      <c r="T210" s="34" t="n">
        <v>0.0800000000000001</v>
      </c>
      <c r="U210" s="34" t="n">
        <v>-0.067</v>
      </c>
      <c r="V210" s="13" t="n">
        <f aca="false">SUM(P210:U210)</f>
        <v>9.683</v>
      </c>
      <c r="W210" s="13" t="n">
        <f aca="false">O210-V210</f>
        <v>0.00699999999999967</v>
      </c>
    </row>
    <row r="211" customFormat="false" ht="15.65" hidden="false" customHeight="false" outlineLevel="0" collapsed="false">
      <c r="A211" s="12" t="n">
        <v>7</v>
      </c>
      <c r="B211" s="34" t="n">
        <v>21</v>
      </c>
      <c r="C211" s="34" t="s">
        <v>78</v>
      </c>
      <c r="D211" s="34" t="n">
        <v>5.39</v>
      </c>
      <c r="E211" s="34" t="n">
        <v>0</v>
      </c>
      <c r="F211" s="34" t="n">
        <v>-0.1</v>
      </c>
      <c r="G211" s="34" t="n">
        <v>5.28</v>
      </c>
      <c r="H211" s="34" t="n">
        <v>9.94</v>
      </c>
      <c r="I211" s="19" t="n">
        <v>4.65</v>
      </c>
      <c r="J211" s="34" t="n">
        <v>9.93</v>
      </c>
      <c r="K211" s="34" t="n">
        <v>0.0700000000000003</v>
      </c>
      <c r="L211" s="34" t="n">
        <v>-0.079</v>
      </c>
      <c r="O211" s="19" t="n">
        <f aca="false">J211</f>
        <v>9.93</v>
      </c>
      <c r="P211" s="34" t="n">
        <v>5.39</v>
      </c>
      <c r="Q211" s="34" t="n">
        <v>0</v>
      </c>
      <c r="R211" s="34" t="n">
        <v>-0.1</v>
      </c>
      <c r="S211" s="19" t="n">
        <v>4.65</v>
      </c>
      <c r="T211" s="34" t="n">
        <v>0.0700000000000003</v>
      </c>
      <c r="U211" s="34" t="n">
        <v>-0.079</v>
      </c>
      <c r="V211" s="13" t="n">
        <f aca="false">SUM(P211:U211)</f>
        <v>9.931</v>
      </c>
      <c r="W211" s="13" t="n">
        <f aca="false">O211-V211</f>
        <v>-0.000999999999999446</v>
      </c>
    </row>
    <row r="212" customFormat="false" ht="15.65" hidden="false" customHeight="false" outlineLevel="0" collapsed="false">
      <c r="A212" s="12" t="n">
        <v>7</v>
      </c>
      <c r="B212" s="34" t="n">
        <v>22</v>
      </c>
      <c r="C212" s="34" t="s">
        <v>80</v>
      </c>
      <c r="D212" s="34" t="n">
        <v>5.07</v>
      </c>
      <c r="E212" s="34" t="n">
        <v>-0.04</v>
      </c>
      <c r="F212" s="34" t="n">
        <v>0.08</v>
      </c>
      <c r="G212" s="34" t="n">
        <v>5.11</v>
      </c>
      <c r="H212" s="34" t="n">
        <v>9.76</v>
      </c>
      <c r="I212" s="19" t="n">
        <v>4.65</v>
      </c>
      <c r="J212" s="34" t="n">
        <v>9.8</v>
      </c>
      <c r="K212" s="34" t="n">
        <v>0.0299999999999994</v>
      </c>
      <c r="L212" s="34" t="n">
        <v>0.01</v>
      </c>
      <c r="O212" s="19" t="n">
        <f aca="false">J212</f>
        <v>9.8</v>
      </c>
      <c r="P212" s="34" t="n">
        <v>5.07</v>
      </c>
      <c r="Q212" s="34" t="n">
        <v>-0.04</v>
      </c>
      <c r="R212" s="34" t="n">
        <v>0.08</v>
      </c>
      <c r="S212" s="19" t="n">
        <v>4.65</v>
      </c>
      <c r="T212" s="34" t="n">
        <v>0.0299999999999994</v>
      </c>
      <c r="U212" s="34" t="n">
        <v>0.01</v>
      </c>
      <c r="V212" s="13" t="n">
        <f aca="false">SUM(P212:U212)</f>
        <v>9.8</v>
      </c>
      <c r="W212" s="13" t="n">
        <f aca="false">O212-V212</f>
        <v>0</v>
      </c>
    </row>
    <row r="213" customFormat="false" ht="15.65" hidden="false" customHeight="false" outlineLevel="0" collapsed="false">
      <c r="A213" s="12" t="n">
        <v>7</v>
      </c>
      <c r="B213" s="34" t="n">
        <v>23</v>
      </c>
      <c r="C213" s="34" t="s">
        <v>81</v>
      </c>
      <c r="D213" s="34" t="n">
        <v>4.92</v>
      </c>
      <c r="E213" s="34" t="n">
        <v>0.19</v>
      </c>
      <c r="F213" s="34" t="n">
        <v>0.23</v>
      </c>
      <c r="G213" s="34" t="n">
        <v>5.33</v>
      </c>
      <c r="H213" s="34" t="n">
        <v>9.98</v>
      </c>
      <c r="I213" s="19" t="n">
        <v>4.65</v>
      </c>
      <c r="J213" s="34" t="n">
        <v>10.03</v>
      </c>
      <c r="K213" s="34" t="n">
        <v>0.0399999999999992</v>
      </c>
      <c r="L213" s="34" t="n">
        <v>0.01</v>
      </c>
      <c r="O213" s="19" t="n">
        <f aca="false">J213</f>
        <v>10.03</v>
      </c>
      <c r="P213" s="34" t="n">
        <v>4.92</v>
      </c>
      <c r="Q213" s="34" t="n">
        <v>0.19</v>
      </c>
      <c r="R213" s="34" t="n">
        <v>0.23</v>
      </c>
      <c r="S213" s="19" t="n">
        <v>4.65</v>
      </c>
      <c r="T213" s="34" t="n">
        <v>0.0399999999999992</v>
      </c>
      <c r="U213" s="34" t="n">
        <v>0.01</v>
      </c>
      <c r="V213" s="13" t="n">
        <f aca="false">SUM(P213:U213)</f>
        <v>10.04</v>
      </c>
      <c r="W213" s="13" t="n">
        <f aca="false">O213-V213</f>
        <v>-0.00999999999999979</v>
      </c>
    </row>
    <row r="214" customFormat="false" ht="15.65" hidden="false" customHeight="false" outlineLevel="0" collapsed="false">
      <c r="A214" s="12" t="n">
        <v>7</v>
      </c>
      <c r="B214" s="34" t="n">
        <v>24</v>
      </c>
      <c r="C214" s="34" t="s">
        <v>83</v>
      </c>
      <c r="D214" s="34" t="n">
        <v>5.22</v>
      </c>
      <c r="E214" s="34" t="n">
        <v>0.02</v>
      </c>
      <c r="F214" s="34" t="n">
        <v>0.01</v>
      </c>
      <c r="G214" s="34" t="n">
        <v>5.25</v>
      </c>
      <c r="H214" s="34" t="n">
        <v>9.9</v>
      </c>
      <c r="I214" s="19" t="n">
        <v>4.65</v>
      </c>
      <c r="J214" s="34" t="n">
        <v>9.99</v>
      </c>
      <c r="K214" s="34" t="n">
        <v>0.0800000000000001</v>
      </c>
      <c r="L214" s="34" t="n">
        <v>0.01</v>
      </c>
      <c r="O214" s="19" t="n">
        <f aca="false">J214</f>
        <v>9.99</v>
      </c>
      <c r="P214" s="34" t="n">
        <v>5.22</v>
      </c>
      <c r="Q214" s="34" t="n">
        <v>0.02</v>
      </c>
      <c r="R214" s="34" t="n">
        <v>0.01</v>
      </c>
      <c r="S214" s="19" t="n">
        <v>4.65</v>
      </c>
      <c r="T214" s="34" t="n">
        <v>0.0800000000000001</v>
      </c>
      <c r="U214" s="34" t="n">
        <v>0.01</v>
      </c>
      <c r="V214" s="13" t="n">
        <f aca="false">SUM(P214:U214)</f>
        <v>9.99</v>
      </c>
      <c r="W214" s="13" t="n">
        <f aca="false">O214-V214</f>
        <v>0</v>
      </c>
    </row>
    <row r="215" customFormat="false" ht="15.65" hidden="false" customHeight="false" outlineLevel="0" collapsed="false">
      <c r="A215" s="12" t="n">
        <v>7</v>
      </c>
      <c r="B215" s="34" t="n">
        <v>25</v>
      </c>
      <c r="C215" s="34" t="s">
        <v>84</v>
      </c>
      <c r="D215" s="34" t="n">
        <v>5.28</v>
      </c>
      <c r="E215" s="34" t="n">
        <v>0.08</v>
      </c>
      <c r="F215" s="34" t="n">
        <v>-0.14</v>
      </c>
      <c r="G215" s="34" t="n">
        <v>5.22</v>
      </c>
      <c r="H215" s="34" t="n">
        <v>9.88</v>
      </c>
      <c r="I215" s="19" t="n">
        <v>4.65</v>
      </c>
      <c r="J215" s="34" t="n">
        <v>9.97</v>
      </c>
      <c r="K215" s="34" t="n">
        <v>0.0800000000000001</v>
      </c>
      <c r="L215" s="34" t="n">
        <v>0.01</v>
      </c>
      <c r="O215" s="19" t="n">
        <f aca="false">J215</f>
        <v>9.97</v>
      </c>
      <c r="P215" s="34" t="n">
        <v>5.28</v>
      </c>
      <c r="Q215" s="34" t="n">
        <v>0.08</v>
      </c>
      <c r="R215" s="34" t="n">
        <v>-0.14</v>
      </c>
      <c r="S215" s="19" t="n">
        <v>4.65</v>
      </c>
      <c r="T215" s="34" t="n">
        <v>0.0800000000000001</v>
      </c>
      <c r="U215" s="34" t="n">
        <v>0.01</v>
      </c>
      <c r="V215" s="13" t="n">
        <f aca="false">SUM(P215:U215)</f>
        <v>9.96</v>
      </c>
      <c r="W215" s="13" t="n">
        <f aca="false">O215-V215</f>
        <v>0.00999999999999979</v>
      </c>
    </row>
    <row r="216" customFormat="false" ht="15.65" hidden="false" customHeight="false" outlineLevel="0" collapsed="false">
      <c r="A216" s="12" t="n">
        <v>7</v>
      </c>
      <c r="B216" s="34" t="n">
        <v>26</v>
      </c>
      <c r="C216" s="34" t="s">
        <v>88</v>
      </c>
      <c r="D216" s="34" t="n">
        <v>5.28</v>
      </c>
      <c r="E216" s="34" t="n">
        <v>0.07</v>
      </c>
      <c r="F216" s="34" t="n">
        <v>0.04</v>
      </c>
      <c r="G216" s="34" t="n">
        <v>5.39</v>
      </c>
      <c r="H216" s="34" t="n">
        <v>10.05</v>
      </c>
      <c r="I216" s="19" t="n">
        <v>4.65</v>
      </c>
      <c r="J216" s="34" t="n">
        <v>10.03</v>
      </c>
      <c r="K216" s="34" t="n">
        <v>-0.0300000000000011</v>
      </c>
      <c r="L216" s="34" t="n">
        <v>0.01</v>
      </c>
      <c r="O216" s="19" t="n">
        <f aca="false">J216</f>
        <v>10.03</v>
      </c>
      <c r="P216" s="34" t="n">
        <v>5.28</v>
      </c>
      <c r="Q216" s="34" t="n">
        <v>0.07</v>
      </c>
      <c r="R216" s="34" t="n">
        <v>0.04</v>
      </c>
      <c r="S216" s="19" t="n">
        <v>4.65</v>
      </c>
      <c r="T216" s="34" t="n">
        <v>-0.0300000000000011</v>
      </c>
      <c r="U216" s="34" t="n">
        <v>0.01</v>
      </c>
      <c r="V216" s="13" t="n">
        <f aca="false">SUM(P216:U216)</f>
        <v>10.02</v>
      </c>
      <c r="W216" s="13" t="n">
        <f aca="false">O216-V216</f>
        <v>0.00999999999999979</v>
      </c>
    </row>
    <row r="217" customFormat="false" ht="15.65" hidden="false" customHeight="false" outlineLevel="0" collapsed="false">
      <c r="A217" s="12" t="n">
        <v>7</v>
      </c>
      <c r="B217" s="34" t="n">
        <v>27</v>
      </c>
      <c r="C217" s="34" t="s">
        <v>89</v>
      </c>
      <c r="D217" s="34" t="n">
        <v>5.32</v>
      </c>
      <c r="E217" s="34" t="n">
        <v>0.16</v>
      </c>
      <c r="F217" s="34" t="n">
        <v>0.12</v>
      </c>
      <c r="G217" s="34" t="n">
        <v>5.6</v>
      </c>
      <c r="H217" s="34" t="n">
        <v>10.25</v>
      </c>
      <c r="I217" s="19" t="n">
        <v>4.65</v>
      </c>
      <c r="J217" s="34" t="n">
        <v>10.24</v>
      </c>
      <c r="K217" s="34" t="n">
        <v>-0.0199999999999996</v>
      </c>
      <c r="L217" s="34" t="n">
        <v>0.01</v>
      </c>
      <c r="O217" s="19" t="n">
        <f aca="false">J217</f>
        <v>10.24</v>
      </c>
      <c r="P217" s="34" t="n">
        <v>5.32</v>
      </c>
      <c r="Q217" s="34" t="n">
        <v>0.16</v>
      </c>
      <c r="R217" s="34" t="n">
        <v>0.12</v>
      </c>
      <c r="S217" s="19" t="n">
        <v>4.65</v>
      </c>
      <c r="T217" s="34" t="n">
        <v>-0.0199999999999996</v>
      </c>
      <c r="U217" s="34" t="n">
        <v>0.01</v>
      </c>
      <c r="V217" s="13" t="n">
        <f aca="false">SUM(P217:U217)</f>
        <v>10.24</v>
      </c>
      <c r="W217" s="13" t="n">
        <f aca="false">O217-V217</f>
        <v>0</v>
      </c>
    </row>
    <row r="218" customFormat="false" ht="15.65" hidden="false" customHeight="false" outlineLevel="0" collapsed="false">
      <c r="A218" s="12" t="n">
        <v>7</v>
      </c>
      <c r="B218" s="34" t="n">
        <v>28</v>
      </c>
      <c r="C218" s="34" t="s">
        <v>90</v>
      </c>
      <c r="D218" s="34" t="n">
        <v>5.52</v>
      </c>
      <c r="E218" s="34" t="n">
        <v>0.02</v>
      </c>
      <c r="F218" s="34" t="n">
        <v>-0.03</v>
      </c>
      <c r="G218" s="34" t="n">
        <v>5.51</v>
      </c>
      <c r="H218" s="34" t="n">
        <v>10.17</v>
      </c>
      <c r="I218" s="19" t="n">
        <v>4.65</v>
      </c>
      <c r="J218" s="34" t="n">
        <v>10.16</v>
      </c>
      <c r="K218" s="34" t="n">
        <v>-0.0199999999999996</v>
      </c>
      <c r="L218" s="34" t="n">
        <v>0.01</v>
      </c>
      <c r="O218" s="19" t="n">
        <f aca="false">J218</f>
        <v>10.16</v>
      </c>
      <c r="P218" s="34" t="n">
        <v>5.52</v>
      </c>
      <c r="Q218" s="34" t="n">
        <v>0.02</v>
      </c>
      <c r="R218" s="34" t="n">
        <v>-0.03</v>
      </c>
      <c r="S218" s="19" t="n">
        <v>4.65</v>
      </c>
      <c r="T218" s="34" t="n">
        <v>-0.0199999999999996</v>
      </c>
      <c r="U218" s="34" t="n">
        <v>0.01</v>
      </c>
      <c r="V218" s="13" t="n">
        <f aca="false">SUM(P218:U218)</f>
        <v>10.15</v>
      </c>
      <c r="W218" s="13" t="n">
        <f aca="false">O218-V218</f>
        <v>0.00999999999999979</v>
      </c>
    </row>
    <row r="219" customFormat="false" ht="15.65" hidden="false" customHeight="false" outlineLevel="0" collapsed="false">
      <c r="A219" s="12" t="n">
        <v>7</v>
      </c>
      <c r="B219" s="34" t="n">
        <v>29</v>
      </c>
      <c r="C219" s="34" t="s">
        <v>91</v>
      </c>
      <c r="D219" s="34" t="n">
        <v>5.88</v>
      </c>
      <c r="E219" s="34" t="n">
        <v>-0.02</v>
      </c>
      <c r="F219" s="34" t="n">
        <v>-0.43</v>
      </c>
      <c r="G219" s="34" t="n">
        <v>5.42</v>
      </c>
      <c r="H219" s="34" t="n">
        <v>10.08</v>
      </c>
      <c r="I219" s="19" t="n">
        <v>4.65</v>
      </c>
      <c r="J219" s="34" t="n">
        <v>10.02</v>
      </c>
      <c r="K219" s="34" t="n">
        <v>-0.0600000000000005</v>
      </c>
      <c r="L219" s="34" t="n">
        <v>0.001</v>
      </c>
      <c r="O219" s="19" t="n">
        <f aca="false">J219</f>
        <v>10.02</v>
      </c>
      <c r="P219" s="34" t="n">
        <v>5.88</v>
      </c>
      <c r="Q219" s="34" t="n">
        <v>-0.02</v>
      </c>
      <c r="R219" s="34" t="n">
        <v>-0.43</v>
      </c>
      <c r="S219" s="19" t="n">
        <v>4.65</v>
      </c>
      <c r="T219" s="34" t="n">
        <v>-0.0600000000000005</v>
      </c>
      <c r="U219" s="34" t="n">
        <v>0.001</v>
      </c>
      <c r="V219" s="13" t="n">
        <f aca="false">SUM(P219:U219)</f>
        <v>10.021</v>
      </c>
      <c r="W219" s="13" t="n">
        <f aca="false">O219-V219</f>
        <v>-0.000999999999999446</v>
      </c>
    </row>
    <row r="220" customFormat="false" ht="15.65" hidden="false" customHeight="false" outlineLevel="0" collapsed="false">
      <c r="A220" s="12" t="n">
        <v>7</v>
      </c>
      <c r="B220" s="34" t="n">
        <v>30</v>
      </c>
      <c r="C220" s="34" t="s">
        <v>92</v>
      </c>
      <c r="D220" s="34" t="n">
        <v>6.06</v>
      </c>
      <c r="E220" s="34" t="n">
        <v>-0.08</v>
      </c>
      <c r="F220" s="34" t="n">
        <v>-0.52</v>
      </c>
      <c r="G220" s="34" t="n">
        <v>5.46</v>
      </c>
      <c r="H220" s="34" t="n">
        <v>10.11</v>
      </c>
      <c r="I220" s="19" t="n">
        <v>4.65</v>
      </c>
      <c r="J220" s="34" t="n">
        <v>10.19</v>
      </c>
      <c r="K220" s="34" t="n">
        <v>0.0800000000000001</v>
      </c>
      <c r="L220" s="34" t="n">
        <v>-0.001</v>
      </c>
      <c r="O220" s="19" t="n">
        <f aca="false">J220</f>
        <v>10.19</v>
      </c>
      <c r="P220" s="34" t="n">
        <v>6.06</v>
      </c>
      <c r="Q220" s="34" t="n">
        <v>-0.08</v>
      </c>
      <c r="R220" s="34" t="n">
        <v>-0.52</v>
      </c>
      <c r="S220" s="19" t="n">
        <v>4.65</v>
      </c>
      <c r="T220" s="34" t="n">
        <v>0.0800000000000001</v>
      </c>
      <c r="U220" s="34" t="n">
        <v>-0.001</v>
      </c>
      <c r="V220" s="13" t="n">
        <f aca="false">SUM(P220:U220)</f>
        <v>10.189</v>
      </c>
      <c r="W220" s="13" t="n">
        <f aca="false">O220-V220</f>
        <v>0.000999999999999446</v>
      </c>
    </row>
    <row r="221" customFormat="false" ht="15.65" hidden="false" customHeight="false" outlineLevel="0" collapsed="false">
      <c r="A221" s="12" t="n">
        <v>7</v>
      </c>
      <c r="B221" s="34" t="n">
        <v>31</v>
      </c>
      <c r="C221" s="34" t="s">
        <v>93</v>
      </c>
      <c r="D221" s="34" t="n">
        <v>6.09</v>
      </c>
      <c r="E221" s="34" t="n">
        <v>-0.16</v>
      </c>
      <c r="F221" s="34" t="n">
        <v>-0.67</v>
      </c>
      <c r="G221" s="34" t="n">
        <v>5.26</v>
      </c>
      <c r="H221" s="34" t="n">
        <v>9.92</v>
      </c>
      <c r="I221" s="19" t="n">
        <v>4.65</v>
      </c>
      <c r="J221" s="34" t="n">
        <v>9.93</v>
      </c>
      <c r="K221" s="34" t="n">
        <v>0</v>
      </c>
      <c r="L221" s="34" t="n">
        <v>0.01</v>
      </c>
      <c r="O221" s="19" t="n">
        <f aca="false">J221</f>
        <v>9.93</v>
      </c>
      <c r="P221" s="34" t="n">
        <v>6.09</v>
      </c>
      <c r="Q221" s="34" t="n">
        <v>-0.16</v>
      </c>
      <c r="R221" s="34" t="n">
        <v>-0.67</v>
      </c>
      <c r="S221" s="19" t="n">
        <v>4.65</v>
      </c>
      <c r="T221" s="34" t="n">
        <v>0</v>
      </c>
      <c r="U221" s="34" t="n">
        <v>0.01</v>
      </c>
      <c r="V221" s="13" t="n">
        <f aca="false">SUM(P221:U221)</f>
        <v>9.92</v>
      </c>
      <c r="W221" s="13" t="n">
        <f aca="false">O221-V221</f>
        <v>0.00999999999999979</v>
      </c>
    </row>
    <row r="222" customFormat="false" ht="15.65" hidden="false" customHeight="false" outlineLevel="0" collapsed="false">
      <c r="A222" s="12" t="n">
        <v>7</v>
      </c>
      <c r="B222" s="34" t="n">
        <v>32</v>
      </c>
      <c r="C222" s="34" t="s">
        <v>94</v>
      </c>
      <c r="D222" s="34" t="n">
        <v>6.24</v>
      </c>
      <c r="E222" s="34" t="n">
        <v>-0.27</v>
      </c>
      <c r="F222" s="34" t="n">
        <v>-0.52</v>
      </c>
      <c r="G222" s="34" t="n">
        <v>5.45</v>
      </c>
      <c r="H222" s="34" t="n">
        <v>10.11</v>
      </c>
      <c r="I222" s="19" t="n">
        <v>4.65</v>
      </c>
      <c r="J222" s="34" t="n">
        <v>9.94</v>
      </c>
      <c r="K222" s="34" t="n">
        <v>-0.0599999999999987</v>
      </c>
      <c r="L222" s="34" t="n">
        <v>-0.106</v>
      </c>
      <c r="O222" s="19" t="n">
        <f aca="false">J222</f>
        <v>9.94</v>
      </c>
      <c r="P222" s="34" t="n">
        <v>6.24</v>
      </c>
      <c r="Q222" s="34" t="n">
        <v>-0.27</v>
      </c>
      <c r="R222" s="34" t="n">
        <v>-0.52</v>
      </c>
      <c r="S222" s="19" t="n">
        <v>4.65</v>
      </c>
      <c r="T222" s="34" t="n">
        <v>-0.0599999999999987</v>
      </c>
      <c r="U222" s="34" t="n">
        <v>-0.106</v>
      </c>
      <c r="V222" s="13" t="n">
        <f aca="false">SUM(P222:U222)</f>
        <v>9.934</v>
      </c>
      <c r="W222" s="13" t="n">
        <f aca="false">O222-V222</f>
        <v>0.00599999999999668</v>
      </c>
    </row>
    <row r="223" customFormat="false" ht="15.65" hidden="false" customHeight="false" outlineLevel="0" collapsed="false">
      <c r="A223" s="12" t="n">
        <v>7</v>
      </c>
      <c r="B223" s="34" t="n">
        <v>33</v>
      </c>
      <c r="C223" s="34" t="s">
        <v>95</v>
      </c>
      <c r="D223" s="34" t="n">
        <v>5.66</v>
      </c>
      <c r="E223" s="34" t="n">
        <v>0.06</v>
      </c>
      <c r="F223" s="34" t="n">
        <v>-0.23</v>
      </c>
      <c r="G223" s="34" t="n">
        <v>5.49</v>
      </c>
      <c r="H223" s="34" t="n">
        <v>10.15</v>
      </c>
      <c r="I223" s="19" t="n">
        <v>4.65</v>
      </c>
      <c r="J223" s="34" t="n">
        <v>10.17</v>
      </c>
      <c r="K223" s="34" t="n">
        <v>0.00999999999999979</v>
      </c>
      <c r="L223" s="34" t="n">
        <v>0.01</v>
      </c>
      <c r="O223" s="19" t="n">
        <f aca="false">J223</f>
        <v>10.17</v>
      </c>
      <c r="P223" s="34" t="n">
        <v>5.66</v>
      </c>
      <c r="Q223" s="34" t="n">
        <v>0.06</v>
      </c>
      <c r="R223" s="34" t="n">
        <v>-0.23</v>
      </c>
      <c r="S223" s="19" t="n">
        <v>4.65</v>
      </c>
      <c r="T223" s="34" t="n">
        <v>0.00999999999999979</v>
      </c>
      <c r="U223" s="34" t="n">
        <v>0.01</v>
      </c>
      <c r="V223" s="13" t="n">
        <f aca="false">SUM(P223:U223)</f>
        <v>10.16</v>
      </c>
      <c r="W223" s="13" t="n">
        <f aca="false">O223-V223</f>
        <v>0.00999999999999979</v>
      </c>
    </row>
    <row r="224" customFormat="false" ht="15.65" hidden="false" customHeight="false" outlineLevel="0" collapsed="false">
      <c r="A224" s="12" t="n">
        <v>7</v>
      </c>
      <c r="B224" s="34" t="n">
        <v>34</v>
      </c>
      <c r="C224" s="34" t="s">
        <v>97</v>
      </c>
      <c r="D224" s="34" t="n">
        <v>5.41</v>
      </c>
      <c r="E224" s="34" t="n">
        <v>0.04</v>
      </c>
      <c r="F224" s="34" t="n">
        <v>-0.14</v>
      </c>
      <c r="G224" s="34" t="n">
        <v>5.31</v>
      </c>
      <c r="H224" s="34" t="n">
        <v>9.96</v>
      </c>
      <c r="I224" s="19" t="n">
        <v>4.65</v>
      </c>
      <c r="J224" s="34" t="n">
        <v>9.97</v>
      </c>
      <c r="K224" s="34" t="n">
        <v>0</v>
      </c>
      <c r="L224" s="34" t="n">
        <v>0.01</v>
      </c>
      <c r="O224" s="19" t="n">
        <f aca="false">J224</f>
        <v>9.97</v>
      </c>
      <c r="P224" s="34" t="n">
        <v>5.41</v>
      </c>
      <c r="Q224" s="34" t="n">
        <v>0.04</v>
      </c>
      <c r="R224" s="34" t="n">
        <v>-0.14</v>
      </c>
      <c r="S224" s="19" t="n">
        <v>4.65</v>
      </c>
      <c r="T224" s="34" t="n">
        <v>0</v>
      </c>
      <c r="U224" s="34" t="n">
        <v>0.01</v>
      </c>
      <c r="V224" s="13" t="n">
        <f aca="false">SUM(P224:U224)</f>
        <v>9.97</v>
      </c>
      <c r="W224" s="13" t="n">
        <f aca="false">O224-V224</f>
        <v>0</v>
      </c>
    </row>
    <row r="225" customFormat="false" ht="15.65" hidden="false" customHeight="false" outlineLevel="0" collapsed="false">
      <c r="A225" s="12" t="n">
        <v>7</v>
      </c>
      <c r="B225" s="34" t="n">
        <v>35</v>
      </c>
      <c r="C225" s="34" t="s">
        <v>98</v>
      </c>
      <c r="D225" s="34" t="n">
        <v>5.83</v>
      </c>
      <c r="E225" s="34" t="n">
        <v>-0.17</v>
      </c>
      <c r="F225" s="34" t="n">
        <v>-0.1</v>
      </c>
      <c r="G225" s="34" t="n">
        <v>5.56</v>
      </c>
      <c r="H225" s="34" t="n">
        <v>10.21</v>
      </c>
      <c r="I225" s="19" t="n">
        <v>4.65</v>
      </c>
      <c r="J225" s="34" t="n">
        <v>10.36</v>
      </c>
      <c r="K225" s="34" t="n">
        <v>0.139999999999999</v>
      </c>
      <c r="L225" s="34" t="n">
        <v>0.01</v>
      </c>
      <c r="O225" s="19" t="n">
        <f aca="false">J225</f>
        <v>10.36</v>
      </c>
      <c r="P225" s="34" t="n">
        <v>5.83</v>
      </c>
      <c r="Q225" s="34" t="n">
        <v>-0.17</v>
      </c>
      <c r="R225" s="34" t="n">
        <v>-0.1</v>
      </c>
      <c r="S225" s="19" t="n">
        <v>4.65</v>
      </c>
      <c r="T225" s="34" t="n">
        <v>0.139999999999999</v>
      </c>
      <c r="U225" s="34" t="n">
        <v>0.01</v>
      </c>
      <c r="V225" s="13" t="n">
        <f aca="false">SUM(P225:U225)</f>
        <v>10.36</v>
      </c>
      <c r="W225" s="13" t="n">
        <f aca="false">O225-V225</f>
        <v>0</v>
      </c>
    </row>
    <row r="226" customFormat="false" ht="15.65" hidden="false" customHeight="false" outlineLevel="0" collapsed="false">
      <c r="A226" s="12" t="n">
        <v>7</v>
      </c>
      <c r="B226" s="34" t="n">
        <v>36</v>
      </c>
      <c r="C226" s="34" t="s">
        <v>99</v>
      </c>
      <c r="D226" s="34" t="n">
        <v>6.2</v>
      </c>
      <c r="E226" s="34" t="n">
        <v>-0.11</v>
      </c>
      <c r="F226" s="34" t="n">
        <v>-0.36</v>
      </c>
      <c r="G226" s="34" t="n">
        <v>5.73</v>
      </c>
      <c r="H226" s="34" t="n">
        <v>10.38</v>
      </c>
      <c r="I226" s="19" t="n">
        <v>4.65</v>
      </c>
      <c r="J226" s="34" t="n">
        <v>10.47</v>
      </c>
      <c r="K226" s="34" t="n">
        <v>0.109999999999999</v>
      </c>
      <c r="L226" s="34" t="n">
        <v>-0.025</v>
      </c>
      <c r="O226" s="19" t="n">
        <f aca="false">J226</f>
        <v>10.47</v>
      </c>
      <c r="P226" s="34" t="n">
        <v>6.2</v>
      </c>
      <c r="Q226" s="34" t="n">
        <v>-0.11</v>
      </c>
      <c r="R226" s="34" t="n">
        <v>-0.36</v>
      </c>
      <c r="S226" s="19" t="n">
        <v>4.65</v>
      </c>
      <c r="T226" s="34" t="n">
        <v>0.109999999999999</v>
      </c>
      <c r="U226" s="34" t="n">
        <v>-0.025</v>
      </c>
      <c r="V226" s="13" t="n">
        <f aca="false">SUM(P226:U226)</f>
        <v>10.465</v>
      </c>
      <c r="W226" s="13" t="n">
        <f aca="false">O226-V226</f>
        <v>0.00500000000000078</v>
      </c>
    </row>
    <row r="227" customFormat="false" ht="15.65" hidden="false" customHeight="false" outlineLevel="0" collapsed="false">
      <c r="A227" s="12" t="n">
        <v>7</v>
      </c>
      <c r="B227" s="34" t="n">
        <v>37</v>
      </c>
      <c r="C227" s="34" t="s">
        <v>100</v>
      </c>
      <c r="D227" s="34" t="n">
        <v>5.99</v>
      </c>
      <c r="E227" s="34" t="n">
        <v>-0.05</v>
      </c>
      <c r="F227" s="34" t="n">
        <v>-0.35</v>
      </c>
      <c r="G227" s="34" t="n">
        <v>5.59</v>
      </c>
      <c r="H227" s="34" t="n">
        <v>10.24</v>
      </c>
      <c r="I227" s="19" t="n">
        <v>4.65</v>
      </c>
      <c r="J227" s="34" t="n">
        <v>10.21</v>
      </c>
      <c r="K227" s="34" t="n">
        <v>-0.0400000000000009</v>
      </c>
      <c r="L227" s="34" t="n">
        <v>0.01</v>
      </c>
      <c r="O227" s="19" t="n">
        <f aca="false">J227</f>
        <v>10.21</v>
      </c>
      <c r="P227" s="34" t="n">
        <v>5.99</v>
      </c>
      <c r="Q227" s="34" t="n">
        <v>-0.05</v>
      </c>
      <c r="R227" s="34" t="n">
        <v>-0.35</v>
      </c>
      <c r="S227" s="19" t="n">
        <v>4.65</v>
      </c>
      <c r="T227" s="34" t="n">
        <v>-0.0400000000000009</v>
      </c>
      <c r="U227" s="34" t="n">
        <v>0.01</v>
      </c>
      <c r="V227" s="13" t="n">
        <f aca="false">SUM(P227:U227)</f>
        <v>10.21</v>
      </c>
      <c r="W227" s="13" t="n">
        <f aca="false">O227-V227</f>
        <v>0</v>
      </c>
    </row>
    <row r="228" customFormat="false" ht="15.65" hidden="false" customHeight="false" outlineLevel="0" collapsed="false">
      <c r="A228" s="12" t="n">
        <v>7</v>
      </c>
      <c r="B228" s="34" t="n">
        <v>38</v>
      </c>
      <c r="C228" s="34" t="s">
        <v>101</v>
      </c>
      <c r="D228" s="34" t="n">
        <v>5.95</v>
      </c>
      <c r="E228" s="34" t="n">
        <v>-0.01</v>
      </c>
      <c r="F228" s="34" t="n">
        <v>-0.47</v>
      </c>
      <c r="G228" s="34" t="n">
        <v>5.47</v>
      </c>
      <c r="H228" s="34" t="n">
        <v>10.12</v>
      </c>
      <c r="I228" s="19" t="n">
        <v>4.65</v>
      </c>
      <c r="J228" s="34" t="n">
        <v>10.18</v>
      </c>
      <c r="K228" s="34" t="n">
        <v>0.0500000000000007</v>
      </c>
      <c r="L228" s="34" t="n">
        <v>0.01</v>
      </c>
      <c r="O228" s="19" t="n">
        <f aca="false">J228</f>
        <v>10.18</v>
      </c>
      <c r="P228" s="34" t="n">
        <v>5.95</v>
      </c>
      <c r="Q228" s="34" t="n">
        <v>-0.01</v>
      </c>
      <c r="R228" s="34" t="n">
        <v>-0.47</v>
      </c>
      <c r="S228" s="19" t="n">
        <v>4.65</v>
      </c>
      <c r="T228" s="34" t="n">
        <v>0.0500000000000007</v>
      </c>
      <c r="U228" s="34" t="n">
        <v>0.01</v>
      </c>
      <c r="V228" s="13" t="n">
        <f aca="false">SUM(P228:U228)</f>
        <v>10.18</v>
      </c>
      <c r="W228" s="13" t="n">
        <f aca="false">O228-V228</f>
        <v>0</v>
      </c>
    </row>
    <row r="229" customFormat="false" ht="15.65" hidden="false" customHeight="false" outlineLevel="0" collapsed="false">
      <c r="A229" s="12" t="n">
        <v>7</v>
      </c>
      <c r="B229" s="34" t="n">
        <v>39</v>
      </c>
      <c r="C229" s="34" t="s">
        <v>102</v>
      </c>
      <c r="D229" s="34" t="n">
        <v>6.03</v>
      </c>
      <c r="E229" s="34" t="n">
        <v>-0.17</v>
      </c>
      <c r="F229" s="34" t="n">
        <v>-0.39</v>
      </c>
      <c r="G229" s="34" t="n">
        <v>5.48</v>
      </c>
      <c r="H229" s="34" t="n">
        <v>10.13</v>
      </c>
      <c r="I229" s="19" t="n">
        <v>4.65</v>
      </c>
      <c r="J229" s="34" t="n">
        <v>10.13</v>
      </c>
      <c r="K229" s="34" t="n">
        <v>-0.0100000000000016</v>
      </c>
      <c r="L229" s="34" t="n">
        <v>0.01</v>
      </c>
      <c r="O229" s="19" t="n">
        <f aca="false">J229</f>
        <v>10.13</v>
      </c>
      <c r="P229" s="34" t="n">
        <v>6.03</v>
      </c>
      <c r="Q229" s="34" t="n">
        <v>-0.17</v>
      </c>
      <c r="R229" s="34" t="n">
        <v>-0.39</v>
      </c>
      <c r="S229" s="19" t="n">
        <v>4.65</v>
      </c>
      <c r="T229" s="34" t="n">
        <v>-0.0100000000000016</v>
      </c>
      <c r="U229" s="34" t="n">
        <v>0.01</v>
      </c>
      <c r="V229" s="13" t="n">
        <f aca="false">SUM(P229:U229)</f>
        <v>10.12</v>
      </c>
      <c r="W229" s="13" t="n">
        <f aca="false">O229-V229</f>
        <v>0.0100000000000016</v>
      </c>
    </row>
    <row r="230" customFormat="false" ht="15.65" hidden="false" customHeight="false" outlineLevel="0" collapsed="false">
      <c r="A230" s="12" t="n">
        <v>7</v>
      </c>
      <c r="B230" s="34" t="n">
        <v>40</v>
      </c>
      <c r="C230" s="34" t="s">
        <v>103</v>
      </c>
      <c r="D230" s="34" t="n">
        <v>5.9</v>
      </c>
      <c r="E230" s="34" t="n">
        <v>0.04</v>
      </c>
      <c r="F230" s="34" t="n">
        <v>-0.29</v>
      </c>
      <c r="G230" s="34" t="n">
        <v>5.65</v>
      </c>
      <c r="H230" s="34" t="n">
        <v>10.3</v>
      </c>
      <c r="I230" s="19" t="n">
        <v>4.65</v>
      </c>
      <c r="J230" s="34" t="n">
        <v>10.31</v>
      </c>
      <c r="K230" s="34" t="n">
        <v>0</v>
      </c>
      <c r="L230" s="34" t="n">
        <v>0.01</v>
      </c>
      <c r="O230" s="19" t="n">
        <f aca="false">J230</f>
        <v>10.31</v>
      </c>
      <c r="P230" s="34" t="n">
        <v>5.9</v>
      </c>
      <c r="Q230" s="34" t="n">
        <v>0.04</v>
      </c>
      <c r="R230" s="34" t="n">
        <v>-0.29</v>
      </c>
      <c r="S230" s="19" t="n">
        <v>4.65</v>
      </c>
      <c r="T230" s="34" t="n">
        <v>0</v>
      </c>
      <c r="U230" s="34" t="n">
        <v>0.01</v>
      </c>
      <c r="V230" s="13" t="n">
        <f aca="false">SUM(P230:U230)</f>
        <v>10.31</v>
      </c>
      <c r="W230" s="13" t="n">
        <f aca="false">O230-V230</f>
        <v>0</v>
      </c>
    </row>
    <row r="231" customFormat="false" ht="15.65" hidden="false" customHeight="false" outlineLevel="0" collapsed="false">
      <c r="A231" s="12" t="n">
        <v>7</v>
      </c>
      <c r="B231" s="34" t="n">
        <v>41</v>
      </c>
      <c r="C231" s="34" t="s">
        <v>104</v>
      </c>
      <c r="D231" s="34" t="n">
        <v>6.93</v>
      </c>
      <c r="E231" s="34" t="n">
        <v>-0.19</v>
      </c>
      <c r="F231" s="34" t="n">
        <v>-0.68</v>
      </c>
      <c r="G231" s="34" t="n">
        <v>6.06</v>
      </c>
      <c r="H231" s="34" t="n">
        <v>10.71</v>
      </c>
      <c r="I231" s="19" t="n">
        <v>4.65</v>
      </c>
      <c r="J231" s="34" t="n">
        <v>10.78</v>
      </c>
      <c r="K231" s="34" t="n">
        <v>0.0599999999999987</v>
      </c>
      <c r="L231" s="34" t="n">
        <v>0.01</v>
      </c>
      <c r="O231" s="19" t="n">
        <f aca="false">J231</f>
        <v>10.78</v>
      </c>
      <c r="P231" s="34" t="n">
        <v>6.93</v>
      </c>
      <c r="Q231" s="34" t="n">
        <v>-0.19</v>
      </c>
      <c r="R231" s="34" t="n">
        <v>-0.68</v>
      </c>
      <c r="S231" s="19" t="n">
        <v>4.65</v>
      </c>
      <c r="T231" s="34" t="n">
        <v>0.0599999999999987</v>
      </c>
      <c r="U231" s="34" t="n">
        <v>0.01</v>
      </c>
      <c r="V231" s="13" t="n">
        <f aca="false">SUM(P231:U231)</f>
        <v>10.78</v>
      </c>
      <c r="W231" s="13" t="n">
        <f aca="false">O231-V231</f>
        <v>0</v>
      </c>
    </row>
    <row r="232" customFormat="false" ht="15.65" hidden="false" customHeight="false" outlineLevel="0" collapsed="false">
      <c r="A232" s="12" t="n">
        <v>7</v>
      </c>
      <c r="B232" s="34" t="n">
        <v>42</v>
      </c>
      <c r="C232" s="34" t="s">
        <v>105</v>
      </c>
      <c r="D232" s="34" t="n">
        <v>6.7</v>
      </c>
      <c r="E232" s="34" t="n">
        <v>-0.27</v>
      </c>
      <c r="F232" s="34" t="n">
        <v>-0.76</v>
      </c>
      <c r="G232" s="34" t="n">
        <v>5.67</v>
      </c>
      <c r="H232" s="34" t="n">
        <v>10.33</v>
      </c>
      <c r="I232" s="19" t="n">
        <v>4.65</v>
      </c>
      <c r="J232" s="34" t="n">
        <v>10.41</v>
      </c>
      <c r="K232" s="34" t="n">
        <v>0.0700000000000003</v>
      </c>
      <c r="L232" s="34" t="n">
        <v>0.01</v>
      </c>
      <c r="O232" s="19" t="n">
        <f aca="false">J232</f>
        <v>10.41</v>
      </c>
      <c r="P232" s="34" t="n">
        <v>6.7</v>
      </c>
      <c r="Q232" s="34" t="n">
        <v>-0.27</v>
      </c>
      <c r="R232" s="34" t="n">
        <v>-0.76</v>
      </c>
      <c r="S232" s="19" t="n">
        <v>4.65</v>
      </c>
      <c r="T232" s="34" t="n">
        <v>0.0700000000000003</v>
      </c>
      <c r="U232" s="34" t="n">
        <v>0.01</v>
      </c>
      <c r="V232" s="13" t="n">
        <f aca="false">SUM(P232:U232)</f>
        <v>10.4</v>
      </c>
      <c r="W232" s="13" t="n">
        <f aca="false">O232-V232</f>
        <v>0.00999999999999979</v>
      </c>
    </row>
    <row r="233" customFormat="false" ht="15.65" hidden="false" customHeight="false" outlineLevel="0" collapsed="false">
      <c r="A233" s="12" t="n">
        <v>7</v>
      </c>
      <c r="B233" s="34" t="n">
        <v>43</v>
      </c>
      <c r="C233" s="34" t="s">
        <v>106</v>
      </c>
      <c r="D233" s="34" t="n">
        <v>6.34</v>
      </c>
      <c r="E233" s="34" t="n">
        <v>-0.1</v>
      </c>
      <c r="F233" s="34" t="n">
        <v>-0.6</v>
      </c>
      <c r="G233" s="34" t="n">
        <v>5.64</v>
      </c>
      <c r="H233" s="34" t="n">
        <v>10.29</v>
      </c>
      <c r="I233" s="19" t="n">
        <v>4.65</v>
      </c>
      <c r="J233" s="34" t="n">
        <v>10.12</v>
      </c>
      <c r="K233" s="34" t="n">
        <v>-0.0299999999999994</v>
      </c>
      <c r="L233" s="34" t="n">
        <v>-0.137</v>
      </c>
      <c r="O233" s="19" t="n">
        <f aca="false">J233</f>
        <v>10.12</v>
      </c>
      <c r="P233" s="34" t="n">
        <v>6.34</v>
      </c>
      <c r="Q233" s="34" t="n">
        <v>-0.1</v>
      </c>
      <c r="R233" s="34" t="n">
        <v>-0.6</v>
      </c>
      <c r="S233" s="19" t="n">
        <v>4.65</v>
      </c>
      <c r="T233" s="34" t="n">
        <v>-0.0299999999999994</v>
      </c>
      <c r="U233" s="34" t="n">
        <v>-0.137</v>
      </c>
      <c r="V233" s="13" t="n">
        <f aca="false">SUM(P233:U233)</f>
        <v>10.123</v>
      </c>
      <c r="W233" s="13" t="n">
        <f aca="false">O233-V233</f>
        <v>-0.00300000000000189</v>
      </c>
    </row>
    <row r="234" customFormat="false" ht="15.65" hidden="false" customHeight="false" outlineLevel="0" collapsed="false">
      <c r="A234" s="12" t="n">
        <v>7</v>
      </c>
      <c r="B234" s="34" t="n">
        <v>44</v>
      </c>
      <c r="C234" s="34" t="s">
        <v>107</v>
      </c>
      <c r="D234" s="34" t="n">
        <v>6.41</v>
      </c>
      <c r="E234" s="34" t="n">
        <v>-0.22</v>
      </c>
      <c r="F234" s="34" t="n">
        <v>-0.57</v>
      </c>
      <c r="G234" s="34" t="n">
        <v>5.62</v>
      </c>
      <c r="H234" s="34" t="n">
        <v>10.27</v>
      </c>
      <c r="I234" s="19" t="n">
        <v>4.65</v>
      </c>
      <c r="J234" s="34" t="n">
        <v>10.25</v>
      </c>
      <c r="K234" s="34" t="n">
        <v>0.0199999999999996</v>
      </c>
      <c r="L234" s="34" t="n">
        <v>-0.048</v>
      </c>
      <c r="O234" s="19" t="n">
        <f aca="false">J234</f>
        <v>10.25</v>
      </c>
      <c r="P234" s="34" t="n">
        <v>6.41</v>
      </c>
      <c r="Q234" s="34" t="n">
        <v>-0.22</v>
      </c>
      <c r="R234" s="34" t="n">
        <v>-0.57</v>
      </c>
      <c r="S234" s="19" t="n">
        <v>4.65</v>
      </c>
      <c r="T234" s="34" t="n">
        <v>0.0199999999999996</v>
      </c>
      <c r="U234" s="34" t="n">
        <v>-0.048</v>
      </c>
      <c r="V234" s="13" t="n">
        <f aca="false">SUM(P234:U234)</f>
        <v>10.242</v>
      </c>
      <c r="W234" s="13" t="n">
        <f aca="false">O234-V234</f>
        <v>0.00799999999999912</v>
      </c>
    </row>
    <row r="235" customFormat="false" ht="15.65" hidden="false" customHeight="false" outlineLevel="0" collapsed="false">
      <c r="A235" s="12" t="n">
        <v>7</v>
      </c>
      <c r="B235" s="34" t="n">
        <v>45</v>
      </c>
      <c r="C235" s="34" t="s">
        <v>108</v>
      </c>
      <c r="D235" s="34" t="n">
        <v>6.21</v>
      </c>
      <c r="E235" s="34" t="n">
        <v>-0.13</v>
      </c>
      <c r="F235" s="34" t="n">
        <v>-0.75</v>
      </c>
      <c r="G235" s="34" t="n">
        <v>5.33</v>
      </c>
      <c r="H235" s="34" t="n">
        <v>9.99</v>
      </c>
      <c r="I235" s="19" t="n">
        <v>4.65</v>
      </c>
      <c r="J235" s="34" t="n">
        <v>10.09</v>
      </c>
      <c r="K235" s="34" t="n">
        <v>0.15</v>
      </c>
      <c r="L235" s="34" t="n">
        <v>-0.048</v>
      </c>
      <c r="O235" s="19" t="n">
        <f aca="false">J235</f>
        <v>10.09</v>
      </c>
      <c r="P235" s="34" t="n">
        <v>6.21</v>
      </c>
      <c r="Q235" s="34" t="n">
        <v>-0.13</v>
      </c>
      <c r="R235" s="34" t="n">
        <v>-0.75</v>
      </c>
      <c r="S235" s="19" t="n">
        <v>4.65</v>
      </c>
      <c r="T235" s="34" t="n">
        <v>0.15</v>
      </c>
      <c r="U235" s="34" t="n">
        <v>-0.048</v>
      </c>
      <c r="V235" s="13" t="n">
        <f aca="false">SUM(P235:U235)</f>
        <v>10.082</v>
      </c>
      <c r="W235" s="13" t="n">
        <f aca="false">O235-V235</f>
        <v>0.00799999999999912</v>
      </c>
    </row>
    <row r="236" customFormat="false" ht="15.65" hidden="false" customHeight="false" outlineLevel="0" collapsed="false">
      <c r="A236" s="12" t="n">
        <v>7</v>
      </c>
      <c r="B236" s="34" t="n">
        <v>46</v>
      </c>
      <c r="C236" s="34" t="s">
        <v>109</v>
      </c>
      <c r="D236" s="34" t="n">
        <v>6.65</v>
      </c>
      <c r="E236" s="34" t="n">
        <v>-0.12</v>
      </c>
      <c r="F236" s="34" t="n">
        <v>-0.9</v>
      </c>
      <c r="G236" s="34" t="n">
        <v>5.64</v>
      </c>
      <c r="H236" s="34" t="n">
        <v>10.29</v>
      </c>
      <c r="I236" s="19" t="n">
        <v>4.65</v>
      </c>
      <c r="J236" s="34" t="n">
        <v>10.31</v>
      </c>
      <c r="K236" s="34" t="n">
        <v>0.0100000000000016</v>
      </c>
      <c r="L236" s="34" t="n">
        <v>0.01</v>
      </c>
      <c r="O236" s="19" t="n">
        <f aca="false">J236</f>
        <v>10.31</v>
      </c>
      <c r="P236" s="34" t="n">
        <v>6.65</v>
      </c>
      <c r="Q236" s="34" t="n">
        <v>-0.12</v>
      </c>
      <c r="R236" s="34" t="n">
        <v>-0.9</v>
      </c>
      <c r="S236" s="19" t="n">
        <v>4.65</v>
      </c>
      <c r="T236" s="34" t="n">
        <v>0.0100000000000016</v>
      </c>
      <c r="U236" s="34" t="n">
        <v>0.01</v>
      </c>
      <c r="V236" s="13" t="n">
        <f aca="false">SUM(P236:U236)</f>
        <v>10.3</v>
      </c>
      <c r="W236" s="13" t="n">
        <f aca="false">O236-V236</f>
        <v>0.00999999999999801</v>
      </c>
    </row>
    <row r="237" customFormat="false" ht="15.65" hidden="false" customHeight="false" outlineLevel="0" collapsed="false">
      <c r="A237" s="12" t="n">
        <v>7</v>
      </c>
      <c r="B237" s="34" t="n">
        <v>47</v>
      </c>
      <c r="C237" s="34" t="s">
        <v>110</v>
      </c>
      <c r="D237" s="34" t="n">
        <v>6.41</v>
      </c>
      <c r="E237" s="34" t="n">
        <v>0.11</v>
      </c>
      <c r="F237" s="34" t="n">
        <v>-1.48</v>
      </c>
      <c r="G237" s="34" t="n">
        <v>5.03</v>
      </c>
      <c r="H237" s="34" t="n">
        <v>9.69</v>
      </c>
      <c r="I237" s="19" t="n">
        <v>4.65</v>
      </c>
      <c r="J237" s="34" t="n">
        <v>9.44</v>
      </c>
      <c r="K237" s="34" t="n">
        <v>-0.25</v>
      </c>
      <c r="L237" s="34" t="n">
        <v>-0.002</v>
      </c>
      <c r="O237" s="19" t="n">
        <f aca="false">J237</f>
        <v>9.44</v>
      </c>
      <c r="P237" s="34" t="n">
        <v>6.41</v>
      </c>
      <c r="Q237" s="34" t="n">
        <v>0.11</v>
      </c>
      <c r="R237" s="34" t="n">
        <v>-1.48</v>
      </c>
      <c r="S237" s="19" t="n">
        <v>4.65</v>
      </c>
      <c r="T237" s="34" t="n">
        <v>-0.25</v>
      </c>
      <c r="U237" s="34" t="n">
        <v>-0.002</v>
      </c>
      <c r="V237" s="13" t="n">
        <f aca="false">SUM(P237:U237)</f>
        <v>9.438</v>
      </c>
      <c r="W237" s="13" t="n">
        <f aca="false">O237-V237</f>
        <v>0.00199999999999889</v>
      </c>
    </row>
    <row r="238" customFormat="false" ht="15.65" hidden="false" customHeight="false" outlineLevel="0" collapsed="false">
      <c r="A238" s="12" t="n">
        <v>8</v>
      </c>
      <c r="B238" s="34" t="n">
        <v>1</v>
      </c>
      <c r="C238" s="34" t="s">
        <v>42</v>
      </c>
      <c r="D238" s="34" t="n">
        <v>6.21</v>
      </c>
      <c r="E238" s="34" t="n">
        <v>-0.33</v>
      </c>
      <c r="F238" s="34" t="n">
        <v>-0.19</v>
      </c>
      <c r="G238" s="34" t="n">
        <v>5.69</v>
      </c>
      <c r="H238" s="34" t="n">
        <v>10.24</v>
      </c>
      <c r="I238" s="19" t="n">
        <v>4.55</v>
      </c>
      <c r="J238" s="34" t="n">
        <v>10.28</v>
      </c>
      <c r="K238" s="34" t="n">
        <v>0.03</v>
      </c>
      <c r="L238" s="34" t="n">
        <v>0.01</v>
      </c>
      <c r="O238" s="19" t="n">
        <f aca="false">J238</f>
        <v>10.28</v>
      </c>
      <c r="P238" s="34" t="n">
        <v>6.21</v>
      </c>
      <c r="Q238" s="34" t="n">
        <v>-0.33</v>
      </c>
      <c r="R238" s="34" t="n">
        <v>-0.19</v>
      </c>
      <c r="S238" s="19" t="n">
        <v>4.55</v>
      </c>
      <c r="T238" s="34" t="n">
        <v>0.03</v>
      </c>
      <c r="U238" s="34" t="n">
        <v>0.01</v>
      </c>
      <c r="V238" s="13" t="n">
        <f aca="false">SUM(P238:U238)</f>
        <v>10.28</v>
      </c>
      <c r="W238" s="13" t="n">
        <f aca="false">O238-V238</f>
        <v>0</v>
      </c>
    </row>
    <row r="239" customFormat="false" ht="15.65" hidden="false" customHeight="false" outlineLevel="0" collapsed="false">
      <c r="A239" s="12" t="n">
        <v>8</v>
      </c>
      <c r="B239" s="34" t="n">
        <v>2</v>
      </c>
      <c r="C239" s="34" t="s">
        <v>45</v>
      </c>
      <c r="D239" s="34" t="n">
        <v>6.38</v>
      </c>
      <c r="E239" s="34" t="n">
        <v>-0.41</v>
      </c>
      <c r="F239" s="34" t="n">
        <v>-0.77</v>
      </c>
      <c r="G239" s="34" t="n">
        <v>5.19</v>
      </c>
      <c r="H239" s="34" t="n">
        <v>9.74</v>
      </c>
      <c r="I239" s="19" t="n">
        <v>4.55</v>
      </c>
      <c r="J239" s="34" t="n">
        <v>9.86</v>
      </c>
      <c r="K239" s="34" t="n">
        <v>0.11</v>
      </c>
      <c r="L239" s="34" t="n">
        <v>0.01</v>
      </c>
      <c r="O239" s="19" t="n">
        <f aca="false">J239</f>
        <v>9.86</v>
      </c>
      <c r="P239" s="34" t="n">
        <v>6.38</v>
      </c>
      <c r="Q239" s="34" t="n">
        <v>-0.41</v>
      </c>
      <c r="R239" s="34" t="n">
        <v>-0.77</v>
      </c>
      <c r="S239" s="19" t="n">
        <v>4.55</v>
      </c>
      <c r="T239" s="34" t="n">
        <v>0.11</v>
      </c>
      <c r="U239" s="34" t="n">
        <v>0.01</v>
      </c>
      <c r="V239" s="13" t="n">
        <f aca="false">SUM(P239:U239)</f>
        <v>9.87</v>
      </c>
      <c r="W239" s="13" t="n">
        <f aca="false">O239-V239</f>
        <v>-0.00999999999999979</v>
      </c>
    </row>
    <row r="240" customFormat="false" ht="15.65" hidden="false" customHeight="false" outlineLevel="0" collapsed="false">
      <c r="A240" s="12" t="n">
        <v>8</v>
      </c>
      <c r="B240" s="34" t="n">
        <v>3</v>
      </c>
      <c r="C240" s="34" t="s">
        <v>46</v>
      </c>
      <c r="D240" s="34" t="n">
        <v>6.02</v>
      </c>
      <c r="E240" s="34" t="n">
        <v>-0.37</v>
      </c>
      <c r="F240" s="34" t="n">
        <v>-0.64</v>
      </c>
      <c r="G240" s="34" t="n">
        <v>5.01</v>
      </c>
      <c r="H240" s="34" t="n">
        <v>9.56</v>
      </c>
      <c r="I240" s="19" t="n">
        <v>4.55</v>
      </c>
      <c r="J240" s="34" t="n">
        <v>9.51</v>
      </c>
      <c r="K240" s="34" t="n">
        <v>-0.06</v>
      </c>
      <c r="L240" s="34" t="n">
        <v>0</v>
      </c>
      <c r="O240" s="19" t="n">
        <f aca="false">J240</f>
        <v>9.51</v>
      </c>
      <c r="P240" s="34" t="n">
        <v>6.02</v>
      </c>
      <c r="Q240" s="34" t="n">
        <v>-0.37</v>
      </c>
      <c r="R240" s="34" t="n">
        <v>-0.64</v>
      </c>
      <c r="S240" s="19" t="n">
        <v>4.55</v>
      </c>
      <c r="T240" s="34" t="n">
        <v>-0.06</v>
      </c>
      <c r="U240" s="34" t="n">
        <v>0</v>
      </c>
      <c r="V240" s="13" t="n">
        <f aca="false">SUM(P240:U240)</f>
        <v>9.5</v>
      </c>
      <c r="W240" s="13" t="n">
        <f aca="false">O240-V240</f>
        <v>0.0100000000000016</v>
      </c>
    </row>
    <row r="241" customFormat="false" ht="15.65" hidden="false" customHeight="false" outlineLevel="0" collapsed="false">
      <c r="A241" s="12" t="n">
        <v>8</v>
      </c>
      <c r="B241" s="34" t="n">
        <v>4</v>
      </c>
      <c r="C241" s="34" t="s">
        <v>48</v>
      </c>
      <c r="D241" s="34" t="n">
        <v>5.99</v>
      </c>
      <c r="E241" s="34" t="n">
        <v>-0.16</v>
      </c>
      <c r="F241" s="34" t="n">
        <v>-0.35</v>
      </c>
      <c r="G241" s="34" t="n">
        <v>5.48</v>
      </c>
      <c r="H241" s="34" t="n">
        <v>10.03</v>
      </c>
      <c r="I241" s="19" t="n">
        <v>4.55</v>
      </c>
      <c r="J241" s="34" t="n">
        <v>10.1</v>
      </c>
      <c r="K241" s="34" t="n">
        <v>0.06</v>
      </c>
      <c r="L241" s="34" t="n">
        <v>0.01</v>
      </c>
      <c r="O241" s="19" t="n">
        <f aca="false">J241</f>
        <v>10.1</v>
      </c>
      <c r="P241" s="34" t="n">
        <v>5.99</v>
      </c>
      <c r="Q241" s="34" t="n">
        <v>-0.16</v>
      </c>
      <c r="R241" s="34" t="n">
        <v>-0.35</v>
      </c>
      <c r="S241" s="19" t="n">
        <v>4.55</v>
      </c>
      <c r="T241" s="34" t="n">
        <v>0.06</v>
      </c>
      <c r="U241" s="34" t="n">
        <v>0.01</v>
      </c>
      <c r="V241" s="13" t="n">
        <f aca="false">SUM(P241:U241)</f>
        <v>10.1</v>
      </c>
      <c r="W241" s="13" t="n">
        <f aca="false">O241-V241</f>
        <v>0</v>
      </c>
    </row>
    <row r="242" customFormat="false" ht="15.65" hidden="false" customHeight="false" outlineLevel="0" collapsed="false">
      <c r="A242" s="12" t="n">
        <v>8</v>
      </c>
      <c r="B242" s="34" t="n">
        <v>5</v>
      </c>
      <c r="C242" s="34" t="s">
        <v>49</v>
      </c>
      <c r="D242" s="34" t="n">
        <v>6.81</v>
      </c>
      <c r="E242" s="34" t="n">
        <v>-0.66</v>
      </c>
      <c r="F242" s="34" t="n">
        <v>-0.69</v>
      </c>
      <c r="G242" s="34" t="n">
        <v>5.46</v>
      </c>
      <c r="H242" s="34" t="n">
        <v>10.01</v>
      </c>
      <c r="I242" s="19" t="n">
        <v>4.55</v>
      </c>
      <c r="J242" s="34" t="n">
        <v>10.02</v>
      </c>
      <c r="K242" s="34" t="n">
        <v>0.04</v>
      </c>
      <c r="L242" s="34" t="n">
        <v>-0.03</v>
      </c>
      <c r="O242" s="19" t="n">
        <f aca="false">J242</f>
        <v>10.02</v>
      </c>
      <c r="P242" s="34" t="n">
        <v>6.81</v>
      </c>
      <c r="Q242" s="34" t="n">
        <v>-0.66</v>
      </c>
      <c r="R242" s="34" t="n">
        <v>-0.69</v>
      </c>
      <c r="S242" s="19" t="n">
        <v>4.55</v>
      </c>
      <c r="T242" s="34" t="n">
        <v>0.04</v>
      </c>
      <c r="U242" s="34" t="n">
        <v>-0.03</v>
      </c>
      <c r="V242" s="13" t="n">
        <f aca="false">SUM(P242:U242)</f>
        <v>10.02</v>
      </c>
      <c r="W242" s="13" t="n">
        <f aca="false">O242-V242</f>
        <v>0</v>
      </c>
    </row>
    <row r="243" customFormat="false" ht="15.65" hidden="false" customHeight="false" outlineLevel="0" collapsed="false">
      <c r="A243" s="12" t="n">
        <v>8</v>
      </c>
      <c r="B243" s="34" t="n">
        <v>6</v>
      </c>
      <c r="C243" s="34" t="s">
        <v>50</v>
      </c>
      <c r="D243" s="34" t="n">
        <v>6.15</v>
      </c>
      <c r="E243" s="34" t="n">
        <v>-0.33</v>
      </c>
      <c r="F243" s="34" t="n">
        <v>-0.5</v>
      </c>
      <c r="G243" s="34" t="n">
        <v>5.32</v>
      </c>
      <c r="H243" s="34" t="n">
        <v>9.87</v>
      </c>
      <c r="I243" s="19" t="n">
        <v>4.55</v>
      </c>
      <c r="J243" s="34" t="n">
        <v>9.79</v>
      </c>
      <c r="K243" s="34" t="n">
        <v>-0.04</v>
      </c>
      <c r="L243" s="34" t="n">
        <v>-0.04</v>
      </c>
      <c r="O243" s="19" t="n">
        <f aca="false">J243</f>
        <v>9.79</v>
      </c>
      <c r="P243" s="34" t="n">
        <v>6.15</v>
      </c>
      <c r="Q243" s="34" t="n">
        <v>-0.33</v>
      </c>
      <c r="R243" s="34" t="n">
        <v>-0.5</v>
      </c>
      <c r="S243" s="19" t="n">
        <v>4.55</v>
      </c>
      <c r="T243" s="34" t="n">
        <v>-0.04</v>
      </c>
      <c r="U243" s="34" t="n">
        <v>-0.04</v>
      </c>
      <c r="V243" s="13" t="n">
        <f aca="false">SUM(P243:U243)</f>
        <v>9.79</v>
      </c>
      <c r="W243" s="13" t="n">
        <f aca="false">O243-V243</f>
        <v>0</v>
      </c>
    </row>
    <row r="244" customFormat="false" ht="15.65" hidden="false" customHeight="false" outlineLevel="0" collapsed="false">
      <c r="A244" s="12" t="n">
        <v>8</v>
      </c>
      <c r="B244" s="34" t="n">
        <v>7</v>
      </c>
      <c r="C244" s="34" t="s">
        <v>51</v>
      </c>
      <c r="D244" s="34" t="n">
        <v>5.48</v>
      </c>
      <c r="E244" s="34" t="n">
        <v>-0.21</v>
      </c>
      <c r="F244" s="34" t="n">
        <v>-0.32</v>
      </c>
      <c r="G244" s="34" t="n">
        <v>4.95</v>
      </c>
      <c r="H244" s="34" t="n">
        <v>9.5</v>
      </c>
      <c r="I244" s="19" t="n">
        <v>4.55</v>
      </c>
      <c r="J244" s="34" t="n">
        <v>9.5</v>
      </c>
      <c r="K244" s="34" t="n">
        <v>0.02</v>
      </c>
      <c r="L244" s="34" t="n">
        <v>-0.01</v>
      </c>
      <c r="O244" s="19" t="n">
        <f aca="false">J244</f>
        <v>9.5</v>
      </c>
      <c r="P244" s="34" t="n">
        <v>5.48</v>
      </c>
      <c r="Q244" s="34" t="n">
        <v>-0.21</v>
      </c>
      <c r="R244" s="34" t="n">
        <v>-0.32</v>
      </c>
      <c r="S244" s="19" t="n">
        <v>4.55</v>
      </c>
      <c r="T244" s="34" t="n">
        <v>0.02</v>
      </c>
      <c r="U244" s="34" t="n">
        <v>-0.01</v>
      </c>
      <c r="V244" s="13" t="n">
        <f aca="false">SUM(P244:U244)</f>
        <v>9.51</v>
      </c>
      <c r="W244" s="13" t="n">
        <f aca="false">O244-V244</f>
        <v>-0.00999999999999979</v>
      </c>
    </row>
    <row r="245" customFormat="false" ht="15.65" hidden="false" customHeight="false" outlineLevel="0" collapsed="false">
      <c r="A245" s="12" t="n">
        <v>8</v>
      </c>
      <c r="B245" s="34" t="n">
        <v>8</v>
      </c>
      <c r="C245" s="34" t="s">
        <v>52</v>
      </c>
      <c r="D245" s="34" t="n">
        <v>5.06</v>
      </c>
      <c r="E245" s="34" t="n">
        <v>-0.05</v>
      </c>
      <c r="F245" s="34" t="n">
        <v>0</v>
      </c>
      <c r="G245" s="34" t="n">
        <v>5.01</v>
      </c>
      <c r="H245" s="34" t="n">
        <v>9.56</v>
      </c>
      <c r="I245" s="19" t="n">
        <v>4.55</v>
      </c>
      <c r="J245" s="34" t="n">
        <v>9.52</v>
      </c>
      <c r="K245" s="34" t="n">
        <v>-0.05</v>
      </c>
      <c r="L245" s="34" t="n">
        <v>0.01</v>
      </c>
      <c r="O245" s="19" t="n">
        <f aca="false">J245</f>
        <v>9.52</v>
      </c>
      <c r="P245" s="34" t="n">
        <v>5.06</v>
      </c>
      <c r="Q245" s="34" t="n">
        <v>-0.05</v>
      </c>
      <c r="R245" s="34" t="n">
        <v>0</v>
      </c>
      <c r="S245" s="19" t="n">
        <v>4.55</v>
      </c>
      <c r="T245" s="34" t="n">
        <v>-0.05</v>
      </c>
      <c r="U245" s="34" t="n">
        <v>0.01</v>
      </c>
      <c r="V245" s="13" t="n">
        <f aca="false">SUM(P245:U245)</f>
        <v>9.52</v>
      </c>
      <c r="W245" s="13" t="n">
        <f aca="false">O245-V245</f>
        <v>0</v>
      </c>
    </row>
    <row r="246" customFormat="false" ht="15.65" hidden="false" customHeight="false" outlineLevel="0" collapsed="false">
      <c r="A246" s="12" t="n">
        <v>8</v>
      </c>
      <c r="B246" s="34" t="n">
        <v>9</v>
      </c>
      <c r="C246" s="34" t="s">
        <v>53</v>
      </c>
      <c r="D246" s="34" t="n">
        <v>5.43</v>
      </c>
      <c r="E246" s="34" t="n">
        <v>-0.09</v>
      </c>
      <c r="F246" s="34" t="n">
        <v>-0.09</v>
      </c>
      <c r="G246" s="34" t="n">
        <v>5.25</v>
      </c>
      <c r="H246" s="34" t="n">
        <v>9.79</v>
      </c>
      <c r="I246" s="19" t="n">
        <v>4.55</v>
      </c>
      <c r="J246" s="34" t="n">
        <v>9.83</v>
      </c>
      <c r="K246" s="34" t="n">
        <v>0.03</v>
      </c>
      <c r="L246" s="34" t="n">
        <v>0.01</v>
      </c>
      <c r="O246" s="19" t="n">
        <f aca="false">J246</f>
        <v>9.83</v>
      </c>
      <c r="P246" s="34" t="n">
        <v>5.43</v>
      </c>
      <c r="Q246" s="34" t="n">
        <v>-0.09</v>
      </c>
      <c r="R246" s="34" t="n">
        <v>-0.09</v>
      </c>
      <c r="S246" s="19" t="n">
        <v>4.55</v>
      </c>
      <c r="T246" s="34" t="n">
        <v>0.03</v>
      </c>
      <c r="U246" s="34" t="n">
        <v>0.01</v>
      </c>
      <c r="V246" s="13" t="n">
        <f aca="false">SUM(P246:U246)</f>
        <v>9.84</v>
      </c>
      <c r="W246" s="13" t="n">
        <f aca="false">O246-V246</f>
        <v>-0.00999999999999979</v>
      </c>
    </row>
    <row r="247" customFormat="false" ht="15.65" hidden="false" customHeight="false" outlineLevel="0" collapsed="false">
      <c r="A247" s="12" t="n">
        <v>8</v>
      </c>
      <c r="B247" s="34" t="n">
        <v>10</v>
      </c>
      <c r="C247" s="34" t="s">
        <v>54</v>
      </c>
      <c r="D247" s="34" t="n">
        <v>5.24</v>
      </c>
      <c r="E247" s="34" t="n">
        <v>-0.02</v>
      </c>
      <c r="F247" s="34" t="n">
        <v>-0.09</v>
      </c>
      <c r="G247" s="34" t="n">
        <v>5.13</v>
      </c>
      <c r="H247" s="34" t="n">
        <v>9.68</v>
      </c>
      <c r="I247" s="19" t="n">
        <v>4.55</v>
      </c>
      <c r="J247" s="34" t="n">
        <v>9.68</v>
      </c>
      <c r="K247" s="34" t="n">
        <v>-0.01</v>
      </c>
      <c r="L247" s="34" t="n">
        <v>0.01</v>
      </c>
      <c r="O247" s="19" t="n">
        <f aca="false">J247</f>
        <v>9.68</v>
      </c>
      <c r="P247" s="34" t="n">
        <v>5.24</v>
      </c>
      <c r="Q247" s="34" t="n">
        <v>-0.02</v>
      </c>
      <c r="R247" s="34" t="n">
        <v>-0.09</v>
      </c>
      <c r="S247" s="19" t="n">
        <v>4.55</v>
      </c>
      <c r="T247" s="34" t="n">
        <v>-0.01</v>
      </c>
      <c r="U247" s="34" t="n">
        <v>0.01</v>
      </c>
      <c r="V247" s="13" t="n">
        <f aca="false">SUM(P247:U247)</f>
        <v>9.68</v>
      </c>
      <c r="W247" s="13" t="n">
        <f aca="false">O247-V247</f>
        <v>0</v>
      </c>
    </row>
    <row r="248" customFormat="false" ht="15.65" hidden="false" customHeight="false" outlineLevel="0" collapsed="false">
      <c r="A248" s="12" t="n">
        <v>8</v>
      </c>
      <c r="B248" s="34" t="n">
        <v>11</v>
      </c>
      <c r="C248" s="34" t="s">
        <v>56</v>
      </c>
      <c r="D248" s="34" t="n">
        <v>5.03</v>
      </c>
      <c r="E248" s="34" t="n">
        <v>-0.02</v>
      </c>
      <c r="F248" s="34" t="n">
        <v>0.1</v>
      </c>
      <c r="G248" s="34" t="n">
        <v>5.12</v>
      </c>
      <c r="H248" s="34" t="n">
        <v>9.66</v>
      </c>
      <c r="I248" s="19" t="n">
        <v>4.55</v>
      </c>
      <c r="J248" s="34" t="n">
        <v>9.67</v>
      </c>
      <c r="K248" s="34" t="n">
        <v>0</v>
      </c>
      <c r="L248" s="34" t="n">
        <v>0.01</v>
      </c>
      <c r="O248" s="19" t="n">
        <f aca="false">J248</f>
        <v>9.67</v>
      </c>
      <c r="P248" s="34" t="n">
        <v>5.03</v>
      </c>
      <c r="Q248" s="34" t="n">
        <v>-0.02</v>
      </c>
      <c r="R248" s="34" t="n">
        <v>0.1</v>
      </c>
      <c r="S248" s="19" t="n">
        <v>4.55</v>
      </c>
      <c r="T248" s="34" t="n">
        <v>0</v>
      </c>
      <c r="U248" s="34" t="n">
        <v>0.01</v>
      </c>
      <c r="V248" s="13" t="n">
        <f aca="false">SUM(P248:U248)</f>
        <v>9.67</v>
      </c>
      <c r="W248" s="13" t="n">
        <f aca="false">O248-V248</f>
        <v>0</v>
      </c>
    </row>
    <row r="249" customFormat="false" ht="15.65" hidden="false" customHeight="false" outlineLevel="0" collapsed="false">
      <c r="A249" s="12" t="n">
        <v>8</v>
      </c>
      <c r="B249" s="34" t="n">
        <v>12</v>
      </c>
      <c r="C249" s="34" t="s">
        <v>58</v>
      </c>
      <c r="D249" s="34" t="n">
        <v>5.1</v>
      </c>
      <c r="E249" s="34" t="n">
        <v>-0.06</v>
      </c>
      <c r="F249" s="34" t="n">
        <v>0.1</v>
      </c>
      <c r="G249" s="34" t="n">
        <v>5.15</v>
      </c>
      <c r="H249" s="34" t="n">
        <v>9.69</v>
      </c>
      <c r="I249" s="19" t="n">
        <v>4.55</v>
      </c>
      <c r="J249" s="34" t="n">
        <v>9.73</v>
      </c>
      <c r="K249" s="34" t="n">
        <v>0.02</v>
      </c>
      <c r="L249" s="34" t="n">
        <v>0.01</v>
      </c>
      <c r="O249" s="19" t="n">
        <f aca="false">J249</f>
        <v>9.73</v>
      </c>
      <c r="P249" s="34" t="n">
        <v>5.1</v>
      </c>
      <c r="Q249" s="34" t="n">
        <v>-0.06</v>
      </c>
      <c r="R249" s="34" t="n">
        <v>0.1</v>
      </c>
      <c r="S249" s="19" t="n">
        <v>4.55</v>
      </c>
      <c r="T249" s="34" t="n">
        <v>0.02</v>
      </c>
      <c r="U249" s="34" t="n">
        <v>0.01</v>
      </c>
      <c r="V249" s="13" t="n">
        <f aca="false">SUM(P249:U249)</f>
        <v>9.72</v>
      </c>
      <c r="W249" s="13" t="n">
        <f aca="false">O249-V249</f>
        <v>0.0100000000000016</v>
      </c>
    </row>
    <row r="250" customFormat="false" ht="15.65" hidden="false" customHeight="false" outlineLevel="0" collapsed="false">
      <c r="A250" s="12" t="n">
        <v>8</v>
      </c>
      <c r="B250" s="34" t="n">
        <v>13</v>
      </c>
      <c r="C250" s="34" t="s">
        <v>60</v>
      </c>
      <c r="D250" s="34" t="n">
        <v>4.49</v>
      </c>
      <c r="E250" s="34" t="n">
        <v>0.16</v>
      </c>
      <c r="F250" s="34" t="n">
        <v>0.62</v>
      </c>
      <c r="G250" s="34" t="n">
        <v>5.28</v>
      </c>
      <c r="H250" s="34" t="n">
        <v>9.82</v>
      </c>
      <c r="I250" s="19" t="n">
        <v>4.55</v>
      </c>
      <c r="J250" s="34" t="n">
        <v>9.85</v>
      </c>
      <c r="K250" s="34" t="n">
        <v>0.02</v>
      </c>
      <c r="L250" s="34" t="n">
        <v>0.01</v>
      </c>
      <c r="O250" s="19" t="n">
        <f aca="false">J250</f>
        <v>9.85</v>
      </c>
      <c r="P250" s="34" t="n">
        <v>4.49</v>
      </c>
      <c r="Q250" s="34" t="n">
        <v>0.16</v>
      </c>
      <c r="R250" s="34" t="n">
        <v>0.62</v>
      </c>
      <c r="S250" s="19" t="n">
        <v>4.55</v>
      </c>
      <c r="T250" s="34" t="n">
        <v>0.02</v>
      </c>
      <c r="U250" s="34" t="n">
        <v>0.01</v>
      </c>
      <c r="V250" s="13" t="n">
        <f aca="false">SUM(P250:U250)</f>
        <v>9.85</v>
      </c>
      <c r="W250" s="13" t="n">
        <f aca="false">O250-V250</f>
        <v>0</v>
      </c>
    </row>
    <row r="251" customFormat="false" ht="15.65" hidden="false" customHeight="false" outlineLevel="0" collapsed="false">
      <c r="A251" s="12" t="n">
        <v>8</v>
      </c>
      <c r="B251" s="34" t="n">
        <v>14</v>
      </c>
      <c r="C251" s="34" t="s">
        <v>62</v>
      </c>
      <c r="D251" s="34" t="n">
        <v>5.08</v>
      </c>
      <c r="E251" s="34" t="n">
        <v>-0.07</v>
      </c>
      <c r="F251" s="34" t="n">
        <v>0.34</v>
      </c>
      <c r="G251" s="34" t="n">
        <v>5.35</v>
      </c>
      <c r="H251" s="34" t="n">
        <v>9.9</v>
      </c>
      <c r="I251" s="19" t="n">
        <v>4.55</v>
      </c>
      <c r="J251" s="34" t="n">
        <v>9.96</v>
      </c>
      <c r="K251" s="34" t="n">
        <v>0.05</v>
      </c>
      <c r="L251" s="34" t="n">
        <v>0.01</v>
      </c>
      <c r="O251" s="19" t="n">
        <f aca="false">J251</f>
        <v>9.96</v>
      </c>
      <c r="P251" s="34" t="n">
        <v>5.08</v>
      </c>
      <c r="Q251" s="34" t="n">
        <v>-0.07</v>
      </c>
      <c r="R251" s="34" t="n">
        <v>0.34</v>
      </c>
      <c r="S251" s="19" t="n">
        <v>4.55</v>
      </c>
      <c r="T251" s="34" t="n">
        <v>0.05</v>
      </c>
      <c r="U251" s="34" t="n">
        <v>0.01</v>
      </c>
      <c r="V251" s="13" t="n">
        <f aca="false">SUM(P251:U251)</f>
        <v>9.96</v>
      </c>
      <c r="W251" s="13" t="n">
        <f aca="false">O251-V251</f>
        <v>0</v>
      </c>
    </row>
    <row r="252" customFormat="false" ht="15.65" hidden="false" customHeight="false" outlineLevel="0" collapsed="false">
      <c r="A252" s="12" t="n">
        <v>8</v>
      </c>
      <c r="B252" s="34" t="n">
        <v>15</v>
      </c>
      <c r="C252" s="34" t="s">
        <v>64</v>
      </c>
      <c r="D252" s="34" t="n">
        <v>5.28</v>
      </c>
      <c r="E252" s="34" t="n">
        <v>-0.15</v>
      </c>
      <c r="F252" s="34" t="n">
        <v>-0.28</v>
      </c>
      <c r="G252" s="34" t="n">
        <v>4.84</v>
      </c>
      <c r="H252" s="34" t="n">
        <v>9.39</v>
      </c>
      <c r="I252" s="19" t="n">
        <v>4.55</v>
      </c>
      <c r="J252" s="34" t="n">
        <v>9.21</v>
      </c>
      <c r="K252" s="34" t="n">
        <v>0.03</v>
      </c>
      <c r="L252" s="34" t="n">
        <v>-0.21</v>
      </c>
      <c r="O252" s="19" t="n">
        <f aca="false">J252</f>
        <v>9.21</v>
      </c>
      <c r="P252" s="34" t="n">
        <v>5.28</v>
      </c>
      <c r="Q252" s="34" t="n">
        <v>-0.15</v>
      </c>
      <c r="R252" s="34" t="n">
        <v>-0.28</v>
      </c>
      <c r="S252" s="19" t="n">
        <v>4.55</v>
      </c>
      <c r="T252" s="34" t="n">
        <v>0.03</v>
      </c>
      <c r="U252" s="34" t="n">
        <v>-0.21</v>
      </c>
      <c r="V252" s="13" t="n">
        <f aca="false">SUM(P252:U252)</f>
        <v>9.22</v>
      </c>
      <c r="W252" s="13" t="n">
        <f aca="false">O252-V252</f>
        <v>-0.00999999999999801</v>
      </c>
    </row>
    <row r="253" customFormat="false" ht="15.65" hidden="false" customHeight="false" outlineLevel="0" collapsed="false">
      <c r="A253" s="12" t="n">
        <v>8</v>
      </c>
      <c r="B253" s="34" t="n">
        <v>16</v>
      </c>
      <c r="C253" s="34" t="s">
        <v>66</v>
      </c>
      <c r="D253" s="34" t="n">
        <v>4.97</v>
      </c>
      <c r="E253" s="34" t="n">
        <v>-0.08</v>
      </c>
      <c r="F253" s="34" t="n">
        <v>0.11</v>
      </c>
      <c r="G253" s="34" t="n">
        <v>5.01</v>
      </c>
      <c r="H253" s="34" t="n">
        <v>9.55</v>
      </c>
      <c r="I253" s="19" t="n">
        <v>4.55</v>
      </c>
      <c r="J253" s="34" t="n">
        <v>9.59</v>
      </c>
      <c r="K253" s="34" t="n">
        <v>0.03</v>
      </c>
      <c r="L253" s="34" t="n">
        <v>0.01</v>
      </c>
      <c r="O253" s="19" t="n">
        <f aca="false">J253</f>
        <v>9.59</v>
      </c>
      <c r="P253" s="34" t="n">
        <v>4.97</v>
      </c>
      <c r="Q253" s="34" t="n">
        <v>-0.08</v>
      </c>
      <c r="R253" s="34" t="n">
        <v>0.11</v>
      </c>
      <c r="S253" s="19" t="n">
        <v>4.55</v>
      </c>
      <c r="T253" s="34" t="n">
        <v>0.03</v>
      </c>
      <c r="U253" s="34" t="n">
        <v>0.01</v>
      </c>
      <c r="V253" s="13" t="n">
        <f aca="false">SUM(P253:U253)</f>
        <v>9.59</v>
      </c>
      <c r="W253" s="13" t="n">
        <f aca="false">O253-V253</f>
        <v>0</v>
      </c>
    </row>
    <row r="254" customFormat="false" ht="15.65" hidden="false" customHeight="false" outlineLevel="0" collapsed="false">
      <c r="A254" s="12" t="n">
        <v>8</v>
      </c>
      <c r="B254" s="34" t="n">
        <v>17</v>
      </c>
      <c r="C254" s="34" t="s">
        <v>67</v>
      </c>
      <c r="D254" s="34" t="n">
        <v>5.12</v>
      </c>
      <c r="E254" s="34" t="n">
        <v>0</v>
      </c>
      <c r="F254" s="34" t="n">
        <v>0.06</v>
      </c>
      <c r="G254" s="34" t="n">
        <v>5.18</v>
      </c>
      <c r="H254" s="34" t="n">
        <v>9.72</v>
      </c>
      <c r="I254" s="19" t="n">
        <v>4.55</v>
      </c>
      <c r="J254" s="34" t="n">
        <v>9.7</v>
      </c>
      <c r="K254" s="34" t="n">
        <v>0.01</v>
      </c>
      <c r="L254" s="34" t="n">
        <v>-0.04</v>
      </c>
      <c r="O254" s="19" t="n">
        <f aca="false">J254</f>
        <v>9.7</v>
      </c>
      <c r="P254" s="34" t="n">
        <v>5.12</v>
      </c>
      <c r="Q254" s="34" t="n">
        <v>0</v>
      </c>
      <c r="R254" s="34" t="n">
        <v>0.06</v>
      </c>
      <c r="S254" s="19" t="n">
        <v>4.55</v>
      </c>
      <c r="T254" s="34" t="n">
        <v>0.01</v>
      </c>
      <c r="U254" s="34" t="n">
        <v>-0.04</v>
      </c>
      <c r="V254" s="13" t="n">
        <f aca="false">SUM(P254:U254)</f>
        <v>9.7</v>
      </c>
      <c r="W254" s="13" t="n">
        <f aca="false">O254-V254</f>
        <v>0</v>
      </c>
    </row>
    <row r="255" customFormat="false" ht="15.65" hidden="false" customHeight="false" outlineLevel="0" collapsed="false">
      <c r="A255" s="12" t="n">
        <v>8</v>
      </c>
      <c r="B255" s="34" t="n">
        <v>18</v>
      </c>
      <c r="C255" s="34" t="s">
        <v>69</v>
      </c>
      <c r="D255" s="34" t="n">
        <v>5.43</v>
      </c>
      <c r="E255" s="34" t="n">
        <v>-0.14</v>
      </c>
      <c r="F255" s="34" t="n">
        <v>-0.05</v>
      </c>
      <c r="G255" s="34" t="n">
        <v>5.25</v>
      </c>
      <c r="H255" s="34" t="n">
        <v>9.8</v>
      </c>
      <c r="I255" s="19" t="n">
        <v>4.55</v>
      </c>
      <c r="J255" s="34" t="n">
        <v>9.71</v>
      </c>
      <c r="K255" s="34" t="n">
        <v>-0.1</v>
      </c>
      <c r="L255" s="34" t="n">
        <v>0.01</v>
      </c>
      <c r="O255" s="19" t="n">
        <f aca="false">J255</f>
        <v>9.71</v>
      </c>
      <c r="P255" s="34" t="n">
        <v>5.43</v>
      </c>
      <c r="Q255" s="34" t="n">
        <v>-0.14</v>
      </c>
      <c r="R255" s="34" t="n">
        <v>-0.05</v>
      </c>
      <c r="S255" s="19" t="n">
        <v>4.55</v>
      </c>
      <c r="T255" s="34" t="n">
        <v>-0.1</v>
      </c>
      <c r="U255" s="34" t="n">
        <v>0.01</v>
      </c>
      <c r="V255" s="13" t="n">
        <f aca="false">SUM(P255:U255)</f>
        <v>9.7</v>
      </c>
      <c r="W255" s="13" t="n">
        <f aca="false">O255-V255</f>
        <v>0.0100000000000016</v>
      </c>
    </row>
    <row r="256" customFormat="false" ht="15.65" hidden="false" customHeight="false" outlineLevel="0" collapsed="false">
      <c r="A256" s="12" t="n">
        <v>8</v>
      </c>
      <c r="B256" s="34" t="n">
        <v>19</v>
      </c>
      <c r="C256" s="34" t="s">
        <v>75</v>
      </c>
      <c r="D256" s="34" t="n">
        <v>5.4</v>
      </c>
      <c r="E256" s="34" t="n">
        <v>-0.16</v>
      </c>
      <c r="F256" s="34" t="n">
        <v>-0.13</v>
      </c>
      <c r="G256" s="34" t="n">
        <v>5.11</v>
      </c>
      <c r="H256" s="34" t="n">
        <v>9.66</v>
      </c>
      <c r="I256" s="19" t="n">
        <v>4.55</v>
      </c>
      <c r="J256" s="34" t="n">
        <v>9.55</v>
      </c>
      <c r="K256" s="34" t="n">
        <v>-0.09</v>
      </c>
      <c r="L256" s="34" t="n">
        <v>-0.01</v>
      </c>
      <c r="O256" s="19" t="n">
        <f aca="false">J256</f>
        <v>9.55</v>
      </c>
      <c r="P256" s="34" t="n">
        <v>5.4</v>
      </c>
      <c r="Q256" s="34" t="n">
        <v>-0.16</v>
      </c>
      <c r="R256" s="34" t="n">
        <v>-0.13</v>
      </c>
      <c r="S256" s="19" t="n">
        <v>4.55</v>
      </c>
      <c r="T256" s="34" t="n">
        <v>-0.09</v>
      </c>
      <c r="U256" s="34" t="n">
        <v>-0.01</v>
      </c>
      <c r="V256" s="13" t="n">
        <f aca="false">SUM(P256:U256)</f>
        <v>9.56</v>
      </c>
      <c r="W256" s="13" t="n">
        <f aca="false">O256-V256</f>
        <v>-0.00999999999999979</v>
      </c>
    </row>
    <row r="257" customFormat="false" ht="15.65" hidden="false" customHeight="false" outlineLevel="0" collapsed="false">
      <c r="A257" s="12" t="n">
        <v>8</v>
      </c>
      <c r="B257" s="34" t="n">
        <v>20</v>
      </c>
      <c r="C257" s="34" t="s">
        <v>76</v>
      </c>
      <c r="D257" s="34" t="n">
        <v>5.28</v>
      </c>
      <c r="E257" s="34" t="n">
        <v>-0.09</v>
      </c>
      <c r="F257" s="34" t="n">
        <v>-0.17</v>
      </c>
      <c r="G257" s="34" t="n">
        <v>5.02</v>
      </c>
      <c r="H257" s="34" t="n">
        <v>9.57</v>
      </c>
      <c r="I257" s="19" t="n">
        <v>4.55</v>
      </c>
      <c r="J257" s="34" t="n">
        <v>9.63</v>
      </c>
      <c r="K257" s="34" t="n">
        <v>0.05</v>
      </c>
      <c r="L257" s="34" t="n">
        <v>0.01</v>
      </c>
      <c r="O257" s="19" t="n">
        <f aca="false">J257</f>
        <v>9.63</v>
      </c>
      <c r="P257" s="34" t="n">
        <v>5.28</v>
      </c>
      <c r="Q257" s="34" t="n">
        <v>-0.09</v>
      </c>
      <c r="R257" s="34" t="n">
        <v>-0.17</v>
      </c>
      <c r="S257" s="19" t="n">
        <v>4.55</v>
      </c>
      <c r="T257" s="34" t="n">
        <v>0.05</v>
      </c>
      <c r="U257" s="34" t="n">
        <v>0.01</v>
      </c>
      <c r="V257" s="13" t="n">
        <f aca="false">SUM(P257:U257)</f>
        <v>9.63</v>
      </c>
      <c r="W257" s="13" t="n">
        <f aca="false">O257-V257</f>
        <v>0</v>
      </c>
    </row>
    <row r="258" customFormat="false" ht="15.65" hidden="false" customHeight="false" outlineLevel="0" collapsed="false">
      <c r="A258" s="12" t="n">
        <v>8</v>
      </c>
      <c r="B258" s="34" t="n">
        <v>21</v>
      </c>
      <c r="C258" s="34" t="s">
        <v>78</v>
      </c>
      <c r="D258" s="34" t="n">
        <v>5.4</v>
      </c>
      <c r="E258" s="34" t="n">
        <v>-0.01</v>
      </c>
      <c r="F258" s="34" t="n">
        <v>-0.12</v>
      </c>
      <c r="G258" s="34" t="n">
        <v>5.27</v>
      </c>
      <c r="H258" s="34" t="n">
        <v>9.82</v>
      </c>
      <c r="I258" s="19" t="n">
        <v>4.55</v>
      </c>
      <c r="J258" s="34" t="n">
        <v>9.8</v>
      </c>
      <c r="K258" s="34" t="n">
        <v>0.03</v>
      </c>
      <c r="L258" s="34" t="n">
        <v>-0.05</v>
      </c>
      <c r="O258" s="19" t="n">
        <f aca="false">J258</f>
        <v>9.8</v>
      </c>
      <c r="P258" s="34" t="n">
        <v>5.4</v>
      </c>
      <c r="Q258" s="34" t="n">
        <v>-0.01</v>
      </c>
      <c r="R258" s="34" t="n">
        <v>-0.12</v>
      </c>
      <c r="S258" s="19" t="n">
        <v>4.55</v>
      </c>
      <c r="T258" s="34" t="n">
        <v>0.03</v>
      </c>
      <c r="U258" s="34" t="n">
        <v>-0.05</v>
      </c>
      <c r="V258" s="13" t="n">
        <f aca="false">SUM(P258:U258)</f>
        <v>9.8</v>
      </c>
      <c r="W258" s="13" t="n">
        <f aca="false">O258-V258</f>
        <v>0</v>
      </c>
    </row>
    <row r="259" customFormat="false" ht="15.65" hidden="false" customHeight="false" outlineLevel="0" collapsed="false">
      <c r="A259" s="12" t="n">
        <v>8</v>
      </c>
      <c r="B259" s="34" t="n">
        <v>22</v>
      </c>
      <c r="C259" s="34" t="s">
        <v>80</v>
      </c>
      <c r="D259" s="34" t="n">
        <v>5.1</v>
      </c>
      <c r="E259" s="34" t="n">
        <v>-0.05</v>
      </c>
      <c r="F259" s="34" t="n">
        <v>0.07</v>
      </c>
      <c r="G259" s="34" t="n">
        <v>5.12</v>
      </c>
      <c r="H259" s="34" t="n">
        <v>9.67</v>
      </c>
      <c r="I259" s="19" t="n">
        <v>4.55</v>
      </c>
      <c r="J259" s="34" t="n">
        <v>9.61</v>
      </c>
      <c r="K259" s="34" t="n">
        <v>-0.02</v>
      </c>
      <c r="L259" s="34" t="n">
        <v>-0.03</v>
      </c>
      <c r="O259" s="19" t="n">
        <f aca="false">J259</f>
        <v>9.61</v>
      </c>
      <c r="P259" s="34" t="n">
        <v>5.1</v>
      </c>
      <c r="Q259" s="34" t="n">
        <v>-0.05</v>
      </c>
      <c r="R259" s="34" t="n">
        <v>0.07</v>
      </c>
      <c r="S259" s="19" t="n">
        <v>4.55</v>
      </c>
      <c r="T259" s="34" t="n">
        <v>-0.02</v>
      </c>
      <c r="U259" s="34" t="n">
        <v>-0.03</v>
      </c>
      <c r="V259" s="13" t="n">
        <f aca="false">SUM(P259:U259)</f>
        <v>9.62</v>
      </c>
      <c r="W259" s="13" t="n">
        <f aca="false">O259-V259</f>
        <v>-0.0100000000000016</v>
      </c>
    </row>
    <row r="260" customFormat="false" ht="15.65" hidden="false" customHeight="false" outlineLevel="0" collapsed="false">
      <c r="A260" s="12" t="n">
        <v>8</v>
      </c>
      <c r="B260" s="34" t="n">
        <v>23</v>
      </c>
      <c r="C260" s="34" t="s">
        <v>81</v>
      </c>
      <c r="D260" s="34" t="n">
        <v>4.94</v>
      </c>
      <c r="E260" s="34" t="n">
        <v>0.18</v>
      </c>
      <c r="F260" s="34" t="n">
        <v>0.21</v>
      </c>
      <c r="G260" s="34" t="n">
        <v>5.34</v>
      </c>
      <c r="H260" s="34" t="n">
        <v>9.89</v>
      </c>
      <c r="I260" s="19" t="n">
        <v>4.55</v>
      </c>
      <c r="J260" s="34" t="n">
        <v>9.93</v>
      </c>
      <c r="K260" s="34" t="n">
        <v>0.03</v>
      </c>
      <c r="L260" s="34" t="n">
        <v>0.01</v>
      </c>
      <c r="O260" s="19" t="n">
        <f aca="false">J260</f>
        <v>9.93</v>
      </c>
      <c r="P260" s="34" t="n">
        <v>4.94</v>
      </c>
      <c r="Q260" s="34" t="n">
        <v>0.18</v>
      </c>
      <c r="R260" s="34" t="n">
        <v>0.21</v>
      </c>
      <c r="S260" s="19" t="n">
        <v>4.55</v>
      </c>
      <c r="T260" s="34" t="n">
        <v>0.03</v>
      </c>
      <c r="U260" s="34" t="n">
        <v>0.01</v>
      </c>
      <c r="V260" s="13" t="n">
        <f aca="false">SUM(P260:U260)</f>
        <v>9.92</v>
      </c>
      <c r="W260" s="13" t="n">
        <f aca="false">O260-V260</f>
        <v>0.00999999999999979</v>
      </c>
    </row>
    <row r="261" customFormat="false" ht="15.65" hidden="false" customHeight="false" outlineLevel="0" collapsed="false">
      <c r="A261" s="12" t="n">
        <v>8</v>
      </c>
      <c r="B261" s="34" t="n">
        <v>24</v>
      </c>
      <c r="C261" s="34" t="s">
        <v>83</v>
      </c>
      <c r="D261" s="34" t="n">
        <v>5.22</v>
      </c>
      <c r="E261" s="34" t="n">
        <v>0.02</v>
      </c>
      <c r="F261" s="34" t="n">
        <v>-0.01</v>
      </c>
      <c r="G261" s="34" t="n">
        <v>5.23</v>
      </c>
      <c r="H261" s="34" t="n">
        <v>9.77</v>
      </c>
      <c r="I261" s="19" t="n">
        <v>4.55</v>
      </c>
      <c r="J261" s="34" t="n">
        <v>9.77</v>
      </c>
      <c r="K261" s="34" t="n">
        <v>-0.02</v>
      </c>
      <c r="L261" s="34" t="n">
        <v>0.01</v>
      </c>
      <c r="O261" s="19" t="n">
        <f aca="false">J261</f>
        <v>9.77</v>
      </c>
      <c r="P261" s="34" t="n">
        <v>5.22</v>
      </c>
      <c r="Q261" s="34" t="n">
        <v>0.02</v>
      </c>
      <c r="R261" s="34" t="n">
        <v>-0.01</v>
      </c>
      <c r="S261" s="19" t="n">
        <v>4.55</v>
      </c>
      <c r="T261" s="34" t="n">
        <v>-0.02</v>
      </c>
      <c r="U261" s="34" t="n">
        <v>0.01</v>
      </c>
      <c r="V261" s="13" t="n">
        <f aca="false">SUM(P261:U261)</f>
        <v>9.77</v>
      </c>
      <c r="W261" s="13" t="n">
        <f aca="false">O261-V261</f>
        <v>0</v>
      </c>
    </row>
    <row r="262" customFormat="false" ht="15.65" hidden="false" customHeight="false" outlineLevel="0" collapsed="false">
      <c r="A262" s="12" t="n">
        <v>8</v>
      </c>
      <c r="B262" s="34" t="n">
        <v>25</v>
      </c>
      <c r="C262" s="34" t="s">
        <v>84</v>
      </c>
      <c r="D262" s="34" t="n">
        <v>5.35</v>
      </c>
      <c r="E262" s="34" t="n">
        <v>0.09</v>
      </c>
      <c r="F262" s="34" t="n">
        <v>-0.17</v>
      </c>
      <c r="G262" s="34" t="n">
        <v>5.27</v>
      </c>
      <c r="H262" s="34" t="n">
        <v>9.82</v>
      </c>
      <c r="I262" s="19" t="n">
        <v>4.55</v>
      </c>
      <c r="J262" s="34" t="n">
        <v>9.88</v>
      </c>
      <c r="K262" s="34" t="n">
        <v>0.05</v>
      </c>
      <c r="L262" s="34" t="n">
        <v>0.01</v>
      </c>
      <c r="O262" s="19" t="n">
        <f aca="false">J262</f>
        <v>9.88</v>
      </c>
      <c r="P262" s="34" t="n">
        <v>5.35</v>
      </c>
      <c r="Q262" s="34" t="n">
        <v>0.09</v>
      </c>
      <c r="R262" s="34" t="n">
        <v>-0.17</v>
      </c>
      <c r="S262" s="19" t="n">
        <v>4.55</v>
      </c>
      <c r="T262" s="34" t="n">
        <v>0.05</v>
      </c>
      <c r="U262" s="34" t="n">
        <v>0.01</v>
      </c>
      <c r="V262" s="13" t="n">
        <f aca="false">SUM(P262:U262)</f>
        <v>9.88</v>
      </c>
      <c r="W262" s="13" t="n">
        <f aca="false">O262-V262</f>
        <v>0</v>
      </c>
    </row>
    <row r="263" customFormat="false" ht="15.65" hidden="false" customHeight="false" outlineLevel="0" collapsed="false">
      <c r="A263" s="12" t="n">
        <v>8</v>
      </c>
      <c r="B263" s="34" t="n">
        <v>26</v>
      </c>
      <c r="C263" s="34" t="s">
        <v>88</v>
      </c>
      <c r="D263" s="34" t="n">
        <v>5.25</v>
      </c>
      <c r="E263" s="34" t="n">
        <v>0.08</v>
      </c>
      <c r="F263" s="34" t="n">
        <v>0.05</v>
      </c>
      <c r="G263" s="34" t="n">
        <v>5.37</v>
      </c>
      <c r="H263" s="34" t="n">
        <v>9.92</v>
      </c>
      <c r="I263" s="19" t="n">
        <v>4.55</v>
      </c>
      <c r="J263" s="34" t="n">
        <v>9.89</v>
      </c>
      <c r="K263" s="34" t="n">
        <v>-0.04</v>
      </c>
      <c r="L263" s="34" t="n">
        <v>0.01</v>
      </c>
      <c r="O263" s="19" t="n">
        <f aca="false">J263</f>
        <v>9.89</v>
      </c>
      <c r="P263" s="34" t="n">
        <v>5.25</v>
      </c>
      <c r="Q263" s="34" t="n">
        <v>0.08</v>
      </c>
      <c r="R263" s="34" t="n">
        <v>0.05</v>
      </c>
      <c r="S263" s="19" t="n">
        <v>4.55</v>
      </c>
      <c r="T263" s="34" t="n">
        <v>-0.04</v>
      </c>
      <c r="U263" s="34" t="n">
        <v>0.01</v>
      </c>
      <c r="V263" s="13" t="n">
        <f aca="false">SUM(P263:U263)</f>
        <v>9.9</v>
      </c>
      <c r="W263" s="13" t="n">
        <f aca="false">O263-V263</f>
        <v>-0.00999999999999979</v>
      </c>
    </row>
    <row r="264" customFormat="false" ht="15.65" hidden="false" customHeight="false" outlineLevel="0" collapsed="false">
      <c r="A264" s="12" t="n">
        <v>8</v>
      </c>
      <c r="B264" s="34" t="n">
        <v>27</v>
      </c>
      <c r="C264" s="34" t="s">
        <v>89</v>
      </c>
      <c r="D264" s="34" t="n">
        <v>5.34</v>
      </c>
      <c r="E264" s="34" t="n">
        <v>0.16</v>
      </c>
      <c r="F264" s="34" t="n">
        <v>0.11</v>
      </c>
      <c r="G264" s="34" t="n">
        <v>5.6</v>
      </c>
      <c r="H264" s="34" t="n">
        <v>10.15</v>
      </c>
      <c r="I264" s="19" t="n">
        <v>4.55</v>
      </c>
      <c r="J264" s="34" t="n">
        <v>10.13</v>
      </c>
      <c r="K264" s="34" t="n">
        <v>-0.04</v>
      </c>
      <c r="L264" s="34" t="n">
        <v>0.01</v>
      </c>
      <c r="O264" s="19" t="n">
        <f aca="false">J264</f>
        <v>10.13</v>
      </c>
      <c r="P264" s="34" t="n">
        <v>5.34</v>
      </c>
      <c r="Q264" s="34" t="n">
        <v>0.16</v>
      </c>
      <c r="R264" s="34" t="n">
        <v>0.11</v>
      </c>
      <c r="S264" s="19" t="n">
        <v>4.55</v>
      </c>
      <c r="T264" s="34" t="n">
        <v>-0.04</v>
      </c>
      <c r="U264" s="34" t="n">
        <v>0.01</v>
      </c>
      <c r="V264" s="13" t="n">
        <f aca="false">SUM(P264:U264)</f>
        <v>10.13</v>
      </c>
      <c r="W264" s="13" t="n">
        <f aca="false">O264-V264</f>
        <v>0</v>
      </c>
    </row>
    <row r="265" customFormat="false" ht="15.65" hidden="false" customHeight="false" outlineLevel="0" collapsed="false">
      <c r="A265" s="12" t="n">
        <v>8</v>
      </c>
      <c r="B265" s="34" t="n">
        <v>28</v>
      </c>
      <c r="C265" s="34" t="s">
        <v>90</v>
      </c>
      <c r="D265" s="34" t="n">
        <v>5.56</v>
      </c>
      <c r="E265" s="34" t="n">
        <v>0.02</v>
      </c>
      <c r="F265" s="34" t="n">
        <v>-0.04</v>
      </c>
      <c r="G265" s="34" t="n">
        <v>5.54</v>
      </c>
      <c r="H265" s="34" t="n">
        <v>10.08</v>
      </c>
      <c r="I265" s="19" t="n">
        <v>4.55</v>
      </c>
      <c r="J265" s="34" t="n">
        <v>10.12</v>
      </c>
      <c r="K265" s="34" t="n">
        <v>0.02</v>
      </c>
      <c r="L265" s="34" t="n">
        <v>0.01</v>
      </c>
      <c r="O265" s="19" t="n">
        <f aca="false">J265</f>
        <v>10.12</v>
      </c>
      <c r="P265" s="34" t="n">
        <v>5.56</v>
      </c>
      <c r="Q265" s="34" t="n">
        <v>0.02</v>
      </c>
      <c r="R265" s="34" t="n">
        <v>-0.04</v>
      </c>
      <c r="S265" s="19" t="n">
        <v>4.55</v>
      </c>
      <c r="T265" s="34" t="n">
        <v>0.02</v>
      </c>
      <c r="U265" s="34" t="n">
        <v>0.01</v>
      </c>
      <c r="V265" s="13" t="n">
        <f aca="false">SUM(P265:U265)</f>
        <v>10.12</v>
      </c>
      <c r="W265" s="13" t="n">
        <f aca="false">O265-V265</f>
        <v>0</v>
      </c>
    </row>
    <row r="266" customFormat="false" ht="15.65" hidden="false" customHeight="false" outlineLevel="0" collapsed="false">
      <c r="A266" s="12" t="n">
        <v>8</v>
      </c>
      <c r="B266" s="34" t="n">
        <v>29</v>
      </c>
      <c r="C266" s="34" t="s">
        <v>91</v>
      </c>
      <c r="D266" s="34" t="n">
        <v>5.91</v>
      </c>
      <c r="E266" s="34" t="n">
        <v>-0.02</v>
      </c>
      <c r="F266" s="34" t="n">
        <v>-0.44</v>
      </c>
      <c r="G266" s="34" t="n">
        <v>5.45</v>
      </c>
      <c r="H266" s="34" t="n">
        <v>10</v>
      </c>
      <c r="I266" s="19" t="n">
        <v>4.55</v>
      </c>
      <c r="J266" s="34" t="n">
        <v>9.91</v>
      </c>
      <c r="K266" s="34" t="n">
        <v>-0.06</v>
      </c>
      <c r="L266" s="34" t="n">
        <v>-0.02</v>
      </c>
      <c r="O266" s="19" t="n">
        <f aca="false">J266</f>
        <v>9.91</v>
      </c>
      <c r="P266" s="34" t="n">
        <v>5.91</v>
      </c>
      <c r="Q266" s="34" t="n">
        <v>-0.02</v>
      </c>
      <c r="R266" s="34" t="n">
        <v>-0.44</v>
      </c>
      <c r="S266" s="19" t="n">
        <v>4.55</v>
      </c>
      <c r="T266" s="34" t="n">
        <v>-0.06</v>
      </c>
      <c r="U266" s="34" t="n">
        <v>-0.02</v>
      </c>
      <c r="V266" s="13" t="n">
        <f aca="false">SUM(P266:U266)</f>
        <v>9.92</v>
      </c>
      <c r="W266" s="13" t="n">
        <f aca="false">O266-V266</f>
        <v>-0.00999999999999979</v>
      </c>
    </row>
    <row r="267" customFormat="false" ht="15.65" hidden="false" customHeight="false" outlineLevel="0" collapsed="false">
      <c r="A267" s="12" t="n">
        <v>8</v>
      </c>
      <c r="B267" s="34" t="n">
        <v>30</v>
      </c>
      <c r="C267" s="34" t="s">
        <v>92</v>
      </c>
      <c r="D267" s="34" t="n">
        <v>6.11</v>
      </c>
      <c r="E267" s="34" t="n">
        <v>-0.11</v>
      </c>
      <c r="F267" s="34" t="n">
        <v>-0.52</v>
      </c>
      <c r="G267" s="34" t="n">
        <v>5.48</v>
      </c>
      <c r="H267" s="34" t="n">
        <v>10.03</v>
      </c>
      <c r="I267" s="19" t="n">
        <v>4.55</v>
      </c>
      <c r="J267" s="34" t="n">
        <v>10.06</v>
      </c>
      <c r="K267" s="34" t="n">
        <v>0.05</v>
      </c>
      <c r="L267" s="34" t="n">
        <v>-0.01</v>
      </c>
      <c r="O267" s="19" t="n">
        <f aca="false">J267</f>
        <v>10.06</v>
      </c>
      <c r="P267" s="34" t="n">
        <v>6.11</v>
      </c>
      <c r="Q267" s="34" t="n">
        <v>-0.11</v>
      </c>
      <c r="R267" s="34" t="n">
        <v>-0.52</v>
      </c>
      <c r="S267" s="19" t="n">
        <v>4.55</v>
      </c>
      <c r="T267" s="34" t="n">
        <v>0.05</v>
      </c>
      <c r="U267" s="34" t="n">
        <v>-0.01</v>
      </c>
      <c r="V267" s="13" t="n">
        <f aca="false">SUM(P267:U267)</f>
        <v>10.07</v>
      </c>
      <c r="W267" s="13" t="n">
        <f aca="false">O267-V267</f>
        <v>-0.00999999999999979</v>
      </c>
    </row>
    <row r="268" customFormat="false" ht="15.65" hidden="false" customHeight="false" outlineLevel="0" collapsed="false">
      <c r="A268" s="12" t="n">
        <v>8</v>
      </c>
      <c r="B268" s="34" t="n">
        <v>31</v>
      </c>
      <c r="C268" s="34" t="s">
        <v>93</v>
      </c>
      <c r="D268" s="34" t="n">
        <v>6.04</v>
      </c>
      <c r="E268" s="34" t="n">
        <v>-0.15</v>
      </c>
      <c r="F268" s="34" t="n">
        <v>-0.66</v>
      </c>
      <c r="G268" s="34" t="n">
        <v>5.23</v>
      </c>
      <c r="H268" s="34" t="n">
        <v>9.78</v>
      </c>
      <c r="I268" s="19" t="n">
        <v>4.55</v>
      </c>
      <c r="J268" s="34" t="n">
        <v>9.86</v>
      </c>
      <c r="K268" s="34" t="n">
        <v>0.07</v>
      </c>
      <c r="L268" s="34" t="n">
        <v>0.01</v>
      </c>
      <c r="O268" s="19" t="n">
        <f aca="false">J268</f>
        <v>9.86</v>
      </c>
      <c r="P268" s="34" t="n">
        <v>6.04</v>
      </c>
      <c r="Q268" s="34" t="n">
        <v>-0.15</v>
      </c>
      <c r="R268" s="34" t="n">
        <v>-0.66</v>
      </c>
      <c r="S268" s="19" t="n">
        <v>4.55</v>
      </c>
      <c r="T268" s="34" t="n">
        <v>0.07</v>
      </c>
      <c r="U268" s="34" t="n">
        <v>0.01</v>
      </c>
      <c r="V268" s="13" t="n">
        <f aca="false">SUM(P268:U268)</f>
        <v>9.86</v>
      </c>
      <c r="W268" s="13" t="n">
        <f aca="false">O268-V268</f>
        <v>0</v>
      </c>
    </row>
    <row r="269" customFormat="false" ht="15.65" hidden="false" customHeight="false" outlineLevel="0" collapsed="false">
      <c r="A269" s="12" t="n">
        <v>8</v>
      </c>
      <c r="B269" s="34" t="n">
        <v>32</v>
      </c>
      <c r="C269" s="34" t="s">
        <v>94</v>
      </c>
      <c r="D269" s="34" t="n">
        <v>6.35</v>
      </c>
      <c r="E269" s="34" t="n">
        <v>-0.26</v>
      </c>
      <c r="F269" s="34" t="n">
        <v>-0.51</v>
      </c>
      <c r="G269" s="34" t="n">
        <v>5.57</v>
      </c>
      <c r="H269" s="34" t="n">
        <v>10.12</v>
      </c>
      <c r="I269" s="19" t="n">
        <v>4.55</v>
      </c>
      <c r="J269" s="34" t="n">
        <v>10.08</v>
      </c>
      <c r="K269" s="34" t="n">
        <v>0.08</v>
      </c>
      <c r="L269" s="34" t="n">
        <v>-0.13</v>
      </c>
      <c r="O269" s="19" t="n">
        <f aca="false">J269</f>
        <v>10.08</v>
      </c>
      <c r="P269" s="34" t="n">
        <v>6.35</v>
      </c>
      <c r="Q269" s="34" t="n">
        <v>-0.26</v>
      </c>
      <c r="R269" s="34" t="n">
        <v>-0.51</v>
      </c>
      <c r="S269" s="19" t="n">
        <v>4.55</v>
      </c>
      <c r="T269" s="34" t="n">
        <v>0.08</v>
      </c>
      <c r="U269" s="34" t="n">
        <v>-0.13</v>
      </c>
      <c r="V269" s="13" t="n">
        <f aca="false">SUM(P269:U269)</f>
        <v>10.08</v>
      </c>
      <c r="W269" s="13" t="n">
        <f aca="false">O269-V269</f>
        <v>0</v>
      </c>
    </row>
    <row r="270" customFormat="false" ht="15.65" hidden="false" customHeight="false" outlineLevel="0" collapsed="false">
      <c r="A270" s="12" t="n">
        <v>8</v>
      </c>
      <c r="B270" s="34" t="n">
        <v>33</v>
      </c>
      <c r="C270" s="34" t="s">
        <v>95</v>
      </c>
      <c r="D270" s="34" t="n">
        <v>5.65</v>
      </c>
      <c r="E270" s="34" t="n">
        <v>0.07</v>
      </c>
      <c r="F270" s="34" t="n">
        <v>-0.24</v>
      </c>
      <c r="G270" s="34" t="n">
        <v>5.48</v>
      </c>
      <c r="H270" s="34" t="n">
        <v>10.03</v>
      </c>
      <c r="I270" s="19" t="n">
        <v>4.55</v>
      </c>
      <c r="J270" s="34" t="n">
        <v>10.05</v>
      </c>
      <c r="K270" s="34" t="n">
        <v>0.01</v>
      </c>
      <c r="L270" s="34" t="n">
        <v>0.01</v>
      </c>
      <c r="O270" s="19" t="n">
        <f aca="false">J270</f>
        <v>10.05</v>
      </c>
      <c r="P270" s="34" t="n">
        <v>5.65</v>
      </c>
      <c r="Q270" s="34" t="n">
        <v>0.07</v>
      </c>
      <c r="R270" s="34" t="n">
        <v>-0.24</v>
      </c>
      <c r="S270" s="19" t="n">
        <v>4.55</v>
      </c>
      <c r="T270" s="34" t="n">
        <v>0.01</v>
      </c>
      <c r="U270" s="34" t="n">
        <v>0.01</v>
      </c>
      <c r="V270" s="13" t="n">
        <f aca="false">SUM(P270:U270)</f>
        <v>10.05</v>
      </c>
      <c r="W270" s="13" t="n">
        <f aca="false">O270-V270</f>
        <v>0</v>
      </c>
    </row>
    <row r="271" customFormat="false" ht="15.65" hidden="false" customHeight="false" outlineLevel="0" collapsed="false">
      <c r="A271" s="12" t="n">
        <v>8</v>
      </c>
      <c r="B271" s="34" t="n">
        <v>34</v>
      </c>
      <c r="C271" s="34" t="s">
        <v>97</v>
      </c>
      <c r="D271" s="34" t="n">
        <v>5.38</v>
      </c>
      <c r="E271" s="34" t="n">
        <v>0.04</v>
      </c>
      <c r="F271" s="34" t="n">
        <v>-0.13</v>
      </c>
      <c r="G271" s="34" t="n">
        <v>5.28</v>
      </c>
      <c r="H271" s="34" t="n">
        <v>9.83</v>
      </c>
      <c r="I271" s="19" t="n">
        <v>4.55</v>
      </c>
      <c r="J271" s="34" t="n">
        <v>9.78</v>
      </c>
      <c r="K271" s="34" t="n">
        <v>-0.06</v>
      </c>
      <c r="L271" s="34" t="n">
        <v>0.01</v>
      </c>
      <c r="O271" s="19" t="n">
        <f aca="false">J271</f>
        <v>9.78</v>
      </c>
      <c r="P271" s="34" t="n">
        <v>5.38</v>
      </c>
      <c r="Q271" s="34" t="n">
        <v>0.04</v>
      </c>
      <c r="R271" s="34" t="n">
        <v>-0.13</v>
      </c>
      <c r="S271" s="19" t="n">
        <v>4.55</v>
      </c>
      <c r="T271" s="34" t="n">
        <v>-0.06</v>
      </c>
      <c r="U271" s="34" t="n">
        <v>0.01</v>
      </c>
      <c r="V271" s="13" t="n">
        <f aca="false">SUM(P271:U271)</f>
        <v>9.79</v>
      </c>
      <c r="W271" s="13" t="n">
        <f aca="false">O271-V271</f>
        <v>-0.00999999999999979</v>
      </c>
    </row>
    <row r="272" customFormat="false" ht="15.65" hidden="false" customHeight="false" outlineLevel="0" collapsed="false">
      <c r="A272" s="12" t="n">
        <v>8</v>
      </c>
      <c r="B272" s="34" t="n">
        <v>35</v>
      </c>
      <c r="C272" s="34" t="s">
        <v>98</v>
      </c>
      <c r="D272" s="34" t="n">
        <v>5.83</v>
      </c>
      <c r="E272" s="34" t="n">
        <v>-0.17</v>
      </c>
      <c r="F272" s="34" t="n">
        <v>-0.09</v>
      </c>
      <c r="G272" s="34" t="n">
        <v>5.57</v>
      </c>
      <c r="H272" s="34" t="n">
        <v>10.12</v>
      </c>
      <c r="I272" s="19" t="n">
        <v>4.55</v>
      </c>
      <c r="J272" s="34" t="n">
        <v>10.15</v>
      </c>
      <c r="K272" s="34" t="n">
        <v>0.03</v>
      </c>
      <c r="L272" s="34" t="n">
        <v>0.01</v>
      </c>
      <c r="O272" s="19" t="n">
        <f aca="false">J272</f>
        <v>10.15</v>
      </c>
      <c r="P272" s="34" t="n">
        <v>5.83</v>
      </c>
      <c r="Q272" s="34" t="n">
        <v>-0.17</v>
      </c>
      <c r="R272" s="34" t="n">
        <v>-0.09</v>
      </c>
      <c r="S272" s="19" t="n">
        <v>4.55</v>
      </c>
      <c r="T272" s="34" t="n">
        <v>0.03</v>
      </c>
      <c r="U272" s="34" t="n">
        <v>0.01</v>
      </c>
      <c r="V272" s="13" t="n">
        <f aca="false">SUM(P272:U272)</f>
        <v>10.16</v>
      </c>
      <c r="W272" s="13" t="n">
        <f aca="false">O272-V272</f>
        <v>-0.00999999999999979</v>
      </c>
    </row>
    <row r="273" customFormat="false" ht="15.65" hidden="false" customHeight="false" outlineLevel="0" collapsed="false">
      <c r="A273" s="12" t="n">
        <v>8</v>
      </c>
      <c r="B273" s="34" t="n">
        <v>36</v>
      </c>
      <c r="C273" s="34" t="s">
        <v>99</v>
      </c>
      <c r="D273" s="34" t="n">
        <v>6.16</v>
      </c>
      <c r="E273" s="34" t="n">
        <v>-0.11</v>
      </c>
      <c r="F273" s="34" t="n">
        <v>-0.38</v>
      </c>
      <c r="G273" s="34" t="n">
        <v>5.67</v>
      </c>
      <c r="H273" s="34" t="n">
        <v>10.22</v>
      </c>
      <c r="I273" s="19" t="n">
        <v>4.55</v>
      </c>
      <c r="J273" s="34" t="n">
        <v>10.24</v>
      </c>
      <c r="K273" s="34" t="n">
        <v>0.02</v>
      </c>
      <c r="L273" s="34" t="n">
        <v>0</v>
      </c>
      <c r="O273" s="19" t="n">
        <f aca="false">J273</f>
        <v>10.24</v>
      </c>
      <c r="P273" s="34" t="n">
        <v>6.16</v>
      </c>
      <c r="Q273" s="34" t="n">
        <v>-0.11</v>
      </c>
      <c r="R273" s="34" t="n">
        <v>-0.38</v>
      </c>
      <c r="S273" s="19" t="n">
        <v>4.55</v>
      </c>
      <c r="T273" s="34" t="n">
        <v>0.02</v>
      </c>
      <c r="U273" s="34" t="n">
        <v>0</v>
      </c>
      <c r="V273" s="13" t="n">
        <f aca="false">SUM(P273:U273)</f>
        <v>10.24</v>
      </c>
      <c r="W273" s="13" t="n">
        <f aca="false">O273-V273</f>
        <v>0</v>
      </c>
    </row>
    <row r="274" customFormat="false" ht="15.65" hidden="false" customHeight="false" outlineLevel="0" collapsed="false">
      <c r="A274" s="12" t="n">
        <v>8</v>
      </c>
      <c r="B274" s="34" t="n">
        <v>37</v>
      </c>
      <c r="C274" s="34" t="s">
        <v>100</v>
      </c>
      <c r="D274" s="34" t="n">
        <v>5.95</v>
      </c>
      <c r="E274" s="34" t="n">
        <v>-0.03</v>
      </c>
      <c r="F274" s="34" t="n">
        <v>-0.34</v>
      </c>
      <c r="G274" s="34" t="n">
        <v>5.57</v>
      </c>
      <c r="H274" s="34" t="n">
        <v>10.12</v>
      </c>
      <c r="I274" s="19" t="n">
        <v>4.55</v>
      </c>
      <c r="J274" s="34" t="n">
        <v>10.02</v>
      </c>
      <c r="K274" s="34" t="n">
        <v>-0.11</v>
      </c>
      <c r="L274" s="34" t="n">
        <v>0.01</v>
      </c>
      <c r="O274" s="19" t="n">
        <f aca="false">J274</f>
        <v>10.02</v>
      </c>
      <c r="P274" s="34" t="n">
        <v>5.95</v>
      </c>
      <c r="Q274" s="34" t="n">
        <v>-0.03</v>
      </c>
      <c r="R274" s="34" t="n">
        <v>-0.34</v>
      </c>
      <c r="S274" s="19" t="n">
        <v>4.55</v>
      </c>
      <c r="T274" s="34" t="n">
        <v>-0.11</v>
      </c>
      <c r="U274" s="34" t="n">
        <v>0.01</v>
      </c>
      <c r="V274" s="13" t="n">
        <f aca="false">SUM(P274:U274)</f>
        <v>10.03</v>
      </c>
      <c r="W274" s="13" t="n">
        <f aca="false">O274-V274</f>
        <v>-0.00999999999999979</v>
      </c>
    </row>
    <row r="275" customFormat="false" ht="15.65" hidden="false" customHeight="false" outlineLevel="0" collapsed="false">
      <c r="A275" s="12" t="n">
        <v>8</v>
      </c>
      <c r="B275" s="34" t="n">
        <v>38</v>
      </c>
      <c r="C275" s="34" t="s">
        <v>101</v>
      </c>
      <c r="D275" s="34" t="n">
        <v>5.89</v>
      </c>
      <c r="E275" s="34" t="n">
        <v>-0.01</v>
      </c>
      <c r="F275" s="34" t="n">
        <v>-0.45</v>
      </c>
      <c r="G275" s="34" t="n">
        <v>5.44</v>
      </c>
      <c r="H275" s="34" t="n">
        <v>9.99</v>
      </c>
      <c r="I275" s="19" t="n">
        <v>4.55</v>
      </c>
      <c r="J275" s="34" t="n">
        <v>9.98</v>
      </c>
      <c r="K275" s="34" t="n">
        <v>-0.02</v>
      </c>
      <c r="L275" s="34" t="n">
        <v>0.01</v>
      </c>
      <c r="O275" s="19" t="n">
        <f aca="false">J275</f>
        <v>9.98</v>
      </c>
      <c r="P275" s="34" t="n">
        <v>5.89</v>
      </c>
      <c r="Q275" s="34" t="n">
        <v>-0.01</v>
      </c>
      <c r="R275" s="34" t="n">
        <v>-0.45</v>
      </c>
      <c r="S275" s="19" t="n">
        <v>4.55</v>
      </c>
      <c r="T275" s="34" t="n">
        <v>-0.02</v>
      </c>
      <c r="U275" s="34" t="n">
        <v>0.01</v>
      </c>
      <c r="V275" s="13" t="n">
        <f aca="false">SUM(P275:U275)</f>
        <v>9.97</v>
      </c>
      <c r="W275" s="13" t="n">
        <f aca="false">O275-V275</f>
        <v>0.0100000000000016</v>
      </c>
    </row>
    <row r="276" customFormat="false" ht="15.65" hidden="false" customHeight="false" outlineLevel="0" collapsed="false">
      <c r="A276" s="12" t="n">
        <v>8</v>
      </c>
      <c r="B276" s="34" t="n">
        <v>39</v>
      </c>
      <c r="C276" s="34" t="s">
        <v>102</v>
      </c>
      <c r="D276" s="34" t="n">
        <v>6.05</v>
      </c>
      <c r="E276" s="34" t="n">
        <v>-0.18</v>
      </c>
      <c r="F276" s="34" t="n">
        <v>-0.4</v>
      </c>
      <c r="G276" s="34" t="n">
        <v>5.47</v>
      </c>
      <c r="H276" s="34" t="n">
        <v>10.01</v>
      </c>
      <c r="I276" s="19" t="n">
        <v>4.55</v>
      </c>
      <c r="J276" s="34" t="n">
        <v>10.05</v>
      </c>
      <c r="K276" s="34" t="n">
        <v>0.03</v>
      </c>
      <c r="L276" s="34" t="n">
        <v>0.01</v>
      </c>
      <c r="O276" s="19" t="n">
        <f aca="false">J276</f>
        <v>10.05</v>
      </c>
      <c r="P276" s="34" t="n">
        <v>6.05</v>
      </c>
      <c r="Q276" s="34" t="n">
        <v>-0.18</v>
      </c>
      <c r="R276" s="34" t="n">
        <v>-0.4</v>
      </c>
      <c r="S276" s="19" t="n">
        <v>4.55</v>
      </c>
      <c r="T276" s="34" t="n">
        <v>0.03</v>
      </c>
      <c r="U276" s="34" t="n">
        <v>0.01</v>
      </c>
      <c r="V276" s="13" t="n">
        <f aca="false">SUM(P276:U276)</f>
        <v>10.06</v>
      </c>
      <c r="W276" s="13" t="n">
        <f aca="false">O276-V276</f>
        <v>-0.00999999999999801</v>
      </c>
    </row>
    <row r="277" customFormat="false" ht="15.65" hidden="false" customHeight="false" outlineLevel="0" collapsed="false">
      <c r="A277" s="12" t="n">
        <v>8</v>
      </c>
      <c r="B277" s="34" t="n">
        <v>40</v>
      </c>
      <c r="C277" s="34" t="s">
        <v>103</v>
      </c>
      <c r="D277" s="34" t="n">
        <v>5.85</v>
      </c>
      <c r="E277" s="34" t="n">
        <v>0.06</v>
      </c>
      <c r="F277" s="34" t="n">
        <v>-0.29</v>
      </c>
      <c r="G277" s="34" t="n">
        <v>5.62</v>
      </c>
      <c r="H277" s="34" t="n">
        <v>10.17</v>
      </c>
      <c r="I277" s="19" t="n">
        <v>4.55</v>
      </c>
      <c r="J277" s="34" t="n">
        <v>10.11</v>
      </c>
      <c r="K277" s="34" t="n">
        <v>-0.07</v>
      </c>
      <c r="L277" s="34" t="n">
        <v>0.01</v>
      </c>
      <c r="O277" s="19" t="n">
        <f aca="false">J277</f>
        <v>10.11</v>
      </c>
      <c r="P277" s="34" t="n">
        <v>5.85</v>
      </c>
      <c r="Q277" s="34" t="n">
        <v>0.06</v>
      </c>
      <c r="R277" s="34" t="n">
        <v>-0.29</v>
      </c>
      <c r="S277" s="19" t="n">
        <v>4.55</v>
      </c>
      <c r="T277" s="34" t="n">
        <v>-0.07</v>
      </c>
      <c r="U277" s="34" t="n">
        <v>0.01</v>
      </c>
      <c r="V277" s="13" t="n">
        <f aca="false">SUM(P277:U277)</f>
        <v>10.11</v>
      </c>
      <c r="W277" s="13" t="n">
        <f aca="false">O277-V277</f>
        <v>0</v>
      </c>
    </row>
    <row r="278" customFormat="false" ht="15.65" hidden="false" customHeight="false" outlineLevel="0" collapsed="false">
      <c r="A278" s="12" t="n">
        <v>8</v>
      </c>
      <c r="B278" s="34" t="n">
        <v>41</v>
      </c>
      <c r="C278" s="34" t="s">
        <v>104</v>
      </c>
      <c r="D278" s="34" t="n">
        <v>6.91</v>
      </c>
      <c r="E278" s="34" t="n">
        <v>-0.18</v>
      </c>
      <c r="F278" s="34" t="n">
        <v>-0.67</v>
      </c>
      <c r="G278" s="34" t="n">
        <v>6.06</v>
      </c>
      <c r="H278" s="34" t="n">
        <v>10.61</v>
      </c>
      <c r="I278" s="19" t="n">
        <v>4.55</v>
      </c>
      <c r="J278" s="34" t="n">
        <v>10.55</v>
      </c>
      <c r="K278" s="34" t="n">
        <v>-0.05</v>
      </c>
      <c r="L278" s="34" t="n">
        <v>0</v>
      </c>
      <c r="O278" s="19" t="n">
        <f aca="false">J278</f>
        <v>10.55</v>
      </c>
      <c r="P278" s="34" t="n">
        <v>6.91</v>
      </c>
      <c r="Q278" s="34" t="n">
        <v>-0.18</v>
      </c>
      <c r="R278" s="34" t="n">
        <v>-0.67</v>
      </c>
      <c r="S278" s="19" t="n">
        <v>4.55</v>
      </c>
      <c r="T278" s="34" t="n">
        <v>-0.05</v>
      </c>
      <c r="U278" s="34" t="n">
        <v>0</v>
      </c>
      <c r="V278" s="13" t="n">
        <f aca="false">SUM(P278:U278)</f>
        <v>10.56</v>
      </c>
      <c r="W278" s="13" t="n">
        <f aca="false">O278-V278</f>
        <v>-0.00999999999999801</v>
      </c>
    </row>
    <row r="279" customFormat="false" ht="15.65" hidden="false" customHeight="false" outlineLevel="0" collapsed="false">
      <c r="A279" s="12" t="n">
        <v>8</v>
      </c>
      <c r="B279" s="34" t="n">
        <v>42</v>
      </c>
      <c r="C279" s="34" t="s">
        <v>105</v>
      </c>
      <c r="D279" s="34" t="n">
        <v>6.56</v>
      </c>
      <c r="E279" s="34" t="n">
        <v>-0.27</v>
      </c>
      <c r="F279" s="34" t="n">
        <v>-0.73</v>
      </c>
      <c r="G279" s="34" t="n">
        <v>5.56</v>
      </c>
      <c r="H279" s="34" t="n">
        <v>10.11</v>
      </c>
      <c r="I279" s="19" t="n">
        <v>4.55</v>
      </c>
      <c r="J279" s="34" t="n">
        <v>10.06</v>
      </c>
      <c r="K279" s="34" t="n">
        <v>-0.06</v>
      </c>
      <c r="L279" s="34" t="n">
        <v>0.01</v>
      </c>
      <c r="O279" s="19" t="n">
        <f aca="false">J279</f>
        <v>10.06</v>
      </c>
      <c r="P279" s="34" t="n">
        <v>6.56</v>
      </c>
      <c r="Q279" s="34" t="n">
        <v>-0.27</v>
      </c>
      <c r="R279" s="34" t="n">
        <v>-0.73</v>
      </c>
      <c r="S279" s="19" t="n">
        <v>4.55</v>
      </c>
      <c r="T279" s="34" t="n">
        <v>-0.06</v>
      </c>
      <c r="U279" s="34" t="n">
        <v>0.01</v>
      </c>
      <c r="V279" s="13" t="n">
        <f aca="false">SUM(P279:U279)</f>
        <v>10.06</v>
      </c>
      <c r="W279" s="13" t="n">
        <f aca="false">O279-V279</f>
        <v>0</v>
      </c>
    </row>
    <row r="280" customFormat="false" ht="15.65" hidden="false" customHeight="false" outlineLevel="0" collapsed="false">
      <c r="A280" s="12" t="n">
        <v>8</v>
      </c>
      <c r="B280" s="34" t="n">
        <v>43</v>
      </c>
      <c r="C280" s="34" t="s">
        <v>106</v>
      </c>
      <c r="D280" s="34" t="n">
        <v>6.3</v>
      </c>
      <c r="E280" s="34" t="n">
        <v>-0.1</v>
      </c>
      <c r="F280" s="34" t="n">
        <v>-0.59</v>
      </c>
      <c r="G280" s="34" t="n">
        <v>5.61</v>
      </c>
      <c r="H280" s="34" t="n">
        <v>10.16</v>
      </c>
      <c r="I280" s="19" t="n">
        <v>4.55</v>
      </c>
      <c r="J280" s="34" t="n">
        <v>10.08</v>
      </c>
      <c r="K280" s="34" t="n">
        <v>-0.09</v>
      </c>
      <c r="L280" s="34" t="n">
        <v>0.01</v>
      </c>
      <c r="O280" s="19" t="n">
        <f aca="false">J280</f>
        <v>10.08</v>
      </c>
      <c r="P280" s="34" t="n">
        <v>6.3</v>
      </c>
      <c r="Q280" s="34" t="n">
        <v>-0.1</v>
      </c>
      <c r="R280" s="34" t="n">
        <v>-0.59</v>
      </c>
      <c r="S280" s="19" t="n">
        <v>4.55</v>
      </c>
      <c r="T280" s="34" t="n">
        <v>-0.09</v>
      </c>
      <c r="U280" s="34" t="n">
        <v>0.01</v>
      </c>
      <c r="V280" s="13" t="n">
        <f aca="false">SUM(P280:U280)</f>
        <v>10.08</v>
      </c>
      <c r="W280" s="13" t="n">
        <f aca="false">O280-V280</f>
        <v>0</v>
      </c>
    </row>
    <row r="281" customFormat="false" ht="15.65" hidden="false" customHeight="false" outlineLevel="0" collapsed="false">
      <c r="A281" s="12" t="n">
        <v>8</v>
      </c>
      <c r="B281" s="34" t="n">
        <v>44</v>
      </c>
      <c r="C281" s="34" t="s">
        <v>107</v>
      </c>
      <c r="D281" s="34" t="n">
        <v>6.35</v>
      </c>
      <c r="E281" s="34" t="n">
        <v>-0.21</v>
      </c>
      <c r="F281" s="34" t="n">
        <v>-0.55</v>
      </c>
      <c r="G281" s="34" t="n">
        <v>5.59</v>
      </c>
      <c r="H281" s="34" t="n">
        <v>10.14</v>
      </c>
      <c r="I281" s="19" t="n">
        <v>4.55</v>
      </c>
      <c r="J281" s="34" t="n">
        <v>10.08</v>
      </c>
      <c r="K281" s="34" t="n">
        <v>-0.07</v>
      </c>
      <c r="L281" s="34" t="n">
        <v>0.01</v>
      </c>
      <c r="O281" s="19" t="n">
        <f aca="false">J281</f>
        <v>10.08</v>
      </c>
      <c r="P281" s="34" t="n">
        <v>6.35</v>
      </c>
      <c r="Q281" s="34" t="n">
        <v>-0.21</v>
      </c>
      <c r="R281" s="34" t="n">
        <v>-0.55</v>
      </c>
      <c r="S281" s="19" t="n">
        <v>4.55</v>
      </c>
      <c r="T281" s="34" t="n">
        <v>-0.07</v>
      </c>
      <c r="U281" s="34" t="n">
        <v>0.01</v>
      </c>
      <c r="V281" s="13" t="n">
        <f aca="false">SUM(P281:U281)</f>
        <v>10.08</v>
      </c>
      <c r="W281" s="13" t="n">
        <f aca="false">O281-V281</f>
        <v>0</v>
      </c>
    </row>
    <row r="282" customFormat="false" ht="15.65" hidden="false" customHeight="false" outlineLevel="0" collapsed="false">
      <c r="A282" s="12" t="n">
        <v>8</v>
      </c>
      <c r="B282" s="34" t="n">
        <v>45</v>
      </c>
      <c r="C282" s="34" t="s">
        <v>108</v>
      </c>
      <c r="D282" s="34" t="n">
        <v>6.14</v>
      </c>
      <c r="E282" s="34" t="n">
        <v>-0.13</v>
      </c>
      <c r="F282" s="34" t="n">
        <v>-0.75</v>
      </c>
      <c r="G282" s="34" t="n">
        <v>5.26</v>
      </c>
      <c r="H282" s="34" t="n">
        <v>9.81</v>
      </c>
      <c r="I282" s="19" t="n">
        <v>4.55</v>
      </c>
      <c r="J282" s="34" t="n">
        <v>9.77</v>
      </c>
      <c r="K282" s="34" t="n">
        <v>-0.04</v>
      </c>
      <c r="L282" s="34" t="n">
        <v>0.01</v>
      </c>
      <c r="O282" s="19" t="n">
        <f aca="false">J282</f>
        <v>9.77</v>
      </c>
      <c r="P282" s="34" t="n">
        <v>6.14</v>
      </c>
      <c r="Q282" s="34" t="n">
        <v>-0.13</v>
      </c>
      <c r="R282" s="34" t="n">
        <v>-0.75</v>
      </c>
      <c r="S282" s="19" t="n">
        <v>4.55</v>
      </c>
      <c r="T282" s="34" t="n">
        <v>-0.04</v>
      </c>
      <c r="U282" s="34" t="n">
        <v>0.01</v>
      </c>
      <c r="V282" s="13" t="n">
        <f aca="false">SUM(P282:U282)</f>
        <v>9.78</v>
      </c>
      <c r="W282" s="13" t="n">
        <f aca="false">O282-V282</f>
        <v>-0.00999999999999979</v>
      </c>
    </row>
    <row r="283" customFormat="false" ht="15.65" hidden="false" customHeight="false" outlineLevel="0" collapsed="false">
      <c r="A283" s="12" t="n">
        <v>8</v>
      </c>
      <c r="B283" s="34" t="n">
        <v>46</v>
      </c>
      <c r="C283" s="34" t="s">
        <v>109</v>
      </c>
      <c r="D283" s="34" t="n">
        <v>6.64</v>
      </c>
      <c r="E283" s="34" t="n">
        <v>-0.11</v>
      </c>
      <c r="F283" s="34" t="n">
        <v>-0.91</v>
      </c>
      <c r="G283" s="34" t="n">
        <v>5.62</v>
      </c>
      <c r="H283" s="34" t="n">
        <v>10.16</v>
      </c>
      <c r="I283" s="19" t="n">
        <v>4.55</v>
      </c>
      <c r="J283" s="34" t="n">
        <v>10.13</v>
      </c>
      <c r="K283" s="34" t="n">
        <v>-0.04</v>
      </c>
      <c r="L283" s="34" t="n">
        <v>0.01</v>
      </c>
      <c r="O283" s="19" t="n">
        <f aca="false">J283</f>
        <v>10.13</v>
      </c>
      <c r="P283" s="34" t="n">
        <v>6.64</v>
      </c>
      <c r="Q283" s="34" t="n">
        <v>-0.11</v>
      </c>
      <c r="R283" s="34" t="n">
        <v>-0.91</v>
      </c>
      <c r="S283" s="19" t="n">
        <v>4.55</v>
      </c>
      <c r="T283" s="34" t="n">
        <v>-0.04</v>
      </c>
      <c r="U283" s="34" t="n">
        <v>0.01</v>
      </c>
      <c r="V283" s="13" t="n">
        <f aca="false">SUM(P283:U283)</f>
        <v>10.14</v>
      </c>
      <c r="W283" s="13" t="n">
        <f aca="false">O283-V283</f>
        <v>-0.00999999999999801</v>
      </c>
    </row>
    <row r="284" customFormat="false" ht="15.65" hidden="false" customHeight="false" outlineLevel="0" collapsed="false">
      <c r="A284" s="12" t="n">
        <v>8</v>
      </c>
      <c r="B284" s="34" t="n">
        <v>47</v>
      </c>
      <c r="C284" s="34" t="s">
        <v>110</v>
      </c>
      <c r="D284" s="34" t="n">
        <v>6.4</v>
      </c>
      <c r="E284" s="34" t="n">
        <v>0.11</v>
      </c>
      <c r="F284" s="34" t="n">
        <v>-1.41</v>
      </c>
      <c r="G284" s="34" t="n">
        <v>5.11</v>
      </c>
      <c r="H284" s="34" t="n">
        <v>9.66</v>
      </c>
      <c r="I284" s="19" t="n">
        <v>4.55</v>
      </c>
      <c r="J284" s="34" t="n">
        <v>9.61</v>
      </c>
      <c r="K284" s="34" t="n">
        <v>-0.01</v>
      </c>
      <c r="L284" s="34" t="n">
        <v>-0.03</v>
      </c>
      <c r="O284" s="19" t="n">
        <f aca="false">J284</f>
        <v>9.61</v>
      </c>
      <c r="P284" s="34" t="n">
        <v>6.4</v>
      </c>
      <c r="Q284" s="34" t="n">
        <v>0.11</v>
      </c>
      <c r="R284" s="34" t="n">
        <v>-1.41</v>
      </c>
      <c r="S284" s="19" t="n">
        <v>4.55</v>
      </c>
      <c r="T284" s="34" t="n">
        <v>-0.01</v>
      </c>
      <c r="U284" s="34" t="n">
        <v>-0.03</v>
      </c>
      <c r="V284" s="13" t="n">
        <f aca="false">SUM(P284:U284)</f>
        <v>9.61</v>
      </c>
      <c r="W284" s="13" t="n">
        <f aca="false">O284-V284</f>
        <v>0</v>
      </c>
    </row>
    <row r="285" customFormat="false" ht="12.8" hidden="false" customHeight="false" outlineLevel="0" collapsed="false">
      <c r="V285" s="29" t="s">
        <v>148</v>
      </c>
      <c r="W285" s="1" t="n">
        <f aca="false">SUM(W3:W284)</f>
        <v>0.0790000000000433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2026-07-20T10:11:50Z</dcterms:created>
  <dc:creator/>
  <dc:description/>
  <dc:language>ja-JP</dc:language>
  <cp:lastModifiedBy/>
  <dcterms:modified xsi:type="dcterms:W3CDTF">2026-08-02T12:42:20Z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